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66925"/>
  <mc:AlternateContent xmlns:mc="http://schemas.openxmlformats.org/markup-compatibility/2006">
    <mc:Choice Requires="x15">
      <x15ac:absPath xmlns:x15ac="http://schemas.microsoft.com/office/spreadsheetml/2010/11/ac" url="C:\Users\Pooja.kale\Downloads\New PO\"/>
    </mc:Choice>
  </mc:AlternateContent>
  <xr:revisionPtr revIDLastSave="0" documentId="13_ncr:1_{C44A8599-2BA0-4004-9CFF-D5CA2A40CD70}" xr6:coauthVersionLast="47" xr6:coauthVersionMax="47" xr10:uidLastSave="{00000000-0000-0000-0000-000000000000}"/>
  <bookViews>
    <workbookView xWindow="-110" yWindow="-110" windowWidth="19420" windowHeight="11500" activeTab="1" xr2:uid="{00000000-000D-0000-FFFF-FFFF00000000}"/>
  </bookViews>
  <sheets>
    <sheet name="Summary" sheetId="11" r:id="rId1"/>
    <sheet name="ESDS DC" sheetId="8" r:id="rId2"/>
    <sheet name="ESDS DC NON HA" sheetId="21" state="hidden" r:id="rId3"/>
    <sheet name="ESDS DR P" sheetId="28" state="hidden" r:id="rId4"/>
    <sheet name="Server Sizing" sheetId="19" r:id="rId5"/>
    <sheet name="MRSAC Rate Card" sheetId="25" r:id="rId6"/>
    <sheet name="SOC Services" sheetId="2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aq">#REF!</definedName>
    <definedName name="\c">#REF!</definedName>
    <definedName name="\e">#REF!</definedName>
    <definedName name="\f">#REF!</definedName>
    <definedName name="\l">#REF!</definedName>
    <definedName name="\p">#REF!</definedName>
    <definedName name="\q">#REF!</definedName>
    <definedName name="\s">'[1]Originating Station'!#REF!</definedName>
    <definedName name="\u">'[1]Originating Station'!#REF!</definedName>
    <definedName name="\w">#REF!</definedName>
    <definedName name="\x">#REF!</definedName>
    <definedName name="\y">'[2]SCADA(MCC-SCC)-Koyali'!#REF!</definedName>
    <definedName name="\z">#N/A</definedName>
    <definedName name="____dim4">"$#REF!.$#REF!$#REF!"</definedName>
    <definedName name="____rm4">"$#REF!.$#REF!$#REF!"</definedName>
    <definedName name="___dim4">#REF!</definedName>
    <definedName name="___rm4">#REF!</definedName>
    <definedName name="__123Graph_X" hidden="1">#REF!</definedName>
    <definedName name="__A1">#REF!</definedName>
    <definedName name="__a2">#REF!</definedName>
    <definedName name="__a3">#REF!</definedName>
    <definedName name="__dim4">"$#REF!.$#REF!$#REF!"</definedName>
    <definedName name="__JL91">#N/A</definedName>
    <definedName name="__rim4">#REF!</definedName>
    <definedName name="__rm4">"$#REF!.$#REF!$#REF!"</definedName>
    <definedName name="__xlnm._FilterDatabase">"$#REF!.$B$1:$X$18"</definedName>
    <definedName name="_192.168.50.66" localSheetId="1">#REF!</definedName>
    <definedName name="_192.168.50.66" localSheetId="2">#REF!</definedName>
    <definedName name="_192.168.50.66" localSheetId="3">#REF!</definedName>
    <definedName name="_192.168.50.66">#REF!</definedName>
    <definedName name="_88">#N/A</definedName>
    <definedName name="_A1">#REF!</definedName>
    <definedName name="_a2">#REF!</definedName>
    <definedName name="_a3">#REF!</definedName>
    <definedName name="_dim4">#REF!</definedName>
    <definedName name="_EMC2">#REF!</definedName>
    <definedName name="_H264">#REF!</definedName>
    <definedName name="_H264FACTOR">#REF!</definedName>
    <definedName name="_HRP1001" localSheetId="1">#REF!</definedName>
    <definedName name="_HRP1001" localSheetId="2">#REF!</definedName>
    <definedName name="_HRP1001" localSheetId="3">#REF!</definedName>
    <definedName name="_HRP1001">#REF!</definedName>
    <definedName name="_HRP1023" localSheetId="1">#REF!</definedName>
    <definedName name="_HRP1023" localSheetId="2">#REF!</definedName>
    <definedName name="_HRP1023" localSheetId="3">#REF!</definedName>
    <definedName name="_HRP1023">#REF!</definedName>
    <definedName name="_HRP1025">#REF!</definedName>
    <definedName name="_HRP1026">#REF!</definedName>
    <definedName name="_HRP1027">#REF!</definedName>
    <definedName name="_HRP1028">#REF!</definedName>
    <definedName name="_HRP1035">#REF!</definedName>
    <definedName name="_HRP1038">#REF!</definedName>
    <definedName name="_HRP1042">#REF!</definedName>
    <definedName name="_HRT1035">#REF!</definedName>
    <definedName name="_HRT1042">#REF!</definedName>
    <definedName name="_JL91">#N/A</definedName>
    <definedName name="_MJPEG">#REF!</definedName>
    <definedName name="_MJPEGFACTOR">#REF!</definedName>
    <definedName name="_MPEG4">#REF!</definedName>
    <definedName name="_MPEG4FACTOR">#REF!</definedName>
    <definedName name="_nil" hidden="1">#REF!</definedName>
    <definedName name="_Order1">255</definedName>
    <definedName name="_Order2">255</definedName>
    <definedName name="_PT1001022" localSheetId="1">#REF!</definedName>
    <definedName name="_PT1001022" localSheetId="2">#REF!</definedName>
    <definedName name="_PT1001022" localSheetId="3">#REF!</definedName>
    <definedName name="_PT1001022">#REF!</definedName>
    <definedName name="_PT1001023" localSheetId="1">#REF!</definedName>
    <definedName name="_PT1001023" localSheetId="2">#REF!</definedName>
    <definedName name="_PT1001023" localSheetId="3">#REF!</definedName>
    <definedName name="_PT1001023">#REF!</definedName>
    <definedName name="_PT1001025" localSheetId="1">#REF!</definedName>
    <definedName name="_PT1001025" localSheetId="2">#REF!</definedName>
    <definedName name="_PT1001025" localSheetId="3">#REF!</definedName>
    <definedName name="_PT1001025">#REF!</definedName>
    <definedName name="_PT1001027">#REF!</definedName>
    <definedName name="_PT1001031">#REF!</definedName>
    <definedName name="_PT1001040">#REF!</definedName>
    <definedName name="_PT1002">#REF!</definedName>
    <definedName name="_rim4">#REF!</definedName>
    <definedName name="_rm4">#REF!</definedName>
    <definedName name="_Sort" localSheetId="1" hidden="1">[3]consolidated!#REF!</definedName>
    <definedName name="_Sort" localSheetId="2" hidden="1">[3]consolidated!#REF!</definedName>
    <definedName name="_Sort" localSheetId="3" hidden="1">[3]consolidated!#REF!</definedName>
    <definedName name="_Sort" hidden="1">[3]consolidated!#REF!</definedName>
    <definedName name="a" localSheetId="1">#REF!</definedName>
    <definedName name="a" localSheetId="2">#REF!</definedName>
    <definedName name="a" localSheetId="3">#REF!</definedName>
    <definedName name="a">#REF!</definedName>
    <definedName name="A_1">#REF!</definedName>
    <definedName name="A_2">#REF!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 hidden="1">{"'LTITL'!$A$1:$P$35"}</definedName>
    <definedName name="aaa">[4]Sachin!#REF!</definedName>
    <definedName name="acab">"$#REF!.$AQ$3"</definedName>
    <definedName name="accab">"$#REF!.$AS$3"</definedName>
    <definedName name="AccessDatabase" hidden="1">"C:\Documents and Settings\JUNAGADH DAIRY\My Documents\priti\Priti\MIS &amp; A.C\January 07\January 07.mdb"</definedName>
    <definedName name="Account_Balance" localSheetId="1">#REF!</definedName>
    <definedName name="Account_Balance" localSheetId="2">#REF!</definedName>
    <definedName name="Account_Balance" localSheetId="3">#REF!</definedName>
    <definedName name="Account_Balance">#REF!</definedName>
    <definedName name="acon">"$#REF!.$AR$3"</definedName>
    <definedName name="ActCode">#REF!</definedName>
    <definedName name="ActPilot">#REF!</definedName>
    <definedName name="ActSignal">#REF!</definedName>
    <definedName name="ActType">#REF!</definedName>
    <definedName name="ActualCv">#REF!</definedName>
    <definedName name="ActualPress">#REF!</definedName>
    <definedName name="AD">#REF!</definedName>
    <definedName name="adsfasdf">#REF!</definedName>
    <definedName name="AllPrice" localSheetId="1">#REF!</definedName>
    <definedName name="AllPrice" localSheetId="2">#REF!</definedName>
    <definedName name="AllPrice" localSheetId="3">#REF!</definedName>
    <definedName name="AllPrice">#REF!</definedName>
    <definedName name="an">#REF!</definedName>
    <definedName name="APP_AA">"$#REF!.$#REF!$7"</definedName>
    <definedName name="APP_AP_OS">"$#REF!.$#REF!$5"</definedName>
    <definedName name="app_server_compute_requirement_cores">[5]Calculations!$H$83</definedName>
    <definedName name="app_server_localdisk_requirement_gb">[5]Calculations!$H$114</definedName>
    <definedName name="app_server_localdisk_requirement_iops">[5]Calculations!$H$131</definedName>
    <definedName name="app_server_localdisk_requirement_mib_s">[5]Calculations!$H$132</definedName>
    <definedName name="app_server_ram_requirement_gib">[5]Calculations!$H$94</definedName>
    <definedName name="Apples">#REF!</definedName>
    <definedName name="Applicable">[6]Sheet2!$A$1:$A$2</definedName>
    <definedName name="APRIL_2000" localSheetId="1">#REF!</definedName>
    <definedName name="APRIL_2000" localSheetId="2">#REF!</definedName>
    <definedName name="APRIL_2000" localSheetId="3">#REF!</definedName>
    <definedName name="APRIL_2000">#REF!</definedName>
    <definedName name="ARCHIVE_DURATION">#REF!</definedName>
    <definedName name="ARCHIVE_GSIZE">#REF!</definedName>
    <definedName name="ARCHIVE_SDURATION">#REF!</definedName>
    <definedName name="as">#REF!</definedName>
    <definedName name="AS2HasNoAutoHeaderFooter" hidden="1">" "</definedName>
    <definedName name="AS2ReportLS" hidden="1">1</definedName>
    <definedName name="AS2SyncStepLS" hidden="1">0</definedName>
    <definedName name="AS2TickmarkLS" localSheetId="1" hidden="1">#REF!</definedName>
    <definedName name="AS2TickmarkLS" localSheetId="2" hidden="1">#REF!</definedName>
    <definedName name="AS2TickmarkLS" localSheetId="3" hidden="1">#REF!</definedName>
    <definedName name="AS2TickmarkLS" hidden="1">#REF!</definedName>
    <definedName name="AS2VersionLS" hidden="1">300</definedName>
    <definedName name="asdd" hidden="1">{"'LTITL'!$A$1:$P$35"}</definedName>
    <definedName name="asf">#REF!</definedName>
    <definedName name="auxlp">#REF!</definedName>
    <definedName name="B">'[7]PRECAST lightconc-II'!$K$19</definedName>
    <definedName name="Bananas">#REF!</definedName>
    <definedName name="Band">[8]Labels!$E$3:$E$9</definedName>
    <definedName name="BaseModel" localSheetId="1">#REF!</definedName>
    <definedName name="BaseModel" localSheetId="2">#REF!</definedName>
    <definedName name="BaseModel" localSheetId="3">#REF!</definedName>
    <definedName name="BaseModel">#REF!</definedName>
    <definedName name="BaseModelPrice">#REF!</definedName>
    <definedName name="BasePrice">#REF!</definedName>
    <definedName name="BEx3O85IKWARA6NCJOLRBRJFMEWW" hidden="1">'[9]Volume 09-10'!#REF!</definedName>
    <definedName name="BEx5MLQZM68YQSKARVWTTPINFQ2C" hidden="1">'[9]Volume 09-10'!#REF!</definedName>
    <definedName name="BExERWCEBKQRYWRQLYJ4UCMMKTHG" hidden="1">'[9]Volume 09-10'!#REF!</definedName>
    <definedName name="BExMBYPQDG9AYDQ5E8IECVFREPO6" hidden="1">'[9]Volume 09-10'!#REF!</definedName>
    <definedName name="BExQ9ZLYHWABXAA9NJDW8ZS0UQ9P" hidden="1">'[9]Volume 09-10'!#REF!</definedName>
    <definedName name="BExTUY9WNSJ91GV8CP0SKJTEIV82" hidden="1">'[9]Volume 09-10'!#REF!</definedName>
    <definedName name="BG_Del" hidden="1">15</definedName>
    <definedName name="BG_Ins" hidden="1">4</definedName>
    <definedName name="BG_Mod" hidden="1">6</definedName>
    <definedName name="BILL_TO_ADDRESS">[10]Sachin!#REF!</definedName>
    <definedName name="BILL_TO_CONTACT">[10]Sachin!#REF!</definedName>
    <definedName name="BILL_TO_LABEL">[10]Sachin!#REF!</definedName>
    <definedName name="BILL_TO_NAME">[10]Sachin!#REF!</definedName>
    <definedName name="BILL_TO_PHONE">[10]Sachin!#REF!</definedName>
    <definedName name="bit">[11]Reference!$B$2:$B$6</definedName>
    <definedName name="BITRATE">#REF!</definedName>
    <definedName name="BldgQty">"$#REF!.$M$4"</definedName>
    <definedName name="bol">#REF!</definedName>
    <definedName name="boml">#REF!</definedName>
    <definedName name="botl">#REF!</definedName>
    <definedName name="botn">#REF!</definedName>
    <definedName name="Breakup">#REF!</definedName>
    <definedName name="BRS_FLOOR_ANALYSIS_LINES_TO_FORMAT0">[10]Sachin!#REF!</definedName>
    <definedName name="BRS_FLOOR_ANALYSIS_LINES_TO_FORMAT1">[10]Sachin!#REF!</definedName>
    <definedName name="BRS_FLOOR_ANALYSIS_SECTION">[10]Sachin!#REF!</definedName>
    <definedName name="BRStage">#REF!</definedName>
    <definedName name="bua">#REF!</definedName>
    <definedName name="bxnvxnd">#REF!</definedName>
    <definedName name="C_">#N/A</definedName>
    <definedName name="cab">#REF!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d">"$#REF!.$#REF!$#REF!"</definedName>
    <definedName name="cabf">"$#REF!.$#REF!$#REF!"</definedName>
    <definedName name="cabinet">#REF!</definedName>
    <definedName name="Cable_SW">#REF!</definedName>
    <definedName name="cald">"$#REF!.$B$11"</definedName>
    <definedName name="CALf">#REF!</definedName>
    <definedName name="CALIMP">"'file://Vijay/d/Offers/GRUNDFOSS/Grundfoss Offer 4A12/Final Offer - 4C16/IO List 4C08.xls'#$factors.$#REF!$#REF!"</definedName>
    <definedName name="cant">'[12]Staff Acco.'!#REF!</definedName>
    <definedName name="Capital1" localSheetId="1">#REF!</definedName>
    <definedName name="Capital1" localSheetId="2">#REF!</definedName>
    <definedName name="Capital1" localSheetId="3">#REF!</definedName>
    <definedName name="Capital1">#REF!</definedName>
    <definedName name="CardReaderInd400">[13]CCTV_EST1!#REF!</definedName>
    <definedName name="cbcbccb" localSheetId="1" hidden="1">[14]consolidated!#REF!</definedName>
    <definedName name="cbcbccb" localSheetId="2" hidden="1">[14]consolidated!#REF!</definedName>
    <definedName name="cbcbccb" localSheetId="3" hidden="1">[14]consolidated!#REF!</definedName>
    <definedName name="cbcbccb" hidden="1">[14]consolidated!#REF!</definedName>
    <definedName name="cdf">#REF!</definedName>
    <definedName name="cffdf" localSheetId="1">#REF!</definedName>
    <definedName name="cffdf" localSheetId="2">#REF!</definedName>
    <definedName name="cffdf" localSheetId="3">#REF!</definedName>
    <definedName name="cffdf">#REF!</definedName>
    <definedName name="CFG_SECTION">#REF!</definedName>
    <definedName name="CFG_SUBTOTAL_ALL">[10]Sachin!#REF!</definedName>
    <definedName name="CFG_SUBTOTAL_HW">[10]Sachin!#REF!</definedName>
    <definedName name="CFG_SUBTOTAL_MW">[10]Sachin!#REF!</definedName>
    <definedName name="CFG_SUBTOTAL_PS">[10]Sachin!#REF!</definedName>
    <definedName name="CFG_SUBTOTAL_SECTION">[10]Sachin!#REF!</definedName>
    <definedName name="CFG_SUBTOTAL_SW">[10]Sachin!#REF!</definedName>
    <definedName name="CFG_TITLE_FLD_CFG_NAME">#REF!</definedName>
    <definedName name="CFG_TITLE_SECTION">#REF!</definedName>
    <definedName name="chfinr">#REF!</definedName>
    <definedName name="ciff">#REF!</definedName>
    <definedName name="Cisco_Category">#REF!</definedName>
    <definedName name="Cisco_MA">#REF!</definedName>
    <definedName name="CleintEmail" localSheetId="1">#REF!</definedName>
    <definedName name="CleintEmail" localSheetId="2">#REF!</definedName>
    <definedName name="CleintEmail" localSheetId="3">#REF!</definedName>
    <definedName name="CleintEmail">#REF!</definedName>
    <definedName name="ClientAddress1">#REF!</definedName>
    <definedName name="ClientAddress2">#REF!</definedName>
    <definedName name="ClientCity">#REF!</definedName>
    <definedName name="ClientComp0">#REF!</definedName>
    <definedName name="ClientCompany">#REF!</definedName>
    <definedName name="ClientCountry">#REF!</definedName>
    <definedName name="ClientEmail">#REF!</definedName>
    <definedName name="ClientFax">#REF!</definedName>
    <definedName name="ClientLand">#REF!</definedName>
    <definedName name="ClientName">#REF!</definedName>
    <definedName name="ClientPhone">#REF!</definedName>
    <definedName name="ClientState">#REF!</definedName>
    <definedName name="ClientStreet">#REF!</definedName>
    <definedName name="ClientTel">#REF!</definedName>
    <definedName name="ClientTown">#REF!</definedName>
    <definedName name="ClientZip">#REF!</definedName>
    <definedName name="clrf">#REF!</definedName>
    <definedName name="Cluster">[15]Summary!$Q$91:$Q$93</definedName>
    <definedName name="Cluster_tech">[15]Summary!$R$91:$R$95</definedName>
    <definedName name="clustered_p">[5]Calculations!$H$52</definedName>
    <definedName name="COAD">'[16]Civil Works'!$K$7</definedName>
    <definedName name="Codelines">[17]Controls!$B$3:$B$7</definedName>
    <definedName name="Codelines_Score">[17]Controls!$C$3:$C$7</definedName>
    <definedName name="CoLocation" localSheetId="1">#REF!</definedName>
    <definedName name="CoLocation" localSheetId="2">#REF!</definedName>
    <definedName name="CoLocation" localSheetId="3">#REF!</definedName>
    <definedName name="CoLocation">#REF!</definedName>
    <definedName name="COLOR_BITS">#REF!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ment8">#REF!</definedName>
    <definedName name="Comments">#REF!</definedName>
    <definedName name="COMP_RATIO">#REF!</definedName>
    <definedName name="Company">#REF!</definedName>
    <definedName name="CompanyInfo1">"JCI"</definedName>
    <definedName name="CompanyInfo2">"JCI"</definedName>
    <definedName name="Component" localSheetId="1">#REF!</definedName>
    <definedName name="Component" localSheetId="2">#REF!</definedName>
    <definedName name="Component" localSheetId="3">#REF!</definedName>
    <definedName name="Component">#REF!</definedName>
    <definedName name="Concurrent_Users">[17]Controls!$B$10:$B$14</definedName>
    <definedName name="condf">#REF!</definedName>
    <definedName name="conf">"$#REF!.$#REF!$#REF!"</definedName>
    <definedName name="Config">[18]cost!$B$3:$B$30</definedName>
    <definedName name="ConfigInfo1" localSheetId="1">#REF!</definedName>
    <definedName name="ConfigInfo1" localSheetId="2">#REF!</definedName>
    <definedName name="ConfigInfo1" localSheetId="3">#REF!</definedName>
    <definedName name="ConfigInfo1">#REF!</definedName>
    <definedName name="ConfigInfo2">#REF!</definedName>
    <definedName name="ConfigPrice">#REF!</definedName>
    <definedName name="ConfigPriceEuro">#REF!</definedName>
    <definedName name="ConfigState">#REF!</definedName>
    <definedName name="conmsf">[19]factors!$J$8</definedName>
    <definedName name="Construction_Period">#REF!</definedName>
    <definedName name="Contact">#REF!</definedName>
    <definedName name="Contingency">#REF!</definedName>
    <definedName name="ContractName">"Contract"</definedName>
    <definedName name="ContractNumber">"88888888"</definedName>
    <definedName name="CONV">'[20]MS NET'!#REF!</definedName>
    <definedName name="costing">#REF!</definedName>
    <definedName name="CSI_FLD_CSI_DESCRIPTION">[10]Sachin!#REF!</definedName>
    <definedName name="CSI_FLD_CSI_NAME">[10]Sachin!#REF!</definedName>
    <definedName name="CSI_FLD_CSI_SERIAL_NUMBER">[10]Sachin!#REF!</definedName>
    <definedName name="CSI_LABEL_FORCOPY_SERIAL_NUMBER">[10]Sachin!#REF!</definedName>
    <definedName name="CSI_LABEL_HEADERS">#REF!</definedName>
    <definedName name="CSI_LINE_HW">#REF!</definedName>
    <definedName name="CSI_LINE_MW">[10]Sachin!#REF!</definedName>
    <definedName name="CSI_LINE_PS">[10]Sachin!#REF!</definedName>
    <definedName name="CSI_LINE_SW">[10]Sachin!#REF!</definedName>
    <definedName name="CSI_SECTION_HW_ALL">#REF!</definedName>
    <definedName name="CSI_SECTION_HW_BOT">[10]Sachin!#REF!</definedName>
    <definedName name="CSI_SECTION_HW_TOP">#REF!</definedName>
    <definedName name="CSI_SECTION_MW_ALL">[10]Sachin!#REF!</definedName>
    <definedName name="CSI_SECTION_MW_BOT">[10]Sachin!#REF!</definedName>
    <definedName name="CSI_SECTION_MW_TOP">[10]Sachin!#REF!</definedName>
    <definedName name="CSI_SECTION_PS_ALL">[10]Sachin!#REF!</definedName>
    <definedName name="CSI_SECTION_PS_BOT">[10]Sachin!#REF!</definedName>
    <definedName name="CSI_SECTION_PS_TOP">[10]Sachin!#REF!</definedName>
    <definedName name="CSI_SECTION_SW_ALL">[10]Sachin!#REF!</definedName>
    <definedName name="CSI_SECTION_SW_BOT">[10]Sachin!#REF!</definedName>
    <definedName name="CSI_SECTION_SW_TOP">[10]Sachin!#REF!</definedName>
    <definedName name="CSI_SECTION_TITLE">[10]Sachin!#REF!</definedName>
    <definedName name="CSI_SUBTOTAL_HW">[10]Sachin!#REF!</definedName>
    <definedName name="CSI_SUBTOTAL_MW">[10]Sachin!#REF!</definedName>
    <definedName name="CSI_SUBTOTAL_PS">[10]Sachin!#REF!</definedName>
    <definedName name="CSI_SUBTOTAL_SW">[10]Sachin!#REF!</definedName>
    <definedName name="CSR">#REF!</definedName>
    <definedName name="cstf">#REF!</definedName>
    <definedName name="Currency">'[21]Content Instructions'!$B$7</definedName>
    <definedName name="custom1">#REF!</definedName>
    <definedName name="Customer">" "</definedName>
    <definedName name="cvdf">#REF!</definedName>
    <definedName name="d" localSheetId="1">#N/A</definedName>
    <definedName name="d" localSheetId="2">#N/A</definedName>
    <definedName name="d" localSheetId="3">#N/A</definedName>
    <definedName name="d">#REF!</definedName>
    <definedName name="d_1">#N/A</definedName>
    <definedName name="_xlnm.Database" localSheetId="1">#REF!</definedName>
    <definedName name="_xlnm.Database" localSheetId="2">#REF!</definedName>
    <definedName name="_xlnm.Database" localSheetId="3">#REF!</definedName>
    <definedName name="_xlnm.Database">#REF!</definedName>
    <definedName name="Date">#REF!</definedName>
    <definedName name="DB_AA">"$#REF!.$#REF!$8"</definedName>
    <definedName name="DB_AP_OS">"$#REF!.$#REF!$6"</definedName>
    <definedName name="db_managed_by_csp_p">'[5]Project Configuration'!$H$17</definedName>
    <definedName name="db_server_compute_requirement_cores">[5]Calculations!$H$146</definedName>
    <definedName name="db_server_disk_requirement_gb">[5]Calculations!$H$175</definedName>
    <definedName name="db_server_disk_requirement_iops">[5]Calculations!$H$191</definedName>
    <definedName name="db_server_disk_requirement_mib_s">[5]Calculations!$H$199</definedName>
    <definedName name="db_server_ram_requirement_gib">[5]Calculations!$H$156</definedName>
    <definedName name="DB_Types">'[22]Data Domains'!$D$2:$D$8</definedName>
    <definedName name="DC100100AA">"$#REF!.$D$8"</definedName>
    <definedName name="DC5050AA">"$#REF!.$D$6"</definedName>
    <definedName name="DCAP">"$#REF!.$D$7"</definedName>
    <definedName name="dcdd" localSheetId="1">#REF!</definedName>
    <definedName name="dcdd" localSheetId="2">#REF!</definedName>
    <definedName name="dcdd" localSheetId="3">#REF!</definedName>
    <definedName name="dcdd">#REF!</definedName>
    <definedName name="DCU">'[23]ACS(1)'!#REF!</definedName>
    <definedName name="dd" localSheetId="1" hidden="1">{"'LTITL'!$A$1:$P$35"}</definedName>
    <definedName name="dd" localSheetId="2" hidden="1">{"'LTITL'!$A$1:$P$35"}</definedName>
    <definedName name="dd" localSheetId="3" hidden="1">{"'LTITL'!$A$1:$P$35"}</definedName>
    <definedName name="dd" hidden="1">{"'LTITL'!$A$1:$P$35"}</definedName>
    <definedName name="ddd" localSheetId="1" hidden="1">{"'LTITL'!$A$1:$P$35"}</definedName>
    <definedName name="ddd" localSheetId="2" hidden="1">{"'LTITL'!$A$1:$P$35"}</definedName>
    <definedName name="ddd" localSheetId="3" hidden="1">{"'LTITL'!$A$1:$P$35"}</definedName>
    <definedName name="ddd" hidden="1">{"'LTITL'!$A$1:$P$35"}</definedName>
    <definedName name="de">#REF!</definedName>
    <definedName name="DECISION">[24]Sheet2!$B$2:$B$3</definedName>
    <definedName name="dep_pm" localSheetId="1">#REF!</definedName>
    <definedName name="dep_pm" localSheetId="2">#REF!</definedName>
    <definedName name="dep_pm" localSheetId="3">#REF!</definedName>
    <definedName name="dep_pm">#REF!</definedName>
    <definedName name="depcom_pa">#REF!</definedName>
    <definedName name="depsch_pa">#REF!</definedName>
    <definedName name="depveh_pa">#REF!</definedName>
    <definedName name="Description">#REF!</definedName>
    <definedName name="DesignPress">#REF!</definedName>
    <definedName name="Devicetype">#REF!</definedName>
    <definedName name="dim4e">"$#REF!.$#REF!$#REF!"</definedName>
    <definedName name="Disaggregations" localSheetId="1">#REF!</definedName>
    <definedName name="Disaggregations" localSheetId="2">#REF!</definedName>
    <definedName name="Disaggregations" localSheetId="3">#REF!</definedName>
    <definedName name="Disaggregations">#REF!</definedName>
    <definedName name="Discuss">"$#REF!.$#REF!$5"</definedName>
    <definedName name="Dm" localSheetId="1">#REF!</definedName>
    <definedName name="Dm" localSheetId="2">#REF!</definedName>
    <definedName name="Dm" localSheetId="3">#REF!</definedName>
    <definedName name="Dm">#REF!</definedName>
    <definedName name="DocumentName">""</definedName>
    <definedName name="DocumentNumber">""</definedName>
    <definedName name="dollar_conv">#N/A</definedName>
    <definedName name="dollar_conv_1">#N/A</definedName>
    <definedName name="dollar_conv_2">#N/A</definedName>
    <definedName name="DONV">'[25]MS NET'!#REF!</definedName>
    <definedName name="DP">#REF!</definedName>
    <definedName name="DR">[26]Summary!$V$91:$V$92</definedName>
    <definedName name="DR_100">"$#REF!.$D$12"</definedName>
    <definedName name="DR_50">"$#REF!.$D$9"</definedName>
    <definedName name="dr_required_p">'[5]Project Configuration'!$H$21</definedName>
    <definedName name="DriveSets" localSheetId="1">#REF!</definedName>
    <definedName name="DriveSets" localSheetId="2">#REF!</definedName>
    <definedName name="DriveSets" localSheetId="3">#REF!</definedName>
    <definedName name="DriveSets">[27]Storage!#REF!</definedName>
    <definedName name="dsdud">#REF!</definedName>
    <definedName name="DT">#N/A</definedName>
    <definedName name="Dual_Power">[28]Validations!$F$3:$F$9</definedName>
    <definedName name="Dv" localSheetId="1">#REF!</definedName>
    <definedName name="Dv" localSheetId="2">#REF!</definedName>
    <definedName name="Dv" localSheetId="3">#REF!</definedName>
    <definedName name="Dv">#REF!</definedName>
    <definedName name="E">'[7]PRECAST lightconc-II'!$K$20</definedName>
    <definedName name="Ed" localSheetId="1">#REF!</definedName>
    <definedName name="Ed" localSheetId="2">#REF!</definedName>
    <definedName name="Ed" localSheetId="3">#REF!</definedName>
    <definedName name="Ed">#REF!</definedName>
    <definedName name="Ei" localSheetId="1">#REF!</definedName>
    <definedName name="Ei" localSheetId="2">#REF!</definedName>
    <definedName name="Ei" localSheetId="3">#REF!</definedName>
    <definedName name="Ei">#REF!</definedName>
    <definedName name="EIGHT" localSheetId="1">'[29]1-8'!#REF!</definedName>
    <definedName name="EIGHT" localSheetId="2">'[29]1-8'!#REF!</definedName>
    <definedName name="EIGHT" localSheetId="3">'[29]1-8'!#REF!</definedName>
    <definedName name="EIGHT">'[29]1-8'!#REF!</definedName>
    <definedName name="Elements">[30]Choices!$A$11:$A$19</definedName>
    <definedName name="Em" localSheetId="1">#REF!</definedName>
    <definedName name="Em" localSheetId="2">#REF!</definedName>
    <definedName name="Em" localSheetId="3">#REF!</definedName>
    <definedName name="Em">#REF!</definedName>
    <definedName name="EMC_ADDRESS">[10]Sachin!#REF!</definedName>
    <definedName name="EMC_BM_TABLE_HEADER">[10]Sachin!#REF!</definedName>
    <definedName name="EMC_BUSINESS_MONITORING">[10]Sachin!#REF!</definedName>
    <definedName name="EMC_NO_RULES_BROKEN">[10]Sachin!#REF!</definedName>
    <definedName name="EMC21\">#REF!</definedName>
    <definedName name="Encoder">[13]CCTV_EST1!#REF!</definedName>
    <definedName name="EpDy" localSheetId="1">#REF!</definedName>
    <definedName name="EpDy" localSheetId="2">#REF!</definedName>
    <definedName name="EpDy" localSheetId="3">#REF!</definedName>
    <definedName name="EpDy">#REF!</definedName>
    <definedName name="ere">#REF!</definedName>
    <definedName name="ESER325">#REF!</definedName>
    <definedName name="ESM">'[31]Base data Security Procedures'!$D$116:$D$121</definedName>
    <definedName name="eu">"$#REF!.$#REF!$#REF!"</definedName>
    <definedName name="EUR">#REF!</definedName>
    <definedName name="Ev" localSheetId="1">#REF!</definedName>
    <definedName name="Ev" localSheetId="2">#REF!</definedName>
    <definedName name="Ev" localSheetId="3">#REF!</definedName>
    <definedName name="Ev">#REF!</definedName>
    <definedName name="EVENT_FRATE">#REF!</definedName>
    <definedName name="EVENT_MSIZE">#REF!</definedName>
    <definedName name="EVENT_SDURATION">#REF!</definedName>
    <definedName name="ewfwfw.">#REF!</definedName>
    <definedName name="Excel_BuiltIn__FilterDatabase_1">#REF!</definedName>
    <definedName name="Excel_BuiltIn__FilterDatabase_2">#REF!</definedName>
    <definedName name="Excel_BuiltIn__FilterDatabase_3">#REF!</definedName>
    <definedName name="Excel_BuiltIn__FilterDatabase_5">#REF!</definedName>
    <definedName name="Excel_BuiltIn__FilterDatabase_5_1">#REF!</definedName>
    <definedName name="Excel_BuiltIn__FilterDatabase_6_1">#REF!</definedName>
    <definedName name="Excel_BuiltIn__FilterDatabase_7">#REF!</definedName>
    <definedName name="Excel_BuiltIn__FilterDatabase_7_1">#REF!</definedName>
    <definedName name="Excel_BuiltIn_Print_Area_1_1">#REF!</definedName>
    <definedName name="Excel_BuiltIn_Print_Area_4_1">"$#REF!.$A$1:$I$15"</definedName>
    <definedName name="Excel_BuiltIn_Print_Area_6">"$#REF!.$A$1:$C$14"</definedName>
    <definedName name="Excel_BuiltIn_Print_Titles_1">#REF!</definedName>
    <definedName name="Excel_BuiltIn_Print_Titles_4_1">"$#REF!.$A$5:$IV$7"</definedName>
    <definedName name="Excel_BuiltIn_Print_Titles_5">"$#REF!.$A$3:$IV$4"</definedName>
    <definedName name="Excel_BuiltIn_Print_Titles_6">"$#REF!.$A$5:$IV$7"</definedName>
    <definedName name="Expected_balance" localSheetId="1">#REF!</definedName>
    <definedName name="Expected_balance" localSheetId="2">#REF!</definedName>
    <definedName name="Expected_balance" localSheetId="3">#REF!</definedName>
    <definedName name="Expected_balance">#REF!</definedName>
    <definedName name="Export">#REF!</definedName>
    <definedName name="eyrlp">#REF!</definedName>
    <definedName name="f">#REF!</definedName>
    <definedName name="FACP">'[23]FAS-C(4)'!#REF!</definedName>
    <definedName name="fdd" localSheetId="1">#REF!</definedName>
    <definedName name="fdd" localSheetId="2">#REF!</definedName>
    <definedName name="fdd" localSheetId="3">#REF!</definedName>
    <definedName name="fdd">#REF!</definedName>
    <definedName name="fewgwergwegwe">#REF!</definedName>
    <definedName name="ff">#REF!</definedName>
    <definedName name="FF_967">#REF!</definedName>
    <definedName name="fff">#REF!</definedName>
    <definedName name="fg">#REF!</definedName>
    <definedName name="fgf">#REF!</definedName>
    <definedName name="FIFTH">#REF!</definedName>
    <definedName name="filters">[24]Sheet2!$K$2:$K$5</definedName>
    <definedName name="Finland" localSheetId="1" hidden="1">{"'LTITL'!$A$1:$P$35"}</definedName>
    <definedName name="Finland" localSheetId="2" hidden="1">{"'LTITL'!$A$1:$P$35"}</definedName>
    <definedName name="Finland" localSheetId="3" hidden="1">{"'LTITL'!$A$1:$P$35"}</definedName>
    <definedName name="Finland" hidden="1">{"'LTITL'!$A$1:$P$35"}</definedName>
    <definedName name="firstValve">#REF!</definedName>
    <definedName name="FirstWarn">#REF!</definedName>
    <definedName name="Fixed_Lens">#REF!</definedName>
    <definedName name="Fixed_Lens2">'[23]CCTV(old)'!#REF!</definedName>
    <definedName name="FLOOR_ANALYSIS_LINES_TO_FORMAT0">[10]Sachin!#REF!</definedName>
    <definedName name="FLOOR_ANALYSIS_LINES_TO_FORMAT1">[10]Sachin!#REF!</definedName>
    <definedName name="FLOOR_ANALYSIS_SECTION">[10]Sachin!#REF!</definedName>
    <definedName name="Floorsqty">"$#REF!.$M$5"</definedName>
    <definedName name="Fm" localSheetId="1">#REF!</definedName>
    <definedName name="Fm" localSheetId="2">#REF!</definedName>
    <definedName name="Fm" localSheetId="3">#REF!</definedName>
    <definedName name="Fm">#REF!</definedName>
    <definedName name="FOR">#REF!</definedName>
    <definedName name="FormUR">#REF!</definedName>
    <definedName name="FRAME_BSIZE">#REF!</definedName>
    <definedName name="FRAME_SIZE">#REF!</definedName>
    <definedName name="fsg">#REF!</definedName>
    <definedName name="FTH">[8]Labels!$A$7:$A$9</definedName>
    <definedName name="FTH_Types">[8]Labels!$C$12:$C$13</definedName>
    <definedName name="g">#REF!</definedName>
    <definedName name="gareett">#REF!</definedName>
    <definedName name="gfg">#REF!</definedName>
    <definedName name="gg">[4]Sachin!#REF!</definedName>
    <definedName name="Gi" localSheetId="1">#REF!</definedName>
    <definedName name="Gi" localSheetId="2">#REF!</definedName>
    <definedName name="Gi" localSheetId="3">#REF!</definedName>
    <definedName name="Gi">#REF!</definedName>
    <definedName name="GlobalConfig" localSheetId="1">#REF!</definedName>
    <definedName name="GlobalConfig" localSheetId="2">#REF!</definedName>
    <definedName name="GlobalConfig" localSheetId="3">#REF!</definedName>
    <definedName name="GlobalConfig">[32]Überblick!#REF!</definedName>
    <definedName name="GlobalDescr" localSheetId="1">#REF!</definedName>
    <definedName name="GlobalDescr" localSheetId="2">#REF!</definedName>
    <definedName name="GlobalDescr" localSheetId="3">#REF!</definedName>
    <definedName name="GlobalDescr">#REF!</definedName>
    <definedName name="Gm">#REF!</definedName>
    <definedName name="Group">#REF!</definedName>
    <definedName name="Group1">#REF!</definedName>
    <definedName name="Group2">#REF!</definedName>
    <definedName name="Group3">#REF!</definedName>
    <definedName name="Group4">#REF!</definedName>
    <definedName name="grp_WalkMeArrows">"shp_ArrowCurved,txt_WalkMeArrows,shp_ArrowStraight"</definedName>
    <definedName name="grp_WalkMeBrace">"shp_BraceBottom,txt_WalkMeBrace,shp_BraceLeft"</definedName>
    <definedName name="GSA_HEADER_FIELDS">[10]Sachin!#REF!</definedName>
    <definedName name="Gv" localSheetId="1">#REF!</definedName>
    <definedName name="Gv" localSheetId="2">#REF!</definedName>
    <definedName name="Gv" localSheetId="3">#REF!</definedName>
    <definedName name="Gv">#REF!</definedName>
    <definedName name="H" localSheetId="1">[27]Storage!#REF!</definedName>
    <definedName name="H" localSheetId="2">[27]Storage!#REF!</definedName>
    <definedName name="H" localSheetId="3">[27]Storage!#REF!</definedName>
    <definedName name="H">[27]Storage!#REF!</definedName>
    <definedName name="handling">#REF!</definedName>
    <definedName name="Hardware" localSheetId="1">#REF!</definedName>
    <definedName name="Hardware" localSheetId="2">#REF!</definedName>
    <definedName name="Hardware" localSheetId="3">#REF!</definedName>
    <definedName name="Hardware">#REF!</definedName>
    <definedName name="HEAD" localSheetId="1">#REF!</definedName>
    <definedName name="HEAD" localSheetId="2">#REF!</definedName>
    <definedName name="HEAD" localSheetId="3">#REF!</definedName>
    <definedName name="HEAD">#REF!</definedName>
    <definedName name="HEM">#REF!</definedName>
    <definedName name="HEMANT">#REF!</definedName>
    <definedName name="HEMANT11">#REF!</definedName>
    <definedName name="hemanthh">#REF!</definedName>
    <definedName name="Hexaware">#REF!</definedName>
    <definedName name="HF">#REF!</definedName>
    <definedName name="hh">#REF!</definedName>
    <definedName name="Hints">#REF!</definedName>
    <definedName name="HintSystem">#REF!</definedName>
    <definedName name="Holland" localSheetId="1" hidden="1">{"'LTITL'!$A$1:$P$35"}</definedName>
    <definedName name="Holland" localSheetId="2" hidden="1">{"'LTITL'!$A$1:$P$35"}</definedName>
    <definedName name="Holland" localSheetId="3" hidden="1">{"'LTITL'!$A$1:$P$35"}</definedName>
    <definedName name="Holland" hidden="1">{"'LTITL'!$A$1:$P$35"}</definedName>
    <definedName name="Housing_Accessories">'[23]CCTV(old)'!#REF!</definedName>
    <definedName name="Housing_Prepacs">'[23]CCTV(old)'!#REF!</definedName>
    <definedName name="HR_022pD" localSheetId="1">#REF!</definedName>
    <definedName name="HR_022pD" localSheetId="2">#REF!</definedName>
    <definedName name="HR_022pD" localSheetId="3">#REF!</definedName>
    <definedName name="HR_022pD">#REF!</definedName>
    <definedName name="HR_023pE">#REF!</definedName>
    <definedName name="HR_025pE">#REF!</definedName>
    <definedName name="HR_027pE">#REF!</definedName>
    <definedName name="HR_031pC">#REF!</definedName>
    <definedName name="HR_031pS">#REF!</definedName>
    <definedName name="HR_032pP">#REF!</definedName>
    <definedName name="HR_040pE">#REF!</definedName>
    <definedName name="HR_31pT">#REF!</definedName>
    <definedName name="HR_C">#REF!</definedName>
    <definedName name="HR_D">#REF!</definedName>
    <definedName name="HR_F">#REF!</definedName>
    <definedName name="HR_G">#REF!</definedName>
    <definedName name="HR_P">#REF!</definedName>
    <definedName name="HR_Q">#REF!</definedName>
    <definedName name="HR_R">#REF!</definedName>
    <definedName name="HR_S">#REF!</definedName>
    <definedName name="HR_T">#REF!</definedName>
    <definedName name="HRIADATANR">#REF!</definedName>
    <definedName name="HRITABNR">#REF!</definedName>
    <definedName name="HRPAD22">#REF!</definedName>
    <definedName name="HRPAD23">#REF!</definedName>
    <definedName name="HRPAD25">#REF!</definedName>
    <definedName name="HRPAD27">#REF!</definedName>
    <definedName name="HRPAD31">#REF!</definedName>
    <definedName name="HRPnnnn">#REF!</definedName>
    <definedName name="HTML_CodePage" hidden="1">1252</definedName>
    <definedName name="HTML_Control" localSheetId="1" hidden="1">{"'LTITL'!$A$1:$P$35"}</definedName>
    <definedName name="HTML_Control" localSheetId="2" hidden="1">{"'LTITL'!$A$1:$P$35"}</definedName>
    <definedName name="HTML_Control" localSheetId="3" hidden="1">{"'LTITL'!$A$1:$P$35"}</definedName>
    <definedName name="HTML_Control" hidden="1">{"'LTITL'!$A$1:$P$35"}</definedName>
    <definedName name="HTML_Description" hidden="1">""</definedName>
    <definedName name="HTML_Email" hidden="1">"ss-isd/gbp-isd"</definedName>
    <definedName name="HTML_Header" hidden="1">""</definedName>
    <definedName name="HTML_LastUpdate" hidden="1">"1/18/99"</definedName>
    <definedName name="HTML_LineAfter" hidden="1">FALSE</definedName>
    <definedName name="HTML_LineBefore" hidden="1">FALSE</definedName>
    <definedName name="HTML_Name" hidden="1">"Shetty/Ganga"</definedName>
    <definedName name="HTML_OBDlg2" hidden="1">TRUE</definedName>
    <definedName name="HTML_OBDlg4" hidden="1">TRUE</definedName>
    <definedName name="HTML_OS" hidden="1">0</definedName>
    <definedName name="HTML_PathFile" hidden="1">#N/A</definedName>
    <definedName name="HTML_Title" hidden="1">""</definedName>
    <definedName name="hypervisor">[11]Reference!$E$2:$E$11</definedName>
    <definedName name="Hypervisor1">[30]Choices!$I$18:$I$18</definedName>
    <definedName name="IBM_Labour">[8]Labels!$A$12:$A$13</definedName>
    <definedName name="iio">#REF!</definedName>
    <definedName name="IN_MDRATE">#REF!</definedName>
    <definedName name="indf">"$#REF!.$#REF!$#REF!"</definedName>
    <definedName name="InitialUse">0</definedName>
    <definedName name="InpTotMisc">[33]Other_Input!$GA$463</definedName>
    <definedName name="InpTotOEM">[33]Other_Input!$GA$237</definedName>
    <definedName name="InpTotOthLab">[33]Other_Input!$GA$124</definedName>
    <definedName name="INR_Conv">#REF!</definedName>
    <definedName name="insert_rows_1">'[34]Basement Budget'!#REF!</definedName>
    <definedName name="INSTALL_AT_ADDRESS">[10]Sachin!#REF!</definedName>
    <definedName name="INSTALL_AT_CONTACT">[10]Sachin!#REF!</definedName>
    <definedName name="INSTALL_AT_LABEL">[10]Sachin!#REF!</definedName>
    <definedName name="INSTALL_AT_NAME">[10]Sachin!#REF!</definedName>
    <definedName name="INSTALL_AT_PHONE">[10]Sachin!#REF!</definedName>
    <definedName name="Instance_qty">[15]Summary!$D$91:$D$98</definedName>
    <definedName name="Instance_tier">[26]Summary!$C$91:$C$93</definedName>
    <definedName name="Instf">[19]factors!$J$12</definedName>
    <definedName name="Interval">'[35]12-Month Sales Forecast'!#REF!</definedName>
    <definedName name="ioio">#REF!</definedName>
    <definedName name="ioioioo">#REF!</definedName>
    <definedName name="IOLIST">'[36]IO LIST'!$A$1:$O$134</definedName>
    <definedName name="IPC_VM_Flavor">[30]Choices!$R$3:$R$30</definedName>
    <definedName name="IsCoreRemote">#N/A</definedName>
    <definedName name="ItemNum">#REF!</definedName>
    <definedName name="j">#REF!</definedName>
    <definedName name="JBOSS">"$#REF!.$#REF!$5"</definedName>
    <definedName name="JobID">#REF!</definedName>
    <definedName name="k" localSheetId="1">#REF!</definedName>
    <definedName name="k" localSheetId="2">#REF!</definedName>
    <definedName name="k" localSheetId="3">#REF!</definedName>
    <definedName name="k">#REF!</definedName>
    <definedName name="khd">"$#REF!.$B$6"</definedName>
    <definedName name="khf">"$#REF!.$J$6"</definedName>
    <definedName name="kih" localSheetId="1" hidden="1">{"'LTITL'!$A$1:$P$35"}</definedName>
    <definedName name="kih" localSheetId="2" hidden="1">{"'LTITL'!$A$1:$P$35"}</definedName>
    <definedName name="kih" localSheetId="3" hidden="1">{"'LTITL'!$A$1:$P$35"}</definedName>
    <definedName name="kih" hidden="1">{"'LTITL'!$A$1:$P$35"}</definedName>
    <definedName name="kj" localSheetId="1" hidden="1">{"'LTITL'!$A$1:$P$35"}</definedName>
    <definedName name="kj" localSheetId="2" hidden="1">{"'LTITL'!$A$1:$P$35"}</definedName>
    <definedName name="kj" localSheetId="3" hidden="1">{"'LTITL'!$A$1:$P$35"}</definedName>
    <definedName name="kj" hidden="1">{"'LTITL'!$A$1:$P$35"}</definedName>
    <definedName name="KK">#REF!</definedName>
    <definedName name="ksd">"$#REF!.$B$7"</definedName>
    <definedName name="ksf">"$#REF!.$J$7"</definedName>
    <definedName name="L">#REF!</definedName>
    <definedName name="L_Adjust">#REF!</definedName>
    <definedName name="L_AJE_Tot">#REF!</definedName>
    <definedName name="L_CY_Beg" localSheetId="1">[37]Links!$F$1:$F$65536</definedName>
    <definedName name="L_CY_Beg" localSheetId="2">[37]Links!$F$1:$F$65536</definedName>
    <definedName name="L_CY_Beg" localSheetId="3">[37]Links!$F$1:$F$65536</definedName>
    <definedName name="L_CY_Beg">[37]Links!$F:$F</definedName>
    <definedName name="L_CY_End" localSheetId="1">#REF!</definedName>
    <definedName name="L_CY_End" localSheetId="2">#REF!</definedName>
    <definedName name="L_CY_End" localSheetId="3">#REF!</definedName>
    <definedName name="L_CY_End">#REF!</definedName>
    <definedName name="L_PY_End" localSheetId="1">#REF!</definedName>
    <definedName name="L_PY_End" localSheetId="2">#REF!</definedName>
    <definedName name="L_PY_End" localSheetId="3">#REF!</definedName>
    <definedName name="L_PY_End">#REF!</definedName>
    <definedName name="L_RJE_Tot" localSheetId="1">#REF!</definedName>
    <definedName name="L_RJE_Tot" localSheetId="2">#REF!</definedName>
    <definedName name="L_RJE_Tot" localSheetId="3">#REF!</definedName>
    <definedName name="L_RJE_Tot">#REF!</definedName>
    <definedName name="Labour_Service_Levels">[8]Labels!$F$28:$F$30</definedName>
    <definedName name="Lead">#REF!</definedName>
    <definedName name="lef">#REF!</definedName>
    <definedName name="lel">#REF!</definedName>
    <definedName name="Lemons">#REF!</definedName>
    <definedName name="List">'[38]Drop down data'!$J$10:$J$316</definedName>
    <definedName name="lkawj" localSheetId="1" hidden="1">{"'LTITL'!$A$1:$P$35"}</definedName>
    <definedName name="lkawj" localSheetId="2" hidden="1">{"'LTITL'!$A$1:$P$35"}</definedName>
    <definedName name="lkawj" localSheetId="3" hidden="1">{"'LTITL'!$A$1:$P$35"}</definedName>
    <definedName name="lkawj" hidden="1">{"'LTITL'!$A$1:$P$35"}</definedName>
    <definedName name="lo">[39]Master!$AI:$AI</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[40]Data!$A$4:$A$20</definedName>
    <definedName name="LOLD">1</definedName>
    <definedName name="LOLD_Table">17</definedName>
    <definedName name="lst_Fruit">#REF!</definedName>
    <definedName name="lst_FruitType">#REF!</definedName>
    <definedName name="ltf">"$#REF!.$B$10"</definedName>
    <definedName name="m">'[1]Originating Station'!#REF!</definedName>
    <definedName name="M_MaxCam">#REF!</definedName>
    <definedName name="M_MaxRecorders">#REF!</definedName>
    <definedName name="Magstripe300">[13]CCTV_EST1!#REF!</definedName>
    <definedName name="Maj_Minor_Rels">[17]Controls!$B$31:$B$35</definedName>
    <definedName name="Maj_Minor_Rels_Score">[17]Controls!$C$31:$C$35</definedName>
    <definedName name="Malaysia1" localSheetId="1" hidden="1">{"'LTITL'!$A$1:$P$35"}</definedName>
    <definedName name="Malaysia1" localSheetId="2" hidden="1">{"'LTITL'!$A$1:$P$35"}</definedName>
    <definedName name="Malaysia1" localSheetId="3" hidden="1">{"'LTITL'!$A$1:$P$35"}</definedName>
    <definedName name="Malaysia1" hidden="1">{"'LTITL'!$A$1:$P$35"}</definedName>
    <definedName name="Malaysia2" localSheetId="1" hidden="1">{"'LTITL'!$A$1:$P$35"}</definedName>
    <definedName name="Malaysia2" localSheetId="2" hidden="1">{"'LTITL'!$A$1:$P$35"}</definedName>
    <definedName name="Malaysia2" localSheetId="3" hidden="1">{"'LTITL'!$A$1:$P$35"}</definedName>
    <definedName name="Malaysia2" hidden="1">{"'LTITL'!$A$1:$P$35"}</definedName>
    <definedName name="mgf">"$#REF!.$#REF!$#REF!"</definedName>
    <definedName name="MHS">[18]cost!$B$34:$B$55</definedName>
    <definedName name="MirrorMode" localSheetId="1">#REF!</definedName>
    <definedName name="MirrorMode" localSheetId="2">#REF!</definedName>
    <definedName name="MirrorMode" localSheetId="3">#REF!</definedName>
    <definedName name="MirrorMode">#REF!</definedName>
    <definedName name="MISC_FLD_TITLE">[10]Sachin!#REF!</definedName>
    <definedName name="MISC_LINE_HW">[10]Sachin!#REF!</definedName>
    <definedName name="MISC_LINE_PS">[10]Sachin!#REF!</definedName>
    <definedName name="MISC_LINE_SW">[10]Sachin!#REF!</definedName>
    <definedName name="MISC_SECTION_HW_ALL">[10]Sachin!#REF!</definedName>
    <definedName name="MISC_SECTION_HW_BOT">[10]Sachin!#REF!</definedName>
    <definedName name="MISC_SECTION_HW_TOP">[10]Sachin!#REF!</definedName>
    <definedName name="MISC_SECTION_PS_ALL">[10]Sachin!#REF!</definedName>
    <definedName name="MISC_SECTION_PS_BOT">[10]Sachin!#REF!</definedName>
    <definedName name="MISC_SECTION_PS_TOP">[10]Sachin!#REF!</definedName>
    <definedName name="MISC_SECTION_SW_ALL">[10]Sachin!#REF!</definedName>
    <definedName name="MISC_SECTION_SW_BOT">[10]Sachin!#REF!</definedName>
    <definedName name="MISC_SECTION_SW_TOP">[10]Sachin!#REF!</definedName>
    <definedName name="MISC_SECTION_TITLE">[10]Sachin!#REF!</definedName>
    <definedName name="MISC_SUBTOTAL_HW">[10]Sachin!#REF!</definedName>
    <definedName name="MISC_SUBTOTAL_PS">[10]Sachin!#REF!</definedName>
    <definedName name="MISC_SUBTOTAL_SW">[10]Sachin!#REF!</definedName>
    <definedName name="MM">#REF!</definedName>
    <definedName name="Monetary_Precision" localSheetId="1">#REF!</definedName>
    <definedName name="Monetary_Precision" localSheetId="2">#REF!</definedName>
    <definedName name="Monetary_Precision" localSheetId="3">#REF!</definedName>
    <definedName name="Monetary_Precision">#REF!</definedName>
    <definedName name="Month">'[21]Content Instructions'!$B$6</definedName>
    <definedName name="Monthly">#REF!</definedName>
    <definedName name="MR_MaxCam">#REF!</definedName>
    <definedName name="MR_MaxRate">#REF!</definedName>
    <definedName name="MS">#REF!</definedName>
    <definedName name="Multinodes">[13]CCTV_EST1!#REF!</definedName>
    <definedName name="MultiYear">[41]Reference!$E$22:$E$23</definedName>
    <definedName name="n_app_servers">[5]Calculations!$H$36</definedName>
    <definedName name="n_app_servers_min">[5]Calculations!$H$32</definedName>
    <definedName name="n_days_data">'[5]Project Configuration'!$H$11</definedName>
    <definedName name="n_db_servers">[5]Calculations!$H$42</definedName>
    <definedName name="n_db_servers_min">[5]Calculations!$H$40</definedName>
    <definedName name="n_meters">'[5]Project Configuration'!$H$7</definedName>
    <definedName name="n_samples_per_meter_per_day">'[5]Project Configuration'!$H$9</definedName>
    <definedName name="n_spare_app_servers">'[5]Project Configuration'!$H$15</definedName>
    <definedName name="n_spare_db_servers">'[5]Project Configuration'!$H$19</definedName>
    <definedName name="Name1">[42]Config!$K$2:$K$100</definedName>
    <definedName name="NationalAllPrice" localSheetId="1">#REF!</definedName>
    <definedName name="NationalAllPrice" localSheetId="2">#REF!</definedName>
    <definedName name="NationalAllPrice" localSheetId="3">#REF!</definedName>
    <definedName name="NationalAllPrice">#REF!</definedName>
    <definedName name="NationalePrice">#REF!</definedName>
    <definedName name="NationalPrice">#REF!</definedName>
    <definedName name="new" localSheetId="1" hidden="1">{"'LTITL'!$A$1:$P$35"}</definedName>
    <definedName name="new" localSheetId="2" hidden="1">{"'LTITL'!$A$1:$P$35"}</definedName>
    <definedName name="new" localSheetId="3" hidden="1">{"'LTITL'!$A$1:$P$35"}</definedName>
    <definedName name="new" hidden="1">{"'LTITL'!$A$1:$P$35"}</definedName>
    <definedName name="NIPD">[43]Formulas!$B$54</definedName>
    <definedName name="NOHA">"$#REF!.$D$5"</definedName>
    <definedName name="NoPrice" localSheetId="1">#REF!</definedName>
    <definedName name="NoPrice" localSheetId="2">#REF!</definedName>
    <definedName name="NoPrice" localSheetId="3">#REF!</definedName>
    <definedName name="NoPrice">#REF!</definedName>
    <definedName name="NOTES_ZONE_0">[10]Sachin!#REF!</definedName>
    <definedName name="NOTES_ZONE_1">[10]Sachin!#REF!</definedName>
    <definedName name="NOTES_ZONE_2">[10]Sachin!#REF!</definedName>
    <definedName name="NUM_CAMERAS">#REF!</definedName>
    <definedName name="NUM_EVENTS">#REF!</definedName>
    <definedName name="Number">#REF!</definedName>
    <definedName name="Numberx">#REF!</definedName>
    <definedName name="numf">"$#REF!.$#REF!$#REF!"</definedName>
    <definedName name="o">#REF!</definedName>
    <definedName name="Obj">#REF!</definedName>
    <definedName name="OClientComp0">#REF!</definedName>
    <definedName name="OClientCompany">#REF!</definedName>
    <definedName name="OClientCountry">#REF!</definedName>
    <definedName name="OClientEmail">#REF!</definedName>
    <definedName name="OClientFax">#REF!</definedName>
    <definedName name="OClientName">#REF!</definedName>
    <definedName name="OClientStreet">#REF!</definedName>
    <definedName name="OClientTel">#REF!</definedName>
    <definedName name="OClientTown">#REF!</definedName>
    <definedName name="octf">#REF!</definedName>
    <definedName name="ok">#REF!</definedName>
    <definedName name="OldNumber">#REF!</definedName>
    <definedName name="OnePrice">#REF!</definedName>
    <definedName name="OPPTY_SECTION">[10]Sachin!#REF!</definedName>
    <definedName name="Oranges">#REF!</definedName>
    <definedName name="OS">#REF!</definedName>
    <definedName name="os_range_1">#REF!</definedName>
    <definedName name="Overall_Summary_Title">#REF!</definedName>
    <definedName name="OVersion">#REF!</definedName>
    <definedName name="P">#REF!</definedName>
    <definedName name="P_1">#N/A</definedName>
    <definedName name="P_2">#N/A</definedName>
    <definedName name="PA" localSheetId="1">#REF!</definedName>
    <definedName name="PA" localSheetId="2">#REF!</definedName>
    <definedName name="PA" localSheetId="3">#REF!</definedName>
    <definedName name="PA">#REF!</definedName>
    <definedName name="PA_DET">#REF!</definedName>
    <definedName name="PA_SCH3">#REF!</definedName>
    <definedName name="PA_SCH4_5">#REF!</definedName>
    <definedName name="PAGE0">#REF!</definedName>
    <definedName name="PAGE2">#REF!</definedName>
    <definedName name="Pan_Tilt_Drive_Dome">'[23]CCTV(old)'!#REF!</definedName>
    <definedName name="PD">#REF!</definedName>
    <definedName name="PhaseCode">#REF!</definedName>
    <definedName name="PhonesQty">"$#REF!.$#REF!$#REF!"</definedName>
    <definedName name="PipeSize">#REF!</definedName>
    <definedName name="PipingDetail">#REF!</definedName>
    <definedName name="piudiofn" localSheetId="1" hidden="1">{"'LTITL'!$A$1:$P$35"}</definedName>
    <definedName name="piudiofn" localSheetId="2" hidden="1">{"'LTITL'!$A$1:$P$35"}</definedName>
    <definedName name="piudiofn" localSheetId="3" hidden="1">{"'LTITL'!$A$1:$P$35"}</definedName>
    <definedName name="piudiofn" hidden="1">{"'LTITL'!$A$1:$P$35"}</definedName>
    <definedName name="po">"$#REF!.$#REF!$#REF!"</definedName>
    <definedName name="PPCAmbient" localSheetId="1">#REF!</definedName>
    <definedName name="PPCAmbient" localSheetId="2">#REF!</definedName>
    <definedName name="PPCAmbient" localSheetId="3">#REF!</definedName>
    <definedName name="PPCAmbient">#REF!</definedName>
    <definedName name="PPCConfigCur">#REF!</definedName>
    <definedName name="PPCCurrency">#REF!</definedName>
    <definedName name="PPCHint">#REF!</definedName>
    <definedName name="PPCPSG">#REF!</definedName>
    <definedName name="PPCStart">#REF!</definedName>
    <definedName name="PPCTemperature">#REF!</definedName>
    <definedName name="PPCVoltage">#REF!</definedName>
    <definedName name="PRECONTRACT_FLD_CFG_NAME">[10]Sachin!#REF!</definedName>
    <definedName name="PRECONTRACT_FLD_CSI_DESCIPTION">[10]Sachin!#REF!</definedName>
    <definedName name="PRECONTRACT_FLD_CSI_NAME">[10]Sachin!#REF!</definedName>
    <definedName name="PRECONTRACT_LINE">[10]Sachin!#REF!</definedName>
    <definedName name="PRECONTRACT_SECTION">[10]Sachin!#REF!</definedName>
    <definedName name="PRECONTRACT_SECTION_CFG_TITLE">[10]Sachin!#REF!</definedName>
    <definedName name="PRECONTRACT_SECTION_CSI">[10]Sachin!#REF!</definedName>
    <definedName name="Price" localSheetId="1">#REF!</definedName>
    <definedName name="Price" localSheetId="2">#REF!</definedName>
    <definedName name="Price" localSheetId="3">#REF!</definedName>
    <definedName name="Price">#REF!</definedName>
    <definedName name="PRICE_JUST_COMMENT">[10]Sachin!#REF!</definedName>
    <definedName name="PriceColumn" localSheetId="1">#REF!</definedName>
    <definedName name="PriceColumn" localSheetId="2">#REF!</definedName>
    <definedName name="PriceColumn" localSheetId="3">#REF!</definedName>
    <definedName name="PriceColumn">#REF!</definedName>
    <definedName name="PriceColumnEuro">#REF!</definedName>
    <definedName name="PriceCur">#REF!</definedName>
    <definedName name="pricelist">#REF!</definedName>
    <definedName name="Principal">#REF!</definedName>
    <definedName name="_xlnm.Print_Area">#REF!</definedName>
    <definedName name="Print_Area_MI">#REF!</definedName>
    <definedName name="_xlnm.Print_Titles">#N/A</definedName>
    <definedName name="Product">[44]Lists!$B$41:$B$50</definedName>
    <definedName name="Product_Type" localSheetId="1">#REF!</definedName>
    <definedName name="Product_Type" localSheetId="2">#REF!</definedName>
    <definedName name="Product_Type" localSheetId="3">#REF!</definedName>
    <definedName name="Product_Type">#REF!</definedName>
    <definedName name="Project">#REF!</definedName>
    <definedName name="ProjectDiscount">#REF!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MO_SECTION">[10]Sachin!#REF!</definedName>
    <definedName name="PROPOSAL_SECTION">[10]Sachin!#REF!</definedName>
    <definedName name="PROPOSAL_SECTION_MW">[10]Sachin!#REF!</definedName>
    <definedName name="PROPOSAL_SUBTOTAL_HW">[10]Sachin!#REF!</definedName>
    <definedName name="PROPOSAL_SUBTOTAL_MW_HW">[10]Sachin!#REF!</definedName>
    <definedName name="PROPOSAL_SUBTOTAL_MW_SW">[10]Sachin!#REF!</definedName>
    <definedName name="PROPOSAL_SUBTOTAL_MW_WAR">[10]Sachin!#REF!</definedName>
    <definedName name="PROPOSAL_SUBTOTAL_PS">[10]Sachin!#REF!</definedName>
    <definedName name="PROPOSAL_SUBTOTAL_SW">[10]Sachin!#REF!</definedName>
    <definedName name="provisioning_units_required_p">'[5]Project Configuration'!$H$23</definedName>
    <definedName name="pv">[11]Reference!$C$2:$C$3</definedName>
    <definedName name="q">'[1]Originating Station'!#REF!</definedName>
    <definedName name="QA_Rating">#REF!</definedName>
    <definedName name="QF_SYS_CURRENCY1">[45]Discount!$F$11</definedName>
    <definedName name="QF_SYS_DESTINATION1">[45]Discount!$F$16</definedName>
    <definedName name="QF_SYS_TRADETERMDESC1">[45]Discount!$F$14</definedName>
    <definedName name="Qm" localSheetId="1">#REF!</definedName>
    <definedName name="Qm" localSheetId="2">#REF!</definedName>
    <definedName name="Qm" localSheetId="3">#REF!</definedName>
    <definedName name="Qm">#REF!</definedName>
    <definedName name="Qtr">#REF!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estion1">#REF!</definedName>
    <definedName name="Question12">#REF!</definedName>
    <definedName name="Question13">#REF!</definedName>
    <definedName name="Question15">#REF!</definedName>
    <definedName name="Question2">#REF!</definedName>
    <definedName name="Question4">#REF!</definedName>
    <definedName name="Question5">#REF!</definedName>
    <definedName name="Question6">#REF!</definedName>
    <definedName name="Question7">#REF!</definedName>
    <definedName name="Question8">#REF!</definedName>
    <definedName name="Question9">#REF!</definedName>
    <definedName name="QUOTE_PRICEBREAK">[10]Sachin!#REF!</definedName>
    <definedName name="QUOTE_PS_PRICEBREAK">[10]Sachin!#REF!</definedName>
    <definedName name="QUOTEHOME">#REF!</definedName>
    <definedName name="QuoteType">[45]Discount!$F$15</definedName>
    <definedName name="qw">#REF!</definedName>
    <definedName name="qwe">#N/A</definedName>
    <definedName name="qweq">#N/A</definedName>
    <definedName name="R_MaxCam">#REF!</definedName>
    <definedName name="R_MaxRate">#REF!</definedName>
    <definedName name="RAJ">#REF!</definedName>
    <definedName name="RANGE2">'[46]Cable-data'!$A$33:$K$48</definedName>
    <definedName name="RANGE6">'[47]CABLE DATA'!$A$31:$C$46</definedName>
    <definedName name="ReaderProximity">[13]CCTV_EST1!#REF!</definedName>
    <definedName name="ReaderWiegand">'[23]ACS(1)'!#REF!</definedName>
    <definedName name="REDIRECT_SECTION">[10]Sachin!#REF!</definedName>
    <definedName name="REF">#N/A</definedName>
    <definedName name="RefDwg">#REF!</definedName>
    <definedName name="refill" hidden="1">'[48]mdd &amp; co Fdr jan.02 '!$A$33:$M$147</definedName>
    <definedName name="rel">#REF!</definedName>
    <definedName name="related" localSheetId="1">#REF!</definedName>
    <definedName name="related" localSheetId="2">#REF!</definedName>
    <definedName name="related" localSheetId="3">#REF!</definedName>
    <definedName name="related">#REF!</definedName>
    <definedName name="Rep_Tech">[26]Summary!$W$91:$W$96</definedName>
    <definedName name="REPORT_LINES_TO_FORMAT">[10]Sachin!#REF!,[10]Sachin!#REF!</definedName>
    <definedName name="REPORT_LINES_TO_FORMAT0">[10]Sachin!#REF!</definedName>
    <definedName name="REPORT_LINES_TO_FORMAT1">[10]Sachin!#REF!</definedName>
    <definedName name="REPORT_LINES_TO_FORMAT2">[10]Sachin!#REF!</definedName>
    <definedName name="REPORT_TOTALS_TO_FORMAT">[10]Sachin!#REF!,[10]Sachin!#REF!,[10]Sachin!#REF!</definedName>
    <definedName name="REPORT_TOTALS_TO_FORMAT0">[10]Sachin!#REF!</definedName>
    <definedName name="REPORT_TOTALS_TO_FORMAT1">[10]Sachin!#REF!</definedName>
    <definedName name="REPORT_TOTALS_TO_FORMAT2">[10]Sachin!#REF!</definedName>
    <definedName name="REPORT_TOTALS_TO_FORMAT3">[10]Sachin!#REF!</definedName>
    <definedName name="REPORT_TOTALS_TO_FORMAT4">[10]Sachin!#REF!</definedName>
    <definedName name="REPORT_TOTALS_TO_FORMAT5">[10]Sachin!#REF!</definedName>
    <definedName name="REQ_EVENTSIZE">#REF!</definedName>
    <definedName name="RES_HIGH">#REF!</definedName>
    <definedName name="RES_WID">#REF!</definedName>
    <definedName name="Residual_difference" localSheetId="1">#REF!</definedName>
    <definedName name="Residual_difference" localSheetId="2">#REF!</definedName>
    <definedName name="Residual_difference" localSheetId="3">#REF!</definedName>
    <definedName name="Residual_difference">#REF!</definedName>
    <definedName name="ResType">'[49]Cost sheet - Summary '!$I$4:$I$23</definedName>
    <definedName name="return">[24]Sheet2!$P$2:$P$5</definedName>
    <definedName name="Rev">#REF!</definedName>
    <definedName name="rig">#REF!</definedName>
    <definedName name="Rm" localSheetId="1">#REF!</definedName>
    <definedName name="Rm" localSheetId="2">#REF!</definedName>
    <definedName name="Rm" localSheetId="3">#REF!</definedName>
    <definedName name="Rm">#REF!</definedName>
    <definedName name="rm4e">"$#REF!.$#REF!$#REF!"</definedName>
    <definedName name="robot">#REF!</definedName>
    <definedName name="rosid">#REF!</definedName>
    <definedName name="rty">#REF!</definedName>
    <definedName name="rwq">#REF!</definedName>
    <definedName name="s">#REF!</definedName>
    <definedName name="S_Adjust_Data" localSheetId="1">#REF!</definedName>
    <definedName name="S_Adjust_Data" localSheetId="2">#REF!</definedName>
    <definedName name="S_Adjust_Data" localSheetId="3">#REF!</definedName>
    <definedName name="S_Adjust_Data">#REF!</definedName>
    <definedName name="S_AJE_Tot_Data" localSheetId="1">#REF!</definedName>
    <definedName name="S_AJE_Tot_Data" localSheetId="2">#REF!</definedName>
    <definedName name="S_AJE_Tot_Data" localSheetId="3">#REF!</definedName>
    <definedName name="S_AJE_Tot_Data">#REF!</definedName>
    <definedName name="S_CY_Beg_Data">[37]Lead!$D$1:$D$151</definedName>
    <definedName name="S_CY_End_Data" localSheetId="1">#REF!</definedName>
    <definedName name="S_CY_End_Data" localSheetId="2">#REF!</definedName>
    <definedName name="S_CY_End_Data" localSheetId="3">#REF!</definedName>
    <definedName name="S_CY_End_Data">#REF!</definedName>
    <definedName name="S_PY_End_Data" localSheetId="1">#REF!</definedName>
    <definedName name="S_PY_End_Data" localSheetId="2">#REF!</definedName>
    <definedName name="S_PY_End_Data" localSheetId="3">#REF!</definedName>
    <definedName name="S_PY_End_Data">#REF!</definedName>
    <definedName name="S_RJE_Tot_Data" localSheetId="1">#REF!</definedName>
    <definedName name="S_RJE_Tot_Data" localSheetId="2">#REF!</definedName>
    <definedName name="S_RJE_Tot_Data" localSheetId="3">#REF!</definedName>
    <definedName name="S_RJE_Tot_Data">#REF!</definedName>
    <definedName name="SalesTax">0.0825</definedName>
    <definedName name="SAP" localSheetId="1">#REF!</definedName>
    <definedName name="SAP" localSheetId="2">#REF!</definedName>
    <definedName name="SAP" localSheetId="3">#REF!</definedName>
    <definedName name="SAP">#REF!</definedName>
    <definedName name="SAPsysID" hidden="1">"708C5W7SBKP804JT78WJ0JNKI"</definedName>
    <definedName name="SAPwbID" hidden="1">"ARS"</definedName>
    <definedName name="SAR" localSheetId="1">#REF!</definedName>
    <definedName name="SAR" localSheetId="2">#REF!</definedName>
    <definedName name="SAR" localSheetId="3">#REF!</definedName>
    <definedName name="SAR">#REF!</definedName>
    <definedName name="saucomd">#REF!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cheduleStart">'[35]12-Month Sales Forecast'!#REF!</definedName>
    <definedName name="scheduleType">"valve"</definedName>
    <definedName name="sd">#REF!</definedName>
    <definedName name="Sdate">#REF!</definedName>
    <definedName name="sdc">[50]Summary!$A$91:$A$96</definedName>
    <definedName name="sdf">#REF!</definedName>
    <definedName name="sdhg">[50]Summary!$R$91:$R$95</definedName>
    <definedName name="se">#REF!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rf">"$#REF!.$B$9"</definedName>
    <definedName name="Server_type">[26]Summary!$K$91:$K$92</definedName>
    <definedName name="ServerData">'[51]Server Conf By Name'!$A$4:$V$80</definedName>
    <definedName name="servf">#REF!</definedName>
    <definedName name="Service">#REF!</definedName>
    <definedName name="Service_Levels">#REF!</definedName>
    <definedName name="Service_line">[26]Summary!$A$91:$A$96</definedName>
    <definedName name="Sev_1">[17]Controls!$B$17:$B$21</definedName>
    <definedName name="Sev_1_Score">[17]Controls!$C$17:$C$21</definedName>
    <definedName name="Sev_2">[17]Controls!$B$24:$B$28</definedName>
    <definedName name="Sev_2_Score">[17]Controls!$C$17:$C$21</definedName>
    <definedName name="sfasf">#REF!</definedName>
    <definedName name="shd">"$#REF!.$B$3"</definedName>
    <definedName name="shf">"$#REF!.$J$3"</definedName>
    <definedName name="SHIP_TO_ADDRESS">[10]Sachin!#REF!</definedName>
    <definedName name="SHIP_TO_CONTACT">[10]Sachin!#REF!</definedName>
    <definedName name="SHIP_TO_LABEL">[10]Sachin!#REF!</definedName>
    <definedName name="SHIP_TO_NAME">[10]Sachin!#REF!</definedName>
    <definedName name="SHIP_TO_PHONE">[10]Sachin!#REF!</definedName>
    <definedName name="Shipping">1.25</definedName>
    <definedName name="SHIPPING_ZONE_0">[10]Sachin!#REF!</definedName>
    <definedName name="SHIPPING_ZONE_1">[10]Sachin!#REF!</definedName>
    <definedName name="SHIPPING_ZONE_2">[10]Sachin!#REF!</definedName>
    <definedName name="SingleCur" localSheetId="1">#REF!</definedName>
    <definedName name="SingleCur" localSheetId="2">#REF!</definedName>
    <definedName name="SingleCur" localSheetId="3">#REF!</definedName>
    <definedName name="SingleCur">#REF!</definedName>
    <definedName name="SingleEuro">#REF!</definedName>
    <definedName name="SinglrCur">#REF!</definedName>
    <definedName name="SiteName">'[21]Content Instructions'!$B$4</definedName>
    <definedName name="SIXTH">#REF!</definedName>
    <definedName name="Size">#REF!</definedName>
    <definedName name="small">#REF!</definedName>
    <definedName name="Software" localSheetId="1">#REF!</definedName>
    <definedName name="Software" localSheetId="2">#REF!</definedName>
    <definedName name="Software" localSheetId="3">#REF!</definedName>
    <definedName name="Software">#REF!</definedName>
    <definedName name="SOLD_TO_ADDRESS">[10]Sachin!#REF!</definedName>
    <definedName name="SOLD_TO_CONTACT">[10]Sachin!#REF!</definedName>
    <definedName name="SOLD_TO_LABEL">[10]Sachin!#REF!</definedName>
    <definedName name="SOLD_TO_NAME">[10]Sachin!#REF!</definedName>
    <definedName name="SOLD_TO_PHONE">[10]Sachin!#REF!</definedName>
    <definedName name="sond">#REF!</definedName>
    <definedName name="sondf">#REF!</definedName>
    <definedName name="SONTF">"'file://Vijay/d/Offers/GRUNDFOSS/Grundfoss Offer 4A12/Final Offer - 4C16/IO List 4C08.xls'#$factors.$#REF!$#REF!"</definedName>
    <definedName name="Specification">'[52]d-safe DELUXE'!#REF!</definedName>
    <definedName name="SPIM">#REF!</definedName>
    <definedName name="SPPRT" localSheetId="1" hidden="1">{"'LTITL'!$A$1:$P$35"}</definedName>
    <definedName name="SPPRT" localSheetId="2" hidden="1">{"'LTITL'!$A$1:$P$35"}</definedName>
    <definedName name="SPPRT" localSheetId="3" hidden="1">{"'LTITL'!$A$1:$P$35"}</definedName>
    <definedName name="SPPRT" hidden="1">{"'LTITL'!$A$1:$P$35"}</definedName>
    <definedName name="Sri" localSheetId="1" hidden="1">{"'LTITL'!$A$1:$P$35"}</definedName>
    <definedName name="Sri" localSheetId="2" hidden="1">{"'LTITL'!$A$1:$P$35"}</definedName>
    <definedName name="Sri" localSheetId="3" hidden="1">{"'LTITL'!$A$1:$P$35"}</definedName>
    <definedName name="Sri" hidden="1">{"'LTITL'!$A$1:$P$35"}</definedName>
    <definedName name="srvf">"$#REF!.$I$3"</definedName>
    <definedName name="ss" hidden="1">'[53]Inter unit set off'!$C$7</definedName>
    <definedName name="ssd">"$#REF!.$B$4"</definedName>
    <definedName name="ssf">"$#REF!.$J$4"</definedName>
    <definedName name="SSS">#REF!</definedName>
    <definedName name="ssss">#REF!</definedName>
    <definedName name="Stage">#REF!</definedName>
    <definedName name="Staircase">#REF!</definedName>
    <definedName name="Staircase2">#REF!</definedName>
    <definedName name="Start" localSheetId="1">#REF!</definedName>
    <definedName name="Start" localSheetId="2">#REF!</definedName>
    <definedName name="Start" localSheetId="3">#REF!</definedName>
    <definedName name="Start">#REF!</definedName>
    <definedName name="Start_Date">#REF!</definedName>
    <definedName name="StartHints">#REF!</definedName>
    <definedName name="StartRow">6</definedName>
    <definedName name="storage">[11]Reference!$F$2:$F$8</definedName>
    <definedName name="Storage_type">[15]Summary!$H$91:$H$94</definedName>
    <definedName name="StorageCOC">'[20]MS NET'!#REF!</definedName>
    <definedName name="STORED_FRAME_BSIZE">#REF!</definedName>
    <definedName name="STP">#REF!</definedName>
    <definedName name="StrID">#REF!</definedName>
    <definedName name="Subject">#REF!</definedName>
    <definedName name="SumCur">#REF!</definedName>
    <definedName name="SumEuro">#REF!</definedName>
    <definedName name="sw">#REF!</definedName>
    <definedName name="SW_lic">[26]Summary!$O$91:$O$94</definedName>
    <definedName name="SW_type">[26]Summary!$N$91:$N$95</definedName>
    <definedName name="swf">"$#REF!.$#REF!$#REF!"</definedName>
    <definedName name="Switch_Router">#REF!</definedName>
    <definedName name="SysName">#REF!</definedName>
    <definedName name="System_Role">'[22]Data Domains'!$C$2:$C$11</definedName>
    <definedName name="SystemName" localSheetId="1">#REF!</definedName>
    <definedName name="SystemName" localSheetId="2">#REF!</definedName>
    <definedName name="SystemName" localSheetId="3">#REF!</definedName>
    <definedName name="SystemName">#REF!</definedName>
    <definedName name="T">#REF!</definedName>
    <definedName name="technov" localSheetId="1" hidden="1">{"'LTITL'!$A$1:$P$35"}</definedName>
    <definedName name="technov" localSheetId="2" hidden="1">{"'LTITL'!$A$1:$P$35"}</definedName>
    <definedName name="technov" localSheetId="3" hidden="1">{"'LTITL'!$A$1:$P$35"}</definedName>
    <definedName name="technov" hidden="1">{"'LTITL'!$A$1:$P$35"}</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rm">[41]Reference!$M$19:$M$30</definedName>
    <definedName name="Terms">#REF!</definedName>
    <definedName name="test">'[54]d-safe specs'!#REF!</definedName>
    <definedName name="TextRefCopy1" localSheetId="1">#REF!</definedName>
    <definedName name="TextRefCopy1" localSheetId="2">#REF!</definedName>
    <definedName name="TextRefCopy1" localSheetId="3">#REF!</definedName>
    <definedName name="TextRefCopy1">#REF!</definedName>
    <definedName name="TextRefCopy10">#REF!</definedName>
    <definedName name="TextRefCopy11">#REF!</definedName>
    <definedName name="TextRefCopy12">#REF!</definedName>
    <definedName name="TextRefCopy13">#REF!</definedName>
    <definedName name="TextRefCopy2">#REF!</definedName>
    <definedName name="TextRefCopy20">#REF!</definedName>
    <definedName name="TextRefCopy21">#REF!</definedName>
    <definedName name="TextRefCopy22">#REF!</definedName>
    <definedName name="TextRefCopy23">#REF!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reshold" localSheetId="1">#REF!</definedName>
    <definedName name="Threshold" localSheetId="2">#REF!</definedName>
    <definedName name="Threshold" localSheetId="3">#REF!</definedName>
    <definedName name="Threshold">#REF!</definedName>
    <definedName name="TicmarkLegend">[55]PL!$L$11</definedName>
    <definedName name="TIT">#REF!</definedName>
    <definedName name="Title1">#REF!</definedName>
    <definedName name="Title2">#REF!</definedName>
    <definedName name="tnd_server_compute_requirement_cores">[56]Calculations!$H$203</definedName>
    <definedName name="tnd_server_disk_performance_requirement_iops">[56]Calculations!$H$206</definedName>
    <definedName name="tnd_server_disk_throughput_requirement_mib_s">[56]Calculations!$H$207</definedName>
    <definedName name="tnd_server_memory_requirement_gib">[56]Calculations!$H$204</definedName>
    <definedName name="tnd_server_storage_requirement_gb">[56]Calculations!$H$205</definedName>
    <definedName name="tol">#REF!</definedName>
    <definedName name="topl">#REF!</definedName>
    <definedName name="topn">#REF!</definedName>
    <definedName name="TopPackage" localSheetId="1">#REF!</definedName>
    <definedName name="TopPackage" localSheetId="2">#REF!</definedName>
    <definedName name="TopPackage" localSheetId="3">#REF!</definedName>
    <definedName name="TopPackage">#REF!</definedName>
    <definedName name="Tot">[57]EMLWorkstations!$O$4:$O$36+[57]EMLLaptops!$R$4:$R$37+[57]EMLServers!$Q$6:$Q$21+#REF!</definedName>
    <definedName name="TOTAL_GSTORAGE">#REF!</definedName>
    <definedName name="TotalPrice">#REF!</definedName>
    <definedName name="TPHint">#REF!</definedName>
    <definedName name="tr">#REF!</definedName>
    <definedName name="TRADEIN_SECTION">[10]Sachin!#REF!</definedName>
    <definedName name="TRADEIN_SECTION_TOTAL">[10]Sachin!#REF!</definedName>
    <definedName name="Type">'[58]Maintenance Work Order'!#REF!</definedName>
    <definedName name="Type3">#REF!</definedName>
    <definedName name="tyty">#REF!</definedName>
    <definedName name="U_SAPS">#N/A</definedName>
    <definedName name="Unit">[30]Choices!$G$32:$G$41</definedName>
    <definedName name="usd">"$#REF!.$#REF!$#REF!"</definedName>
    <definedName name="Use_Alternates">#REF!</definedName>
    <definedName name="User_Score">[17]Controls!$C$10:$C$14</definedName>
    <definedName name="UserCompany" localSheetId="1">#REF!</definedName>
    <definedName name="UserCompany" localSheetId="2">#REF!</definedName>
    <definedName name="UserCompany" localSheetId="3">#REF!</definedName>
    <definedName name="UserCompany">#REF!</definedName>
    <definedName name="UserEmail">#REF!</definedName>
    <definedName name="UserFax">#REF!</definedName>
    <definedName name="UserFSC">#REF!</definedName>
    <definedName name="UserName">#REF!</definedName>
    <definedName name="UserStreet">#REF!</definedName>
    <definedName name="UserTel">#REF!</definedName>
    <definedName name="UserTown">#REF!</definedName>
    <definedName name="usrPeriod">[59]Ref!$A$4</definedName>
    <definedName name="usrUnitDesc">[59]Ref!$A$3</definedName>
    <definedName name="usrWholeYear">[59]Ref!$A$6</definedName>
    <definedName name="uuuu">#REF!</definedName>
    <definedName name="ValueSubType">#REF!</definedName>
    <definedName name="ValueType">#REF!</definedName>
    <definedName name="ValueType1">[42]Config!$F$2:$F$8</definedName>
    <definedName name="ValueTypesub">[42]Config!$G$2:$G$5</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tf">#REF!</definedName>
    <definedName name="VC">#REF!</definedName>
    <definedName name="Vendor">#REF!</definedName>
    <definedName name="vendor1">[42]Config!$AA$2:$AA$24</definedName>
    <definedName name="Version" localSheetId="1">#REF!</definedName>
    <definedName name="Version" localSheetId="2">#REF!</definedName>
    <definedName name="Version" localSheetId="3">#REF!</definedName>
    <definedName name="Version">#REF!</definedName>
    <definedName name="VersionText">#REF!</definedName>
    <definedName name="Vertical">#REF!</definedName>
    <definedName name="Vertical1">[42]Config!$J$2:$J$100</definedName>
    <definedName name="VIDEO_BRATE">#REF!</definedName>
    <definedName name="VIDEO_FRATE">#REF!</definedName>
    <definedName name="VILAS">#REF!</definedName>
    <definedName name="Virtualization">[15]Summary!$L$91:$L$95</definedName>
    <definedName name="VM_Environment">[30]Choices!$A$39:$A$43</definedName>
    <definedName name="vra" localSheetId="1">#REF!</definedName>
    <definedName name="vra" localSheetId="2">#REF!</definedName>
    <definedName name="vra" localSheetId="3">#REF!</definedName>
    <definedName name="vra">#REF!</definedName>
    <definedName name="vtc">#REF!</definedName>
    <definedName name="vv">#REF!</definedName>
    <definedName name="w" hidden="1">'[60]mdd &amp; co Fdr jan.02 '!$A$33:$M$147</definedName>
    <definedName name="Waiting">"Picture 1"</definedName>
    <definedName name="WarrantyCountry" localSheetId="1">#REF!</definedName>
    <definedName name="WarrantyCountry" localSheetId="2">#REF!</definedName>
    <definedName name="WarrantyCountry" localSheetId="3">#REF!</definedName>
    <definedName name="WarrantyCountry">#REF!</definedName>
    <definedName name="WAS_ND">"$#REF!.$#REF!$7"</definedName>
    <definedName name="WAS_SE">"$#REF!.$#REF!$6"</definedName>
    <definedName name="WLS_SE">"$#REF!.$#REF!$8"</definedName>
    <definedName name="works_range">#REF!</definedName>
    <definedName name="wrn.Full._.Report." hidden="1">{#N/A,#N/A,TRUE,"Front";#N/A,#N/A,TRUE,"Simple Letter";#N/A,#N/A,TRUE,"Inside";#N/A,#N/A,TRUE,"Contents";#N/A,#N/A,TRUE,"Basis";#N/A,#N/A,TRUE,"Inclusions";#N/A,#N/A,TRUE,"Exclusions";#N/A,#N/A,TRUE,"Areas";#N/A,#N/A,TRUE,"Summary";#N/A,#N/A,TRUE,"Detail"}</definedName>
    <definedName name="ww">#REF!</definedName>
    <definedName name="wwww" localSheetId="1">#REF!</definedName>
    <definedName name="wwww" localSheetId="2">#REF!</definedName>
    <definedName name="wwww" localSheetId="3">#REF!</definedName>
    <definedName name="wwww">#REF!</definedName>
    <definedName name="X">#REF!</definedName>
    <definedName name="X255QTY" localSheetId="2">([2]xSeries255:'[61]xSeries306'!$D$13:$D$42,[2]xSeries255:'[61]xSeries306'!$D$45:$D$421)</definedName>
    <definedName name="X255QTY" localSheetId="3">([2]xSeries255:'[61]xSeries306'!$D$13:$D$42,[2]xSeries255:'[61]xSeries306'!$D$45:$D$421)</definedName>
    <definedName name="X255QTY" localSheetId="5">([2]xSeries255:'[61]xSeries306'!$D$13:$D$42,[2]xSeries255:'[61]xSeries306'!$D$45:$D$421)</definedName>
    <definedName name="X255QTY">([2]xSeries255:'[61]xSeries306'!$D$13:$D$42,[2]xSeries255:'[61]xSeries306'!$D$45:$D$421)</definedName>
    <definedName name="X255QTZ" localSheetId="2">([2]xSeries255:'[61]xSeries306'!$D$13:$D$42,[2]xSeries255:'[61]xSeries306'!$D$45:$D$421)</definedName>
    <definedName name="X255QTZ" localSheetId="3">([2]xSeries255:'[61]xSeries306'!$D$13:$D$42,[2]xSeries255:'[61]xSeries306'!$D$45:$D$421)</definedName>
    <definedName name="X255QTZ" localSheetId="5">([2]xSeries255:'[61]xSeries306'!$D$13:$D$42,[2]xSeries255:'[61]xSeries306'!$D$45:$D$421)</definedName>
    <definedName name="X255QTZ">([2]xSeries255:'[61]xSeries306'!$D$13:$D$42,[2]xSeries255:'[61]xSeries306'!$D$45:$D$421)</definedName>
    <definedName name="XREF_COLUMN_1" localSheetId="1" hidden="1">#REF!</definedName>
    <definedName name="XREF_COLUMN_1" localSheetId="2" hidden="1">#REF!</definedName>
    <definedName name="XREF_COLUMN_1" localSheetId="3" hidden="1">#REF!</definedName>
    <definedName name="XREF_COLUMN_1" hidden="1">#REF!</definedName>
    <definedName name="XREF_COLUMN_2" hidden="1">#REF!</definedName>
    <definedName name="XREF_COLUMN_4" hidden="1">#REF!</definedName>
    <definedName name="XRefColumnsCount" hidden="1">12</definedName>
    <definedName name="XRefCopy1" localSheetId="1" hidden="1">#REF!</definedName>
    <definedName name="XRefCopy1" localSheetId="2" hidden="1">#REF!</definedName>
    <definedName name="XRefCopy1" localSheetId="3" hidden="1">#REF!</definedName>
    <definedName name="XRefCopy1" hidden="1">#REF!</definedName>
    <definedName name="XRefCopy16Row" localSheetId="1" hidden="1">#REF!</definedName>
    <definedName name="XRefCopy16Row" localSheetId="2" hidden="1">#REF!</definedName>
    <definedName name="XRefCopy16Row" localSheetId="3" hidden="1">#REF!</definedName>
    <definedName name="XRefCopy16Row" hidden="1">#REF!</definedName>
    <definedName name="XRefCopy1Row" localSheetId="1" hidden="1">#REF!</definedName>
    <definedName name="XRefCopy1Row" localSheetId="2" hidden="1">#REF!</definedName>
    <definedName name="XRefCopy1Row" localSheetId="3" hidden="1">#REF!</definedName>
    <definedName name="XRefCopy1Row" hidden="1">#REF!</definedName>
    <definedName name="XRefCopy2" hidden="1">#REF!</definedName>
    <definedName name="XRefCopy3" hidden="1">#REF!</definedName>
    <definedName name="XRefCopy4"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localSheetId="1" hidden="1">[62]XREF!#REF!</definedName>
    <definedName name="XRefCopy7Row" localSheetId="2" hidden="1">[62]XREF!#REF!</definedName>
    <definedName name="XRefCopy7Row" localSheetId="3" hidden="1">[62]XREF!#REF!</definedName>
    <definedName name="XRefCopy7Row" hidden="1">[62]XREF!#REF!</definedName>
    <definedName name="XRefCopyRangeCount" hidden="1">7</definedName>
    <definedName name="XRefPaste1" localSheetId="1" hidden="1">#REF!</definedName>
    <definedName name="XRefPaste1" localSheetId="2" hidden="1">#REF!</definedName>
    <definedName name="XRefPaste1" localSheetId="3" hidden="1">#REF!</definedName>
    <definedName name="XRefPaste1" hidden="1">#REF!</definedName>
    <definedName name="XRefPaste10" localSheetId="1" hidden="1">#REF!</definedName>
    <definedName name="XRefPaste10" localSheetId="2" hidden="1">#REF!</definedName>
    <definedName name="XRefPaste10" localSheetId="3" hidden="1">#REF!</definedName>
    <definedName name="XRefPaste10" hidden="1">#REF!</definedName>
    <definedName name="XRefPaste10Row" localSheetId="1" hidden="1">#REF!</definedName>
    <definedName name="XRefPaste10Row" localSheetId="2" hidden="1">#REF!</definedName>
    <definedName name="XRefPaste10Row" localSheetId="3" hidden="1">#REF!</definedName>
    <definedName name="XRefPaste10Row" hidden="1">#REF!</definedName>
    <definedName name="XRefPaste11" hidden="1">#REF!</definedName>
    <definedName name="XRefPaste110Row" localSheetId="1" hidden="1">[62]XREF!#REF!</definedName>
    <definedName name="XRefPaste110Row" localSheetId="2" hidden="1">[62]XREF!#REF!</definedName>
    <definedName name="XRefPaste110Row" localSheetId="3" hidden="1">[62]XREF!#REF!</definedName>
    <definedName name="XRefPaste110Row" hidden="1">[62]XREF!#REF!</definedName>
    <definedName name="XRefPaste111Row" localSheetId="1" hidden="1">[62]XREF!#REF!</definedName>
    <definedName name="XRefPaste111Row" localSheetId="2" hidden="1">[62]XREF!#REF!</definedName>
    <definedName name="XRefPaste111Row" localSheetId="3" hidden="1">[62]XREF!#REF!</definedName>
    <definedName name="XRefPaste111Row" hidden="1">[62]XREF!#REF!</definedName>
    <definedName name="XRefPaste112Row" localSheetId="1" hidden="1">[62]XREF!#REF!</definedName>
    <definedName name="XRefPaste112Row" localSheetId="2" hidden="1">[62]XREF!#REF!</definedName>
    <definedName name="XRefPaste112Row" localSheetId="3" hidden="1">[62]XREF!#REF!</definedName>
    <definedName name="XRefPaste112Row" hidden="1">[62]XREF!#REF!</definedName>
    <definedName name="XRefPaste113Row" localSheetId="1" hidden="1">[62]XREF!#REF!</definedName>
    <definedName name="XRefPaste113Row" localSheetId="2" hidden="1">[62]XREF!#REF!</definedName>
    <definedName name="XRefPaste113Row" localSheetId="3" hidden="1">[62]XREF!#REF!</definedName>
    <definedName name="XRefPaste113Row" hidden="1">[62]XREF!#REF!</definedName>
    <definedName name="XRefPaste11Row" localSheetId="1" hidden="1">#REF!</definedName>
    <definedName name="XRefPaste11Row" localSheetId="2" hidden="1">#REF!</definedName>
    <definedName name="XRefPaste11Row" localSheetId="3" hidden="1">#REF!</definedName>
    <definedName name="XRefPaste11Row" hidden="1">#REF!</definedName>
    <definedName name="XRefPaste12" localSheetId="1" hidden="1">#REF!</definedName>
    <definedName name="XRefPaste12" localSheetId="2" hidden="1">#REF!</definedName>
    <definedName name="XRefPaste12" localSheetId="3" hidden="1">#REF!</definedName>
    <definedName name="XRefPaste12" hidden="1">#REF!</definedName>
    <definedName name="XRefPaste120Row" localSheetId="1" hidden="1">[62]XREF!#REF!</definedName>
    <definedName name="XRefPaste120Row" localSheetId="2" hidden="1">[62]XREF!#REF!</definedName>
    <definedName name="XRefPaste120Row" localSheetId="3" hidden="1">[62]XREF!#REF!</definedName>
    <definedName name="XRefPaste120Row" hidden="1">[62]XREF!#REF!</definedName>
    <definedName name="XRefPaste121Row" localSheetId="1" hidden="1">[62]XREF!#REF!</definedName>
    <definedName name="XRefPaste121Row" localSheetId="2" hidden="1">[62]XREF!#REF!</definedName>
    <definedName name="XRefPaste121Row" localSheetId="3" hidden="1">[62]XREF!#REF!</definedName>
    <definedName name="XRefPaste121Row" hidden="1">[62]XREF!#REF!</definedName>
    <definedName name="XRefPaste12Row" localSheetId="1" hidden="1">#REF!</definedName>
    <definedName name="XRefPaste12Row" localSheetId="2" hidden="1">#REF!</definedName>
    <definedName name="XRefPaste12Row" localSheetId="3" hidden="1">#REF!</definedName>
    <definedName name="XRefPaste12Row" hidden="1">#REF!</definedName>
    <definedName name="XRefPaste13" localSheetId="1" hidden="1">#REF!</definedName>
    <definedName name="XRefPaste13" localSheetId="2" hidden="1">#REF!</definedName>
    <definedName name="XRefPaste13" localSheetId="3" hidden="1">#REF!</definedName>
    <definedName name="XRefPaste13" hidden="1">#REF!</definedName>
    <definedName name="XRefPaste13Row" localSheetId="1" hidden="1">#REF!</definedName>
    <definedName name="XRefPaste13Row" localSheetId="2" hidden="1">#REF!</definedName>
    <definedName name="XRefPaste13Row" localSheetId="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142</definedName>
    <definedName name="XSER235">#REF!</definedName>
    <definedName name="XSER255" localSheetId="2">([2]xSeries255:'[61]xSeries306'!$A$13:$M$42,[2]xSeries255:'[61]xSeries306'!$A$45:$M$421)</definedName>
    <definedName name="XSER255" localSheetId="3">([2]xSeries255:'[61]xSeries306'!$A$13:$M$42,[2]xSeries255:'[61]xSeries306'!$A$45:$M$421)</definedName>
    <definedName name="XSER255" localSheetId="5">([2]xSeries255:'[61]xSeries306'!$A$13:$M$42,[2]xSeries255:'[61]xSeries306'!$A$45:$M$421)</definedName>
    <definedName name="XSER255">([2]xSeries255:'[61]xSeries306'!$A$13:$M$42,[2]xSeries255:'[61]xSeries306'!$A$45:$M$421)</definedName>
    <definedName name="XSER335">#REF!</definedName>
    <definedName name="XSER345">#REF!</definedName>
    <definedName name="XSER382">#REF!</definedName>
    <definedName name="Year" localSheetId="1">#REF!</definedName>
    <definedName name="Year" localSheetId="2">#REF!</definedName>
    <definedName name="Year" localSheetId="3">#REF!</definedName>
    <definedName name="Year">#REF!</definedName>
    <definedName name="Year1">[41]Reference!$D$22:$D$25</definedName>
    <definedName name="YES" localSheetId="1">#REF!</definedName>
    <definedName name="YES" localSheetId="2">#REF!</definedName>
    <definedName name="YES" localSheetId="3">#REF!</definedName>
    <definedName name="YES">#REF!</definedName>
    <definedName name="yty">#REF!</definedName>
    <definedName name="yxcyxc">#REF!</definedName>
    <definedName name="zitd">"$#REF!.$#REF!$#REF!"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4" i="8" l="1"/>
  <c r="E35" i="8"/>
  <c r="C34" i="8" l="1"/>
  <c r="E12" i="8"/>
  <c r="C39" i="8"/>
  <c r="D39" i="8"/>
  <c r="E39" i="8"/>
  <c r="D34" i="8"/>
  <c r="C42" i="8"/>
  <c r="C29" i="8"/>
  <c r="D35" i="8"/>
  <c r="E24" i="8"/>
  <c r="F24" i="8" s="1"/>
  <c r="C24" i="8"/>
  <c r="B10" i="8"/>
  <c r="F39" i="8" l="1"/>
  <c r="E13" i="8"/>
  <c r="E11" i="8"/>
  <c r="E10" i="8"/>
  <c r="C13" i="8"/>
  <c r="C12" i="8"/>
  <c r="C11" i="8"/>
  <c r="C10" i="8"/>
  <c r="V12" i="8"/>
  <c r="U12" i="8"/>
  <c r="Y12" i="8"/>
  <c r="Y11" i="8"/>
  <c r="F34" i="8"/>
  <c r="T3" i="8"/>
  <c r="L14" i="8"/>
  <c r="Q14" i="8"/>
  <c r="R14" i="8"/>
  <c r="S14" i="8"/>
  <c r="C30" i="8"/>
  <c r="O12" i="8" l="1"/>
  <c r="V11" i="8"/>
  <c r="W12" i="8"/>
  <c r="F12" i="8"/>
  <c r="U11" i="8"/>
  <c r="F11" i="8"/>
  <c r="W11" i="8"/>
  <c r="O11" i="8"/>
  <c r="E44" i="8"/>
  <c r="E41" i="8"/>
  <c r="E40" i="8"/>
  <c r="E37" i="8"/>
  <c r="E23" i="8"/>
  <c r="E18" i="8"/>
  <c r="E16" i="8"/>
  <c r="C17" i="8"/>
  <c r="E17" i="8" l="1"/>
  <c r="F17" i="8"/>
  <c r="G17" i="8"/>
  <c r="D17" i="8"/>
  <c r="C35" i="8"/>
  <c r="C33" i="8"/>
  <c r="C16" i="8" l="1"/>
  <c r="S4" i="8"/>
  <c r="E21" i="8" l="1"/>
  <c r="E12" i="28" l="1"/>
  <c r="E29" i="28"/>
  <c r="E25" i="28"/>
  <c r="F25" i="28" s="1"/>
  <c r="C11" i="28"/>
  <c r="C14" i="28"/>
  <c r="C13" i="28"/>
  <c r="C12" i="28"/>
  <c r="C10" i="28"/>
  <c r="L7" i="28"/>
  <c r="B24" i="28" l="1"/>
  <c r="K12" i="28"/>
  <c r="J12" i="28"/>
  <c r="L14" i="28"/>
  <c r="L13" i="28"/>
  <c r="L12" i="28"/>
  <c r="L11" i="28"/>
  <c r="L10" i="28"/>
  <c r="D14" i="28"/>
  <c r="D13" i="28"/>
  <c r="D12" i="28"/>
  <c r="D11" i="28"/>
  <c r="D10" i="28"/>
  <c r="C38" i="8"/>
  <c r="E38" i="28" l="1"/>
  <c r="D34" i="28"/>
  <c r="D19" i="28"/>
  <c r="D37" i="28" s="1"/>
  <c r="O10" i="8" l="1"/>
  <c r="G46" i="28"/>
  <c r="E44" i="28"/>
  <c r="C44" i="28"/>
  <c r="E43" i="28"/>
  <c r="D43" i="28"/>
  <c r="C43" i="28"/>
  <c r="E42" i="28"/>
  <c r="D42" i="28"/>
  <c r="C42" i="28"/>
  <c r="E41" i="28"/>
  <c r="C41" i="28"/>
  <c r="E40" i="28"/>
  <c r="C40" i="28"/>
  <c r="E39" i="28"/>
  <c r="F39" i="28" s="1"/>
  <c r="C39" i="28"/>
  <c r="D38" i="28"/>
  <c r="F38" i="28" s="1"/>
  <c r="C38" i="28"/>
  <c r="E37" i="28"/>
  <c r="C37" i="28"/>
  <c r="E34" i="28"/>
  <c r="C34" i="28"/>
  <c r="E33" i="28"/>
  <c r="F33" i="28" s="1"/>
  <c r="C33" i="28"/>
  <c r="E30" i="28"/>
  <c r="F30" i="28" s="1"/>
  <c r="C30" i="28"/>
  <c r="F29" i="28"/>
  <c r="E28" i="28"/>
  <c r="F28" i="28" s="1"/>
  <c r="C28" i="28"/>
  <c r="E24" i="28"/>
  <c r="E23" i="28"/>
  <c r="E20" i="28"/>
  <c r="C20" i="28"/>
  <c r="E19" i="28"/>
  <c r="C19" i="28"/>
  <c r="C18" i="28"/>
  <c r="E17" i="28"/>
  <c r="C17" i="28"/>
  <c r="S15" i="28"/>
  <c r="R15" i="28"/>
  <c r="Q15" i="28"/>
  <c r="J15" i="28"/>
  <c r="N14" i="28"/>
  <c r="M14" i="28"/>
  <c r="Y13" i="28"/>
  <c r="B14" i="28"/>
  <c r="N13" i="28"/>
  <c r="M13" i="28"/>
  <c r="B13" i="28"/>
  <c r="N12" i="28"/>
  <c r="M12" i="28"/>
  <c r="W12" i="28"/>
  <c r="V12" i="28"/>
  <c r="U12" i="28"/>
  <c r="F12" i="28"/>
  <c r="B12" i="28"/>
  <c r="N11" i="28"/>
  <c r="M11" i="28"/>
  <c r="B11" i="28"/>
  <c r="N10" i="28"/>
  <c r="M10" i="28"/>
  <c r="Y9" i="28"/>
  <c r="B10" i="28"/>
  <c r="C28" i="8"/>
  <c r="F13" i="8"/>
  <c r="F10" i="8"/>
  <c r="L7" i="8"/>
  <c r="E10" i="28" s="1"/>
  <c r="J7" i="28"/>
  <c r="D41" i="8"/>
  <c r="C44" i="8"/>
  <c r="C43" i="8"/>
  <c r="C41" i="8"/>
  <c r="C40" i="8"/>
  <c r="C37" i="8"/>
  <c r="E25" i="8"/>
  <c r="C18" i="8"/>
  <c r="E22" i="8"/>
  <c r="F42" i="28" l="1"/>
  <c r="K7" i="28"/>
  <c r="Y12" i="28"/>
  <c r="F43" i="28"/>
  <c r="E11" i="28"/>
  <c r="F11" i="28" s="1"/>
  <c r="F10" i="28"/>
  <c r="E13" i="28"/>
  <c r="F13" i="28" s="1"/>
  <c r="E14" i="28"/>
  <c r="F14" i="28" s="1"/>
  <c r="O10" i="28"/>
  <c r="D17" i="28" s="1"/>
  <c r="F17" i="28" s="1"/>
  <c r="Y10" i="28"/>
  <c r="D41" i="28"/>
  <c r="F41" i="28" s="1"/>
  <c r="D40" i="28"/>
  <c r="F40" i="28" s="1"/>
  <c r="U15" i="28"/>
  <c r="Q17" i="28" s="1"/>
  <c r="D23" i="28" s="1"/>
  <c r="F23" i="28" s="1"/>
  <c r="V15" i="28"/>
  <c r="Q18" i="28" s="1"/>
  <c r="K15" i="28"/>
  <c r="L15" i="28"/>
  <c r="F34" i="28"/>
  <c r="O12" i="28"/>
  <c r="O13" i="28"/>
  <c r="O14" i="28"/>
  <c r="O11" i="28"/>
  <c r="Y11" i="28"/>
  <c r="W15" i="28"/>
  <c r="Q19" i="28" s="1"/>
  <c r="D24" i="28" s="1"/>
  <c r="F24" i="28" s="1"/>
  <c r="D20" i="28"/>
  <c r="F20" i="28" s="1"/>
  <c r="Y14" i="28" l="1"/>
  <c r="F19" i="28"/>
  <c r="F46" i="28" s="1"/>
  <c r="D44" i="28" l="1"/>
  <c r="F44" i="28" s="1"/>
  <c r="F37" i="28"/>
  <c r="F47" i="28" l="1"/>
  <c r="F48" i="28" s="1"/>
  <c r="E36" i="28" l="1"/>
  <c r="G36" i="28" s="1"/>
  <c r="G47" i="28" s="1"/>
  <c r="G48" i="28" s="1"/>
  <c r="E8" i="11"/>
  <c r="D18" i="8"/>
  <c r="D11" i="21" l="1"/>
  <c r="D12" i="21"/>
  <c r="D13" i="21"/>
  <c r="D14" i="21"/>
  <c r="D10" i="21"/>
  <c r="N13" i="21"/>
  <c r="M13" i="21"/>
  <c r="L13" i="21"/>
  <c r="K13" i="21"/>
  <c r="J13" i="21"/>
  <c r="B13" i="21"/>
  <c r="N12" i="21"/>
  <c r="M12" i="21"/>
  <c r="L12" i="21"/>
  <c r="K12" i="21"/>
  <c r="J12" i="21"/>
  <c r="B12" i="21"/>
  <c r="N11" i="21"/>
  <c r="M11" i="21"/>
  <c r="L11" i="21"/>
  <c r="K11" i="21"/>
  <c r="J11" i="21"/>
  <c r="B11" i="21"/>
  <c r="O13" i="21" l="1"/>
  <c r="Q13" i="21"/>
  <c r="O11" i="21"/>
  <c r="Q12" i="21"/>
  <c r="C11" i="21"/>
  <c r="C13" i="21"/>
  <c r="O12" i="21"/>
  <c r="C12" i="21"/>
  <c r="Q11" i="21"/>
  <c r="V13" i="8"/>
  <c r="J14" i="8"/>
  <c r="D22" i="21"/>
  <c r="D19" i="21"/>
  <c r="D37" i="21" s="1"/>
  <c r="D18" i="21"/>
  <c r="D35" i="21" s="1"/>
  <c r="G46" i="8"/>
  <c r="W13" i="8" l="1"/>
  <c r="Y13" i="8"/>
  <c r="U13" i="8"/>
  <c r="O13" i="8"/>
  <c r="D37" i="8"/>
  <c r="D44" i="8" s="1"/>
  <c r="D39" i="21"/>
  <c r="F14" i="11"/>
  <c r="F15" i="11" s="1"/>
  <c r="D32" i="21"/>
  <c r="G42" i="21"/>
  <c r="G41" i="21"/>
  <c r="N14" i="21"/>
  <c r="M14" i="21"/>
  <c r="L14" i="21"/>
  <c r="Q14" i="21" s="1"/>
  <c r="K14" i="21"/>
  <c r="J14" i="21"/>
  <c r="O14" i="21" s="1"/>
  <c r="B14" i="21"/>
  <c r="N10" i="21"/>
  <c r="M10" i="21"/>
  <c r="L10" i="21"/>
  <c r="Q10" i="21" s="1"/>
  <c r="K10" i="21"/>
  <c r="J10" i="21"/>
  <c r="O10" i="21" s="1"/>
  <c r="B10" i="21"/>
  <c r="D17" i="21" l="1"/>
  <c r="G43" i="21"/>
  <c r="Q15" i="21"/>
  <c r="C10" i="21"/>
  <c r="C14" i="21"/>
  <c r="U10" i="8" l="1"/>
  <c r="U14" i="8" s="1"/>
  <c r="V10" i="8" l="1"/>
  <c r="V14" i="8" s="1"/>
  <c r="S2" i="8" s="1"/>
  <c r="D22" i="8" s="1"/>
  <c r="F22" i="8" s="1"/>
  <c r="K14" i="8"/>
  <c r="S1" i="8"/>
  <c r="D21" i="8" s="1"/>
  <c r="F21" i="8" s="1"/>
  <c r="W10" i="8"/>
  <c r="W14" i="8" s="1"/>
  <c r="S3" i="8" s="1"/>
  <c r="W3" i="8" l="1"/>
  <c r="D25" i="8" s="1"/>
  <c r="D23" i="8"/>
  <c r="D16" i="8"/>
  <c r="F16" i="8" s="1"/>
  <c r="F23" i="8" l="1"/>
  <c r="Y10" i="8"/>
  <c r="E22" i="21" l="1"/>
  <c r="F22" i="21" s="1"/>
  <c r="F25" i="8"/>
  <c r="E36" i="21" l="1"/>
  <c r="F36" i="21" s="1"/>
  <c r="E35" i="21"/>
  <c r="F35" i="21" s="1"/>
  <c r="E25" i="21"/>
  <c r="F25" i="21" s="1"/>
  <c r="E26" i="21"/>
  <c r="F26" i="21" s="1"/>
  <c r="E18" i="21"/>
  <c r="F18" i="21" s="1"/>
  <c r="E32" i="21"/>
  <c r="F32" i="21" s="1"/>
  <c r="F35" i="8"/>
  <c r="K7" i="21"/>
  <c r="J7" i="21"/>
  <c r="L7" i="21"/>
  <c r="E11" i="21" s="1"/>
  <c r="F11" i="21" s="1"/>
  <c r="F44" i="8"/>
  <c r="E39" i="21"/>
  <c r="F39" i="21" s="1"/>
  <c r="E19" i="21"/>
  <c r="F19" i="21" s="1"/>
  <c r="F41" i="8"/>
  <c r="E37" i="21"/>
  <c r="F37" i="21" s="1"/>
  <c r="E17" i="21"/>
  <c r="F17" i="21" s="1"/>
  <c r="F40" i="8"/>
  <c r="F18" i="8"/>
  <c r="F37" i="8"/>
  <c r="F46" i="8" l="1"/>
  <c r="F47" i="8"/>
  <c r="E13" i="21"/>
  <c r="F13" i="21" s="1"/>
  <c r="E14" i="21"/>
  <c r="F14" i="21" s="1"/>
  <c r="E12" i="21"/>
  <c r="F12" i="21" s="1"/>
  <c r="E10" i="21"/>
  <c r="F10" i="21" s="1"/>
  <c r="F42" i="21"/>
  <c r="F48" i="8" l="1"/>
  <c r="C7" i="11" s="1"/>
  <c r="F41" i="21"/>
  <c r="F43" i="21" s="1"/>
  <c r="C14" i="11" s="1"/>
  <c r="E14" i="11" s="1"/>
  <c r="E15" i="11" s="1"/>
  <c r="F17" i="11" s="1"/>
  <c r="E7" i="11" l="1"/>
  <c r="E9" i="11" s="1"/>
  <c r="G47" i="8"/>
  <c r="G48" i="8" s="1"/>
  <c r="F7" i="11" l="1"/>
  <c r="F9" i="11" l="1"/>
  <c r="F10" i="11" l="1"/>
  <c r="A1" i="11" s="1"/>
</calcChain>
</file>

<file path=xl/sharedStrings.xml><?xml version="1.0" encoding="utf-8"?>
<sst xmlns="http://schemas.openxmlformats.org/spreadsheetml/2006/main" count="1130" uniqueCount="478">
  <si>
    <t>Backup Agent</t>
  </si>
  <si>
    <t>Public IP</t>
  </si>
  <si>
    <t>Backup Storage</t>
  </si>
  <si>
    <t>OS</t>
  </si>
  <si>
    <t>Freeware</t>
  </si>
  <si>
    <t>DB</t>
  </si>
  <si>
    <t>Service</t>
  </si>
  <si>
    <t>Antivirus + HIPS</t>
  </si>
  <si>
    <t>GB</t>
  </si>
  <si>
    <t>Compute</t>
  </si>
  <si>
    <t>Hosting Components</t>
  </si>
  <si>
    <t>A.1</t>
  </si>
  <si>
    <t>eNlight Cloud Hosting</t>
  </si>
  <si>
    <t>Unit</t>
  </si>
  <si>
    <t>Cost/Unit</t>
  </si>
  <si>
    <t>MRC</t>
  </si>
  <si>
    <t>OTC</t>
  </si>
  <si>
    <t>Comment</t>
  </si>
  <si>
    <t>vCores</t>
  </si>
  <si>
    <t>RAM</t>
  </si>
  <si>
    <t>No</t>
  </si>
  <si>
    <t>A.2</t>
  </si>
  <si>
    <t>Software Licenses</t>
  </si>
  <si>
    <t>AV</t>
  </si>
  <si>
    <t>A.3</t>
  </si>
  <si>
    <t>A.4</t>
  </si>
  <si>
    <t>Network/ Connectivity</t>
  </si>
  <si>
    <t>Speed based unmetered internet bandwidth</t>
  </si>
  <si>
    <t>A.5</t>
  </si>
  <si>
    <t>Security</t>
  </si>
  <si>
    <t>DDoS Mitigation up to 1 Gbps Mitigation</t>
  </si>
  <si>
    <t>SIEM As A Service</t>
  </si>
  <si>
    <t>Managed Hosting Services</t>
  </si>
  <si>
    <t>Operating System Management Services</t>
  </si>
  <si>
    <t>Storage Management Service</t>
  </si>
  <si>
    <t>Backup Management Services</t>
  </si>
  <si>
    <t xml:space="preserve">vFirewall Management Services </t>
  </si>
  <si>
    <t>Grand Total</t>
  </si>
  <si>
    <t>eNlight Government Community Cloud Hosting Services</t>
  </si>
  <si>
    <t xml:space="preserve">vFirewall (vUTM) with 1 Gbps throughput </t>
  </si>
  <si>
    <t>A.7</t>
  </si>
  <si>
    <t xml:space="preserve">As per Sizing </t>
  </si>
  <si>
    <t xml:space="preserve">Service Components </t>
  </si>
  <si>
    <t>Monthly Service Pay</t>
  </si>
  <si>
    <t>Months</t>
  </si>
  <si>
    <t>One Time Service Pay</t>
  </si>
  <si>
    <t>ESDS' eNlight Cloud Hosting Services- DC Site</t>
  </si>
  <si>
    <t>Total Cost for 1 Year</t>
  </si>
  <si>
    <t>Total</t>
  </si>
  <si>
    <t>Date</t>
  </si>
  <si>
    <t>Infrastructure (A.1 + A.2 + A.3 + A.4+A.5+A.6)</t>
  </si>
  <si>
    <t>Managed Services (A.7)</t>
  </si>
  <si>
    <t xml:space="preserve">Internal vFirewall with 1 Gbps throughput </t>
  </si>
  <si>
    <t>As Per inputs</t>
  </si>
  <si>
    <t>Qty</t>
  </si>
  <si>
    <t>IAM for Cloud Portal</t>
  </si>
  <si>
    <t>As Per Meity</t>
  </si>
  <si>
    <t>SSD</t>
  </si>
  <si>
    <t xml:space="preserve">Windows Server </t>
  </si>
  <si>
    <t>Additonal Compute &amp; Storage</t>
  </si>
  <si>
    <t>Total Cost for DC Site (Exclusive of Taxes)</t>
  </si>
  <si>
    <t xml:space="preserve">Backup Storage </t>
  </si>
  <si>
    <t xml:space="preserve">ESDS Basic Monitoring </t>
  </si>
  <si>
    <t>Exisitng</t>
  </si>
  <si>
    <t>Terms and Condition:</t>
  </si>
  <si>
    <t>DC NON HA</t>
  </si>
  <si>
    <t>Additional 10 Mbps considering a GIS application</t>
  </si>
  <si>
    <t>ArcGIS server</t>
  </si>
  <si>
    <t>Web adapter server</t>
  </si>
  <si>
    <t>Database server</t>
  </si>
  <si>
    <t>100 GB</t>
  </si>
  <si>
    <t>IIS server</t>
  </si>
  <si>
    <t>Tomcat Server</t>
  </si>
  <si>
    <t>*All Terms &amp; Conditions will be applicable as per Ref.no.MRSAC/Renewal/IT Cloud/62/2023</t>
  </si>
  <si>
    <t xml:space="preserve">DRM </t>
  </si>
  <si>
    <t xml:space="preserve">Replication Link bandwidth </t>
  </si>
  <si>
    <t>1. Unit price for  Cloud Service</t>
  </si>
  <si>
    <t>Rate card</t>
  </si>
  <si>
    <t>VM's with 1:1 allocation</t>
  </si>
  <si>
    <t>VM's with 1:2 allocation</t>
  </si>
  <si>
    <t>SL.NO</t>
  </si>
  <si>
    <t>TABLE-1 : Cloud</t>
  </si>
  <si>
    <t>Unit of Measurement</t>
  </si>
  <si>
    <t xml:space="preserve">Unit price/Month </t>
  </si>
  <si>
    <t>S1 Plan: 2vCPU  4  GB RAM 100 GB HDD 1000 IOPS, 100 GB data transfer / Month, OS: Linux OS with 1 Public IPV6 address</t>
  </si>
  <si>
    <t>Number</t>
  </si>
  <si>
    <t>S2 Plan: 2vCPU  8  GB RAM 100 GB HDD 1000 IOPS, 100 GB data transfer / Month, OS: Linux OS with 1 Public IPV6 address</t>
  </si>
  <si>
    <t>S4 Plan: 4 vCPU  24  GB RAM 100 GB HDD 1000 IOPS, 100 GB data transfer / Month, OS: Linux OS with 1 Public IPV6 address</t>
  </si>
  <si>
    <t>S5 Plan: 4vCPU  32  GB RAM 100 GB HDD 1000 IOPS, 100 GB data transfer / Month, OS: Linux OS with 1 Public IPV6 address</t>
  </si>
  <si>
    <t>S5 Plan: 6 vCPU  12  GB RAM 100 GB HDD 1000 IOPS, 100 GB data transfer / Month, OS: Linux OS with 1 Public IPV6 address</t>
  </si>
  <si>
    <t>S6 Plan: 6 vCPU  24  GB RAM 100 GB HDD 1000 IOPS, 100 GB data transfer / Month, OS: Linux OS with 1 Public IPV6 address</t>
  </si>
  <si>
    <t>S7 Plan: 6 vCPU  32  GB RAM 100 GB HDD 1000 IOPS, 100 GB data transfer / Month, OS: Linux OS with 1 Public IPV6 address</t>
  </si>
  <si>
    <t>S10 Plan: 8 vCPU  56  GB RAM 100 GB HDD 1000 IOPS, 100 GB data transfer / Month, OS: Linux OS with 1 Public IPV6 address</t>
  </si>
  <si>
    <t>S11 Plan: 8 vCPU  64  GB RAM 100 GB HDD 1000 IOPS, 100 GB data transfer / Month, OS: Linux OS with 1 Public IPV6 address</t>
  </si>
  <si>
    <t>M1 Plan: 8 vCPU  128  GB RAM 100 GB HDD 1000 IOPS, 100 GB data transfer / Month, OS: Linux OS with 1 Public IPV6 address</t>
  </si>
  <si>
    <t>M2 Plan: 8 vCPU  256  GB RAM 100 GB HDD 1000 IOPS, 100 GB data transfer / Month, OS: Linux OS with 1 Public IPV6 address</t>
  </si>
  <si>
    <t>M3 Plan: 10 vCPU 24  GB RAM 100 GB HDD 1000 IOPS, 100 GB data transfer / Month, OS: Linux OS with 1 Public IPV6 address</t>
  </si>
  <si>
    <t>M4 Plan: 10 vCPU  32  GB RAM 100 GB HDD 1000 IOPS, 100 GB data transfer / Month, OS: Linux OS with 1 Public IPV6 address</t>
  </si>
  <si>
    <t>M5 Plan: 12 vCPU  12  GB RAM 100 GB HDD 1000 IOPS, 100 GB data transfer / Month, OS: Linux OS with 1 Public IPV6 address</t>
  </si>
  <si>
    <t>M6 Plan: 12 vCPU  16  GB RAM 100 GB HDD 1000 IOPS, 100 GB data transfer / Month, OS: Linux OS with 1 Public IPV6 address</t>
  </si>
  <si>
    <t>M7 Plan: 12 vCPU  32  GB RAM 100 GB HDD 1000 IOPS, 100 GB data transfer / Month, OS: Linux OS with 1 Public IPV6 address</t>
  </si>
  <si>
    <t>M8 Plan: 12 vCPU  48  GB RAM 100 GB HDD 1000 IOPS, 100 GB data transfer / Month, OS: Linux OS with 1 Public IPV6 address</t>
  </si>
  <si>
    <t>M9 Plan: 12 vCPU  64  GB RAM 100 GB HDD 1000 IOPS, 100 GB data transfer / Month, OS: Linux OS with 1 Public IPV6 address</t>
  </si>
  <si>
    <t>M10 Plan: 12 vCPU 128  GB RAM 100 GB HDD 1000 IOPS, 100 GB data transfer / Month, OS: Linux OS with 1 Public IPV6 address</t>
  </si>
  <si>
    <t>M11 Plan: 14 vCPU  28  GB RAM 100 GB HDD 1000 IOPS, 100 GB data transfer / Month, OS: Linux OS with 1 Public IPV6 address</t>
  </si>
  <si>
    <t>M12 Plan: 14 vCPU  32  GB RAM 100 GB HDD 1000 IOPS, 100 GB data transfer / Month, OS: Linux OS with 1 Public IPV6 address</t>
  </si>
  <si>
    <t>M13 Plan: 14 vCPU  64  GB RAM 100 GB HDD 1000 IOPS, 100 GB data transfer / Month, OS: Linux OS with 1 Public IPV6 address</t>
  </si>
  <si>
    <t>M14 Plan: 14 vCPU  128  GB RAM 100 GB HDD 1000 IOPS, 100 GB data transfer / Month, OS: Linux OS with 1 Public IPV6 address</t>
  </si>
  <si>
    <t>L1 Plan: 16 vCPU  16  GB RAM 100 GB HDD 1000 IOPS, 100 GB data transfer / Month, OS: Linux OS with 1 Public IPV6 address</t>
  </si>
  <si>
    <t>L2 Plan: 16 vCPU  32  GB RAM 100 GB HDD 1000 IOPS, 100 GB data transfer / Month, OS: Linux OS with 1 Public IPV6 address</t>
  </si>
  <si>
    <t>L3 Plan: 16 vCPU 128  GB RAM 100 GB HDD 1000 IOPS, 100 GB data transfer / Month, OS: Linux OS with 1 Public IPV6 address</t>
  </si>
  <si>
    <t>L4 Plan: 16 vCPU 256  GB RAM 100 GB HDD 1000 IOPS, 100 GB data transfer / Month, OS: Linux OS with 1 Public IPV6 address</t>
  </si>
  <si>
    <t>L5 Plan: 32 vCPU 32  GB RAM 100 GB HDD 1000 IOPS, 100 GB data transfer / Month, OS: Linux OS with 1 Public IPV6 address</t>
  </si>
  <si>
    <t>L6 Plan: 32 vCPU  64  GB RAM 100 GB HDD 1000 IOPS, 100 GB data transfer / Month, OS: Linux OS with 1 Public IPV6 address</t>
  </si>
  <si>
    <t>L7 Plan: 32 vCPU 128  GB RAM 100 GB HDD 1000 IOPS, 100 GB data transfer / Month, OS: Linux OS with 1 Public IPV6 address</t>
  </si>
  <si>
    <t>XL 1 Plan: 14 vCPU  128  GB RAM 100 GB HDD 1000 IOPS, 100 GB data transfer / Month, OS: Linux OS with 1 Public IPV6 address</t>
  </si>
  <si>
    <t>XL 2 Plan: 16 vCPU 256  GB RAM 100 GB HDD 1000 IOPS, 100 GB data transfer / Month, OS: Linux OS with 1 Public IPV6 address</t>
  </si>
  <si>
    <t>XL 3 Plan: 16 vCPU 512  GB RAM 100 GB HDD 1000 IOPS, 100 GB data transfer / Month, OS: Linux OS with 1 Public IPV6 address</t>
  </si>
  <si>
    <t>XL 4 Plan: 32 vCPU 256  GB RAM 100 GB HDD 1000 IOPS, 100 GB data transfer / Month, OS: Linux OS with 1 Public IPV6 address</t>
  </si>
  <si>
    <t>XL 5 Plan: 32 vCPU 512  GB RAM 100 GB HDD 1000 IOPS, 100 GB data transfer / Month, OS: Linux OS with 1 Public IPV6 address</t>
  </si>
  <si>
    <t>XL 6 Plan: 64 vCPU  128  GB RAM 100 GB HDD 1000 IOPS, 100 GB data transfer / Month, OS: Linux OS with 1 Public IPV6 address</t>
  </si>
  <si>
    <t>XL 7 Plan: 64 vCPU  256  GB RAM 100 GB HDD 1000 IOPS, 100 GB data transfer / Month, OS: Linux OS with 1 Public IPV6 address</t>
  </si>
  <si>
    <t>XL 8 Plan: 54 vCPU 512  GB RAM 100 GB HDD 1000 IOPS, 100 GB data transfer / Month, OS: Linux OS with 1 Public IPV6 address</t>
  </si>
  <si>
    <t>XL 9 Plan: 128 vCPU 256  GB RAM 100 GB HDD 1000 IOPS, 100 GB data transfer / Month, OS: Linux OS with 1 Public IPV6 address</t>
  </si>
  <si>
    <t>XL 10 Plan: 256 vCPU  512  GB RAM 100 GB HDD 1000 IOPS, 100 GB data transfer / Month, OS: Linux OS with 1 Public IPV6 address</t>
  </si>
  <si>
    <t>XL 11 Plan: 256 vCPU  1024  GB RAM 100 GB HDD 1000 IOPS, 100 GB data transfer / Month, OS: Linux OS with 1 Public IPV6 address</t>
  </si>
  <si>
    <t>TABLE-B: Add-on Components for Cloud Service</t>
  </si>
  <si>
    <t>vCPU 1:1 allocation</t>
  </si>
  <si>
    <t>Per vCPU</t>
  </si>
  <si>
    <t>RAM 1:1 allocation</t>
  </si>
  <si>
    <t xml:space="preserve">Per GB </t>
  </si>
  <si>
    <t>vCPU 1:2 allocation</t>
  </si>
  <si>
    <t>RAM 1:2 allocation</t>
  </si>
  <si>
    <t>OS :Windows 2019 or Latest std Edition per 2 core lic</t>
  </si>
  <si>
    <t>Per 2 Core</t>
  </si>
  <si>
    <t>OS :Windows Latest Data Center Ediition per 2 core lic</t>
  </si>
  <si>
    <t>OS :Red Hat® Enterprise Linux® 8.0® or latest edition on 64 bit (Small Instance- up to 4 cores)</t>
  </si>
  <si>
    <t>Per instance</t>
  </si>
  <si>
    <t>OS :Red Hat® Enterprise Linux® 8.0® or latest edition on 64 bit (large Instance- More than 4 cores)</t>
  </si>
  <si>
    <t>Ubuntu OS (Freee version/ Open Source) Per Instance</t>
  </si>
  <si>
    <t>Per Instance</t>
  </si>
  <si>
    <t>Community Edition</t>
  </si>
  <si>
    <t>Cent OS (Freee version/ Open Source) Per Instance</t>
  </si>
  <si>
    <t>SUSE Linux Enterprise- Per Instance</t>
  </si>
  <si>
    <t>MYSQL Community edition latest  (Freee version) Per Instance</t>
  </si>
  <si>
    <t>Mongo/ Maria DB Community edition Latest (Free Version) Per Instance</t>
  </si>
  <si>
    <t>MySQL Standard Edition Subscription (1-4 socket server) - Oracle</t>
  </si>
  <si>
    <t>Per VM</t>
  </si>
  <si>
    <t>MySQL Enterprise Edition Subscription (1-4 socket server) - Oracle</t>
  </si>
  <si>
    <t>MS SQL Standard edition latest version per 2 core lic.</t>
  </si>
  <si>
    <t>MS SQL Enterprise edition latest version per 2 core lic.</t>
  </si>
  <si>
    <t>MS SQL Web edition latest version per 2 core lic.</t>
  </si>
  <si>
    <t>PostgreSQL Community Edition Latest (Free Version)- Per Instance</t>
  </si>
  <si>
    <t>Per Instancce</t>
  </si>
  <si>
    <t>PostgreSQL Enterprise Edition Latest- Per Core lic.</t>
  </si>
  <si>
    <r>
      <t xml:space="preserve">Oracle Linux Basic </t>
    </r>
    <r>
      <rPr>
        <sz val="10"/>
        <rFont val="Calibri"/>
        <family val="2"/>
      </rPr>
      <t>Support For Upto 2 Socket - 1 Year</t>
    </r>
  </si>
  <si>
    <r>
      <t>Oracle Linux Premier</t>
    </r>
    <r>
      <rPr>
        <sz val="10"/>
        <rFont val="Calibri"/>
        <family val="2"/>
      </rPr>
      <t xml:space="preserve"> Support For Upto 2 Socket - 1 Year</t>
    </r>
  </si>
  <si>
    <t>Windows Remote Desktop per User- Above 2 Users</t>
  </si>
  <si>
    <t>Per User</t>
  </si>
  <si>
    <t>cPanel WHM -  Control Panel- Per Domain</t>
  </si>
  <si>
    <t>Plesk panel -  Control Panel-  Per Domain</t>
  </si>
  <si>
    <t>DRM Software- Per Instance (Carbonite, Sanovi &amp; Perpetuati)</t>
  </si>
  <si>
    <t xml:space="preserve">Basic Cloud Monitoring </t>
  </si>
  <si>
    <t>SMS per 1 Lakh Email</t>
  </si>
  <si>
    <t>Email per 1 Lakh Email</t>
  </si>
  <si>
    <t>Cloud Monitoring-Advance Module-Upto25</t>
  </si>
  <si>
    <t>Cloud Monitoring-Advance Module-Upto499</t>
  </si>
  <si>
    <t>Cloud Monitoring-Advance Module-Upto99</t>
  </si>
  <si>
    <t>Cloud Monitoring- Advance Module-Upto999</t>
  </si>
  <si>
    <t>Cloud Monitoring-Advance Module-Upto9999</t>
  </si>
  <si>
    <t>Cloud Monitoring-APM Module-Upto25</t>
  </si>
  <si>
    <t>Cloud Monitoring-APM Module-Upto499</t>
  </si>
  <si>
    <t>Cloud Monitoring-APM Module-Upto99</t>
  </si>
  <si>
    <t>Cloud Monitoring-APM Module-Upto999</t>
  </si>
  <si>
    <t>Cloud Monitoring- APM Module-Upto9999</t>
  </si>
  <si>
    <t>Cloud Monitoring-SysLog Module-Upto25</t>
  </si>
  <si>
    <t>Cloud Monitoring-SysLog Module-Upto499</t>
  </si>
  <si>
    <t>Cloud Mponitoring-SysLog Module-Upto99</t>
  </si>
  <si>
    <t>Cloud Monitoring-SysLog Module-Upto999</t>
  </si>
  <si>
    <t>Cloud Monitoring -SysLog Module-Upto9999</t>
  </si>
  <si>
    <t>2. .Unit price Storage Service on hosted services</t>
  </si>
  <si>
    <t>TABLE-C: Storage on SATA / SAS / SSD (Hosted/Attached Storage)</t>
  </si>
  <si>
    <t>Storage Capacity,Type and Raid</t>
  </si>
  <si>
    <t>100 GB Storage on SSD with IOPS 3000/TB</t>
  </si>
  <si>
    <t>Per 100 GB</t>
  </si>
  <si>
    <t>500 GB Storage on SSD with IOPS 3000/TB</t>
  </si>
  <si>
    <t>Per 500 GB</t>
  </si>
  <si>
    <t>1 TB Storage on SSD with IOPS 3000/TB</t>
  </si>
  <si>
    <t>Per 1000 GB</t>
  </si>
  <si>
    <t>100 GB Storage on SSD with IOPS 5000/TB</t>
  </si>
  <si>
    <t>500 GB Storage on SSD with IOPS 5000/TB</t>
  </si>
  <si>
    <t>1 TB Storage on SSD with IOPS 5000/TB</t>
  </si>
  <si>
    <t>Per GB for SAS with IOPS 3000/TB</t>
  </si>
  <si>
    <t>Per GB</t>
  </si>
  <si>
    <t>Per GB for SSD with IOPS 5000/TB</t>
  </si>
  <si>
    <t xml:space="preserve">Object Storage – 1 TB </t>
  </si>
  <si>
    <t>Per 1 TB</t>
  </si>
  <si>
    <t>Object Storage – 5 TB</t>
  </si>
  <si>
    <t>Per 5 TB</t>
  </si>
  <si>
    <t>Object Storage – 10 TB</t>
  </si>
  <si>
    <t>Per 10 TB</t>
  </si>
  <si>
    <t>Object Storage – 50 TB</t>
  </si>
  <si>
    <t>Per 50 TB</t>
  </si>
  <si>
    <t>Object Storage – 100 TB</t>
  </si>
  <si>
    <t>Per 100 TB</t>
  </si>
  <si>
    <t>3. .Unit price Backup Service</t>
  </si>
  <si>
    <t>TABLE-D: Backup Service</t>
  </si>
  <si>
    <t>D1:Backup of  Hosted Servers(Managed Server/Cloud / VMs )/Month</t>
  </si>
  <si>
    <t>A</t>
  </si>
  <si>
    <t xml:space="preserve">50 GB Backup space </t>
  </si>
  <si>
    <t>50 GB</t>
  </si>
  <si>
    <t>B</t>
  </si>
  <si>
    <t>100 GB Backup space</t>
  </si>
  <si>
    <t>C</t>
  </si>
  <si>
    <t xml:space="preserve">200 GB Backup space </t>
  </si>
  <si>
    <t>200 GB</t>
  </si>
  <si>
    <t>D</t>
  </si>
  <si>
    <t>500 GB  Backup space</t>
  </si>
  <si>
    <t>500 GB</t>
  </si>
  <si>
    <t xml:space="preserve">D2: Remote Backup (for Server/Desktop/Laptop with Agent Excluding Bandwidth)/ Month </t>
  </si>
  <si>
    <t xml:space="preserve">100 GB Backup space </t>
  </si>
  <si>
    <t xml:space="preserve">500 GB Backup space </t>
  </si>
  <si>
    <t xml:space="preserve">1TB  Backup space </t>
  </si>
  <si>
    <t>1 TB</t>
  </si>
  <si>
    <t>3.Unit price for Server Co-location</t>
  </si>
  <si>
    <t xml:space="preserve">  TABLE-F: Server Co-location </t>
  </si>
  <si>
    <t xml:space="preserve">Server Co-location </t>
  </si>
  <si>
    <t>Biometric access control system</t>
  </si>
  <si>
    <t xml:space="preserve">Caging charges </t>
  </si>
  <si>
    <t>Dedicated CCTV Camera</t>
  </si>
  <si>
    <t>Hands and Eye Support (24X7)</t>
  </si>
  <si>
    <t xml:space="preserve">Hard reboot </t>
  </si>
  <si>
    <t>Inter-rack cabling - One Time Charges</t>
  </si>
  <si>
    <t>NA</t>
  </si>
  <si>
    <t xml:space="preserve">On Demand KVM Access </t>
  </si>
  <si>
    <t>Co-location charges for 2 U with 0.7 KVA (with Rack and rated power)</t>
  </si>
  <si>
    <t>Per U, Per kVA</t>
  </si>
  <si>
    <t>Co-location charges 1/2 rack (20 U) with 2 KVA power (with Rack and rated power)</t>
  </si>
  <si>
    <t>Co-location charges per rack with 4 KVA power (with Rack and rated power)</t>
  </si>
  <si>
    <t>Additional Power of 1 KVA rated power</t>
  </si>
  <si>
    <t>Per kVA</t>
  </si>
  <si>
    <t>Internet Bandwidth Charges (2Mpbs )with 1 Public IP address terminated at ESDS Server/Racks.</t>
  </si>
  <si>
    <t>Per Mbps</t>
  </si>
  <si>
    <t xml:space="preserve"> 1TB Data Transfer Monthly</t>
  </si>
  <si>
    <t>Per TB</t>
  </si>
  <si>
    <t>Email Services</t>
  </si>
  <si>
    <t>Office365 Business Basic - these prices are OEM dependent and are subject to change as per OEM's price change as applicable</t>
  </si>
  <si>
    <t>Office365 Business Premium - these prices are OEM dependent and are subject to change as per OEM's price change as applicable</t>
  </si>
  <si>
    <t>Office365 Business Standard - these prices are OEM dependent and are subject to change as per OEM's price change as applicable</t>
  </si>
  <si>
    <t>Security Services</t>
  </si>
  <si>
    <t xml:space="preserve">DDOS Mitigation Service 1 Gbps </t>
  </si>
  <si>
    <t>Priviledge Identity Management- Per Device/ User</t>
  </si>
  <si>
    <t>Per User/  Device</t>
  </si>
  <si>
    <t>vUTM 1 Gbps throughput</t>
  </si>
  <si>
    <t>vUTM 2 Gbps throughput</t>
  </si>
  <si>
    <t>Basic Antivirus - (For Windows OS only)</t>
  </si>
  <si>
    <t>VWAF 1 Gbps Throughput (ESDS's eNlight WAF)</t>
  </si>
  <si>
    <t>OEM VWAF 1 Gbps Throughput</t>
  </si>
  <si>
    <t>PIM/PAM Solution</t>
  </si>
  <si>
    <t>GlobalSign Alpha Domain Validation SSL</t>
  </si>
  <si>
    <t>GlobalSign Alpha Domain ValidationWildcard SSL</t>
  </si>
  <si>
    <t>GlobalSign Domain SSL  (DV)</t>
  </si>
  <si>
    <t>GlobalSign Domain SSL Wildcard  (DV)</t>
  </si>
  <si>
    <t>GlobalSign Extended Validation SSL (EV)</t>
  </si>
  <si>
    <t>GlobalSign Organization SSL (OV)</t>
  </si>
  <si>
    <t>GlobalSign Organization SSL Wildcard (OV)</t>
  </si>
  <si>
    <t>Network &amp; Connectivity Services</t>
  </si>
  <si>
    <t xml:space="preserve">Copper -10 Gig-Port Termination </t>
  </si>
  <si>
    <t xml:space="preserve">Fiber -1 Gig -Port Termination </t>
  </si>
  <si>
    <t>CITRIX - Virtual Load Balancer - 1 Gbps</t>
  </si>
  <si>
    <t>DNS as a service - Per DNS Entry</t>
  </si>
  <si>
    <t>Per DNS Entry</t>
  </si>
  <si>
    <t>IPv4- Public IP -  Internal Network</t>
  </si>
  <si>
    <t>IPv6 - Public IP -  Internal Network</t>
  </si>
  <si>
    <t>Cross Connect- Connectivity</t>
  </si>
  <si>
    <t>Volume Based-Internet Bandwidth - Connectivity- Per GB</t>
  </si>
  <si>
    <t>Speed Based-Internet Bandwidth - Connectivity- 1 Mbps</t>
  </si>
  <si>
    <t>Mbps</t>
  </si>
  <si>
    <t>Managed Services</t>
  </si>
  <si>
    <t>Backup Management Per VM</t>
  </si>
  <si>
    <t>Operating System Management Service Per VM</t>
  </si>
  <si>
    <t xml:space="preserve">Storage Management Service </t>
  </si>
  <si>
    <t>Antivirus Management Service Per VM</t>
  </si>
  <si>
    <t>DR Drill (Per Application)</t>
  </si>
  <si>
    <t>Per Application</t>
  </si>
  <si>
    <t>E-mail Backup Managed Services</t>
  </si>
  <si>
    <t>vWAF Management Service</t>
  </si>
  <si>
    <t>MariaDB Database Managed Services (Additional 50 GB)</t>
  </si>
  <si>
    <t>Per DB Instance</t>
  </si>
  <si>
    <t xml:space="preserve">MariaDB Database Managed Services (Up to 100 GB) </t>
  </si>
  <si>
    <t>MongoDB Database Managed Services (Additional 50 GB)</t>
  </si>
  <si>
    <t>MongoDB Database Managed Services (Up to 100 GB)</t>
  </si>
  <si>
    <t>MSSQL Database Managed Services (Additional 50 GB)</t>
  </si>
  <si>
    <t>MSSQL Database Managed Services (Up to 100 GB)</t>
  </si>
  <si>
    <t>MYSQL Database Managed Services (Additional 50 GB)</t>
  </si>
  <si>
    <t xml:space="preserve">MYSQL Database  Managed Services (Up to 100 GB) </t>
  </si>
  <si>
    <t xml:space="preserve">Oracle Database Managed Services (Additional 50 GB) </t>
  </si>
  <si>
    <t xml:space="preserve">Oracle Database Managed Services (Up to 100 GB) </t>
  </si>
  <si>
    <t xml:space="preserve">PostgresSQL Database Managed Services (Additional 50 GB) </t>
  </si>
  <si>
    <t>PostgresSQL Database Managed Services (Up to 100 GB)</t>
  </si>
  <si>
    <t xml:space="preserve">Replication Managed Services </t>
  </si>
  <si>
    <t>SAP Basis (DEV/QAS/PROD) HANA - Managed Services</t>
  </si>
  <si>
    <t xml:space="preserve">SAP Basis (with DB) Non-HANA - Managed Services </t>
  </si>
  <si>
    <t xml:space="preserve">SAP Basis (without DB) Non-HANA - Managed Services </t>
  </si>
  <si>
    <t>SAP HANA Monitoring Services</t>
  </si>
  <si>
    <t>SUSE HANA Failover OS Management - Managed Services</t>
  </si>
  <si>
    <t xml:space="preserve">Sybase Database Managed Services(Additional 50 GB) </t>
  </si>
  <si>
    <t>Per  DB Instance</t>
  </si>
  <si>
    <t xml:space="preserve">Sybase Database Managed Services(Up to 100 GB) </t>
  </si>
  <si>
    <t>Virtual Firewall Managed Services</t>
  </si>
  <si>
    <t>Virtual Load Balancer Managed Services</t>
  </si>
  <si>
    <t>vUTM Firewall Managed Services</t>
  </si>
  <si>
    <t>Security managed services (for the items proposed in BoM)</t>
  </si>
  <si>
    <t>Per Device</t>
  </si>
  <si>
    <t>Kubernetes, Container &amp; DeveOps Services (All Opensource tools)</t>
  </si>
  <si>
    <t>Kubernetes Standalone Control Plane Infrastructure</t>
  </si>
  <si>
    <t xml:space="preserve">Kubernetes HA Cluster Control Plane Infrastructure </t>
  </si>
  <si>
    <t>Kubernetes  Managed Services Standalone Control Plane</t>
  </si>
  <si>
    <t>Kubernetes  Managed Services  Cluster Control Plane</t>
  </si>
  <si>
    <t>Worker Nodes</t>
  </si>
  <si>
    <t>WN-S1 Plan: Dual Core Processor  4  GB RAM 100 GB HDD 1000 IOPS, OS: Linux CentOS</t>
  </si>
  <si>
    <t>WN-S2 Plan: Dual Core Processor  8  GB RAM 100 GB HDD 1000 IOPS, OS: Linux CentOS</t>
  </si>
  <si>
    <t>WN-S2 Plan: Quad Core Processor  8  GB RAM 100 GB HDD 1000 IOPS, OS: Linux CentOS</t>
  </si>
  <si>
    <t>WN-S3 Plan: Quad Core Processor  16  GB RAM 100 GB HDD 1000 IOPS, OS: Linux CentOS</t>
  </si>
  <si>
    <t>WN-S4 Plan: Quad Core Processor  24  GB RAM 100 GB HDD 1000 IOPS, OS: Linux CentOS</t>
  </si>
  <si>
    <t>WN-S5 Plan: Quad Core Processor  32  GB RAM 100 GB HDD 1000 IOPS, OS: Linux CentOS</t>
  </si>
  <si>
    <t>WN-S5 Plan: Hexa Core Processor  12  GB RAM 100 GB HDD 1000 IOPS, OS: Linux CentOS</t>
  </si>
  <si>
    <t>WN-S6 Plan: Hexa Core Processor  24  GB RAM 100 GB HDD 1000 IOPS, OS: Linux CentOS</t>
  </si>
  <si>
    <t>WN-S7 Plan: Hexa Core Processor  32  GB RAM 100 GB HDD 1000 IOPS, OS: Linux CentOS</t>
  </si>
  <si>
    <t>WN-S8 Plan: Octa Core Processor  16  GB RAM 100 GB HDD 1000 IOPS, OS: Linux CentOS</t>
  </si>
  <si>
    <t>WN-S9 Plan: Octa Core Processor  32  GB RAM 100 GB HDD 1000 IOPS, OS: Linux CentOS</t>
  </si>
  <si>
    <t>WN-S10 Plan: Octa Core Processor  56  GB RAM 100 GB HDD 1000 IOPS, OS: Linux CentOS</t>
  </si>
  <si>
    <t>WN-S11 Plan: Octa Core Processor  64  GB RAM 100 GB HDD 1000 IOPS, OS: Linux CentOS</t>
  </si>
  <si>
    <t>WN-M1 Plan: Octa Core Processor  128  GB RAM 100 GB HDD 1000 IOPS, OS: Linux CentOS</t>
  </si>
  <si>
    <t>WN-M2 Plan: Octa Core Processor  256  GB RAM 100 GB HDD 1000 IOPS, OS: Linux CentOS</t>
  </si>
  <si>
    <t>WN-M3 Plan: Deca Core Processor  24  GB RAM 100 GB HDD 1000 IOPS, OS: Linux CentOS</t>
  </si>
  <si>
    <t>WN-M4 Plan: Deca Core Processor  32  GB RAM 100 GB HDD 1000 IOPS, OS: Linux CentOS</t>
  </si>
  <si>
    <t>WN-M5 Plan: Dodeca Core Processor  12  GB RAM 100 GB HDD 1000 IOPS, OS: Linux CentOS</t>
  </si>
  <si>
    <t>WN-M6 Plan: Dodeca Core Processor  16  GB RAM 100 GB HDD 1000 IOPS, OS: Linux CentOS</t>
  </si>
  <si>
    <t>WN-M7 Plan: Dodeca Core Processor  32  GB RAM 100 GB HDD 1000 IOPS, OS: Linux CentOS</t>
  </si>
  <si>
    <t>WN-M8 Plan: Dodeca Core Processor  48  GB RAM 100 GB HDD 1000 IOPS, OS: Linux CentOS</t>
  </si>
  <si>
    <t>WN-M9 Plan: Dodeca Core Processor  64  GB RAM 100 GB HDD 1000 IOPS, OS: Linux CentOS</t>
  </si>
  <si>
    <t>WN-M10 Plan: Dodeca Core Processor  128  GB RAM 100 GB HDD 1000 IOPS, OS: Linux CentOS</t>
  </si>
  <si>
    <t>WN-M11 Plan: Tetradeca Core Processor  28  GB RAM 100 GB HDD 1000 IOPS, OS: Linux CentOS</t>
  </si>
  <si>
    <t>WN-M12 Plan: Tetradeca Core Processor  32  GB RAM 100 GB HDD 1000 IOPS, OS: Linux CentOS</t>
  </si>
  <si>
    <t>WN-M13 Plan: Tetradeca Core Processor  64  GB RAM 100 GB HDD 1000 IOPS, OS: Linux CentOS</t>
  </si>
  <si>
    <t>WN-M14 Plan: Tetradeca Core Processor  128  GB RAM 100 GB HDD 1000 IOPS, OS: Linux CentOS</t>
  </si>
  <si>
    <t>WN-L1 Plan: Hexadeca Core Processor  16  GB RAM 100 GB HDD 1000 IOPS, OS: Linux CentOS</t>
  </si>
  <si>
    <t>WN-L2 Plan: Hexadeca Core Processor  32  GB RAM 100 GB HDD 1000 IOPS, OS: Linux CentOS</t>
  </si>
  <si>
    <t>WN-L3 Plan: Hexadeca Core Processor  128  GB RAM 100 GB HDD 1000 IOPS, OS: Linux CentOS</t>
  </si>
  <si>
    <t>WN-L4 Plan: Hexadeca Core Processor  256  GB RAM 100 GB HDD 1000 IOPS, OS: Linux CentOS</t>
  </si>
  <si>
    <t>WN-L5 Plan: 32 Core Processor  32  GB RAM 100 GB HDD 1000 IOPS, OS: Linux CentOS</t>
  </si>
  <si>
    <t>WN-L6 Plan: 32 Core Processor  64  GB RAM 100 GB HDD 1000 IOPS, OS: Linux CentOS</t>
  </si>
  <si>
    <t>WN-L7 Plan: 32 Core Processor  128  GB RAM 100 GB HDD 1000 IOPS, OS: Linux CentOS</t>
  </si>
  <si>
    <t>WN-XL 1 Plan: Tetradeca Core Processor  128  GB RAM 100 GB HDD 1000 IOPS, OS: Linux CentOS</t>
  </si>
  <si>
    <t>WN-XL 2 Plan: Hexadeca Core Processor  256  GB RAM 100 GB HDD 1000 IOPS, OS: Linux CentOS</t>
  </si>
  <si>
    <t>WN-XL 3 Plan: Hexadeca Core Processor  512  GB RAM 100 GB HDD 1000 IOPS, OS: Linux CentOS</t>
  </si>
  <si>
    <t>WN-XL 4 Plan: 32 Core Processor  256  GB RAM 100 GB HDD 1000 IOPS, OS: Linux CentOS</t>
  </si>
  <si>
    <t>WN-XL 5 Plan: 32 Core Processor  512  GB RAM 100 GB HDD 1000 IOPS, OS: Linux CentOS</t>
  </si>
  <si>
    <t>WN-XL 6 Plan: 64 Core Processor  128  GB RAM 100 GB HDD 1000 IOPS, OS: Linux CentOS</t>
  </si>
  <si>
    <t>WN-XL 7 Plan: 64 Core Processor  256  GB RAM 100 GB HDD 1000 IOPS, OS: Linux CentOS</t>
  </si>
  <si>
    <t>WN-XL 8 Plan: 54 Core Processor  512  GB RAM 100 GB HDD 1000 IOPS, OS: Linux CentOS</t>
  </si>
  <si>
    <t>WN-XL 9 Plan: 128 Core Processor  256  GB RAM 100 GB HDD 1000 IOPS, OS: Linux CentOS</t>
  </si>
  <si>
    <t>WN-XL 10 Plan: 256 Core Processor  512  GB RAM 100 GB HDD 1000 IOPS, OS: Linux CentOS</t>
  </si>
  <si>
    <t>WN-XL 11 Plan: 256 Core Processor  1024  GB RAM 100 GB HDD 1000 IOPS, OS: Linux CentOS</t>
  </si>
  <si>
    <t>Public IP address</t>
  </si>
  <si>
    <t>As per Plan</t>
  </si>
  <si>
    <t xml:space="preserve">Data tranfer </t>
  </si>
  <si>
    <t>Ci/CD Per Project or Pipeline (Infrastructure Separate )</t>
  </si>
  <si>
    <t>Redis Cache Services  (All Opensource tools)</t>
  </si>
  <si>
    <t>Redis Cache Server Standalone 5 GB Cache</t>
  </si>
  <si>
    <t>Redis Cache Server Cluster 5GB Cache</t>
  </si>
  <si>
    <t>Redis Cache Server Standalone 10 GB Cache</t>
  </si>
  <si>
    <t>Redis Cache Server Cluster 10 GB Cache</t>
  </si>
  <si>
    <t>Redis Cache Server Standalone 20 GB Cache</t>
  </si>
  <si>
    <t>Redis Cache Server Cluster 20 GB Cache</t>
  </si>
  <si>
    <t>Redis Cache Server Standalone 40 GB Cache</t>
  </si>
  <si>
    <t>Redis Cache Server Cluster 40 GB Cache</t>
  </si>
  <si>
    <t>Redis Cache Server Standalone 60 GB Cache</t>
  </si>
  <si>
    <t>Redis Cache Server Cluster 60 GB Cache</t>
  </si>
  <si>
    <t>Sr. No</t>
  </si>
  <si>
    <t xml:space="preserve">Service </t>
  </si>
  <si>
    <t>Cost for Additional Components/Service</t>
  </si>
  <si>
    <t xml:space="preserve">Total Price/Month (INR) </t>
  </si>
  <si>
    <t xml:space="preserve">One Time Cost (INR- Lakh) </t>
  </si>
  <si>
    <t>Additional Information</t>
  </si>
  <si>
    <t>Main Product (Main SKU)</t>
  </si>
  <si>
    <t>Additional Service (Sub-SKU)</t>
  </si>
  <si>
    <t xml:space="preserve">Fully Managed SOC as Service- Eagle Eye Services </t>
  </si>
  <si>
    <t>Per Log Source</t>
  </si>
  <si>
    <t>Costing Considering EPS of upto 500 and Log retention of upto 6 Months and Internet Bandwith at Service Provider end of upto 10 Mbps.  OTC Will be for the complete project and may vary if additional Scope is involved, no Onsite Support is considered. The mentioned costs does not consider any specific SIEM that is offered  through ESDS and the appropriate SIEM will be used at ESDS end.</t>
  </si>
  <si>
    <t>1a</t>
  </si>
  <si>
    <t>Storage Per GB</t>
  </si>
  <si>
    <t>1b</t>
  </si>
  <si>
    <t>Service Provider Internet Bandwith per Mbps</t>
  </si>
  <si>
    <t>Managed SOC Services for SIEM On-Site with all Resouces at Service Provider Location and no named resource for the Project</t>
  </si>
  <si>
    <t>SOC Monitoring only from SP Location</t>
  </si>
  <si>
    <t>The Cost provided is for upto SOC Monitoring and reporting for upto 150 devices monitored through the Customer  SIEM at Customer Location. Integration with ESDS Ticketing tool is included in the pricing.</t>
  </si>
  <si>
    <t>2a</t>
  </si>
  <si>
    <t>Each Named L1 SOC  Engineer  for the Project at Service Provider Location- Shared</t>
  </si>
  <si>
    <t>Per Engineer</t>
  </si>
  <si>
    <t>2b</t>
  </si>
  <si>
    <t>Each Named L2 SOC Engineer for the Project at Service Provider Location- Shared</t>
  </si>
  <si>
    <t>2c</t>
  </si>
  <si>
    <t>Each Named L3 engineer  for the Project at Service Provider Location- Shared</t>
  </si>
  <si>
    <t>Managed SOC Services for SIEM On-Site with all Resources at Client  Location.</t>
  </si>
  <si>
    <t>The Below Manpower is an essential part of this Service and cannot be taken Standalone</t>
  </si>
  <si>
    <t xml:space="preserve">Project On Boarding </t>
  </si>
  <si>
    <t xml:space="preserve">No Capex or investment on Equipments/Devices  are considered here. OTC considered is for initial Transitionining and on boarding </t>
  </si>
  <si>
    <t xml:space="preserve">Each Dedicated L1 SOC Engineer onsite </t>
  </si>
  <si>
    <t>Standard SOC Monitoring Funcionality would be renedered through these engineers. Additional Functionality like remediation and consulting would need more specialised resources and cost will change accordingly</t>
  </si>
  <si>
    <t xml:space="preserve">Each Dedicated L2 SOC Engineer onsite </t>
  </si>
  <si>
    <t xml:space="preserve">Each Dedicated L3 SOC Engineer onsite </t>
  </si>
  <si>
    <t>Team Lead SOC Onsite</t>
  </si>
  <si>
    <t>One Team Lead</t>
  </si>
  <si>
    <t>Brand Reputation Risk Monitoring with Take Down Services</t>
  </si>
  <si>
    <t>Pricing will need to be arrived at based on coverage and scope which may vary for various departments</t>
  </si>
  <si>
    <t>Cyber Crime and Dark Web Intelligence</t>
  </si>
  <si>
    <t xml:space="preserve">Managed EDR as a Service </t>
  </si>
  <si>
    <t>Per End Point</t>
  </si>
  <si>
    <t xml:space="preserve">Will be offered from ESDS SOC with agents deployed at customers endpoints. The  costs are  for upto 500 endpoints, retention period of 1 month, upto 1000eps  and  no onsite support is considered. </t>
  </si>
  <si>
    <t xml:space="preserve">Managed DLP as a Service </t>
  </si>
  <si>
    <t>Security Assessment Services (Security Insight Services)</t>
  </si>
  <si>
    <t>Project Based</t>
  </si>
  <si>
    <t>The Pricing will be based on scope and depth of the Assessment.</t>
  </si>
  <si>
    <t xml:space="preserve">VAPT Services </t>
  </si>
  <si>
    <t xml:space="preserve">Per IP </t>
  </si>
  <si>
    <t xml:space="preserve">The Pricing is based on minimum order of 250 Ips </t>
  </si>
  <si>
    <t>Requirement</t>
  </si>
  <si>
    <t>PACKS</t>
  </si>
  <si>
    <t>REMAINING</t>
  </si>
  <si>
    <t>Additional vCore</t>
  </si>
  <si>
    <t>Additional Ram</t>
  </si>
  <si>
    <t>Additional Storage ( 100 GB Pack )</t>
  </si>
  <si>
    <t>Yearly Once</t>
  </si>
  <si>
    <t>L7</t>
  </si>
  <si>
    <t>M13</t>
  </si>
  <si>
    <t>Object Storage - 1 TB</t>
  </si>
  <si>
    <t>One Time Cost</t>
  </si>
  <si>
    <t>ESDS' eNlight Cloud Hosting Services- DR Site A</t>
  </si>
  <si>
    <t>Client Scope</t>
  </si>
  <si>
    <t>DC</t>
  </si>
  <si>
    <t>Mobile Application</t>
  </si>
  <si>
    <t>Mobile Application Database</t>
  </si>
  <si>
    <t>Postgres SQL</t>
  </si>
  <si>
    <t>Total Cost for DC Only for 12 months (Rupees twenty lakhs eighty six thousand six hundred ninety only) Excluding Taxes</t>
  </si>
  <si>
    <t>Win Standard</t>
  </si>
  <si>
    <t xml:space="preserve">Included </t>
  </si>
  <si>
    <t>Database License provisioning and its Management will be under Client Scope</t>
  </si>
  <si>
    <t>pack</t>
  </si>
  <si>
    <t>Backup Storage ( 500 GB )</t>
  </si>
  <si>
    <t xml:space="preserve">Yearly Once , and once before deployment </t>
  </si>
  <si>
    <t xml:space="preserve">L6 </t>
  </si>
  <si>
    <t>Sr. No.</t>
  </si>
  <si>
    <t>Server</t>
  </si>
  <si>
    <t>VM Configuration</t>
  </si>
  <si>
    <t>CPU</t>
  </si>
  <si>
    <t>32 Core</t>
  </si>
  <si>
    <t>64 GB</t>
  </si>
  <si>
    <t>HDD</t>
  </si>
  <si>
    <t>Windows server</t>
  </si>
  <si>
    <t>Storage</t>
  </si>
  <si>
    <t>Shared storage</t>
  </si>
  <si>
    <t>Web server  (Tomcat)</t>
  </si>
  <si>
    <t>Application server (GIS) + Web adaptor</t>
  </si>
  <si>
    <t>Shared storage As per requirement</t>
  </si>
  <si>
    <t>128 GB</t>
  </si>
  <si>
    <t>Shared storage as per requirement</t>
  </si>
  <si>
    <t>Existing</t>
  </si>
  <si>
    <t xml:space="preserve">Additonal </t>
  </si>
  <si>
    <t xml:space="preserve">Community Edition - Client Scope </t>
  </si>
  <si>
    <t>Web server (IIS) + Web adaptor</t>
  </si>
  <si>
    <t>500 GB (As per requirement shared)</t>
  </si>
  <si>
    <t>Application server (GIS)</t>
  </si>
  <si>
    <t xml:space="preserve">MRSAC Internal </t>
  </si>
  <si>
    <t>ESDS Rate Card Transfer Price to BSNL for Cloud, SOC and Colocation Service to MRSAC</t>
  </si>
  <si>
    <t>SIEM as a service - Per Instance Or Per device (up to 100 devices &amp; 500 EPS, Log retention for 6 Months)</t>
  </si>
  <si>
    <t>Per Instance/Per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</si>
</sst>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quot;₹&quot;\ #,##0;&quot;₹&quot;\ \-#,##0"/>
    <numFmt numFmtId="165" formatCode="_ &quot;₹&quot;\ * #,##0.00_ ;_ &quot;₹&quot;\ * \-#,##0.00_ ;_ &quot;₹&quot;\ * &quot;-&quot;??_ ;_ @_ "/>
    <numFmt numFmtId="166" formatCode="_ * #,##0.00_ ;_ * \-#,##0.00_ ;_ * &quot;-&quot;??_ ;_ @_ "/>
    <numFmt numFmtId="167" formatCode="_([$INR]\ * #,##0.00_);_([$INR]\ * \(#,##0.00\);_([$INR]\ * &quot;-&quot;??_);_(@_)"/>
    <numFmt numFmtId="168" formatCode="_([$INR]\ * #,##0_);_([$INR]\ * \(#,##0\);_([$INR]\ * &quot;-&quot;??_);_(@_)"/>
    <numFmt numFmtId="169" formatCode="General\ &quot;GB&quot;"/>
    <numFmt numFmtId="170" formatCode="General\ &quot;TB&quot;"/>
    <numFmt numFmtId="171" formatCode="General\ &quot;Mbps&quot;"/>
    <numFmt numFmtId="172" formatCode="General\ &quot;No.&quot;"/>
    <numFmt numFmtId="173" formatCode="_ [$INR]\ * #,##0.00_ ;_ [$INR]\ * \-#,##0.00_ ;_ [$INR]\ * &quot;-&quot;??_ ;_ @_ "/>
    <numFmt numFmtId="174" formatCode="General\ &quot;Months.&quot;"/>
    <numFmt numFmtId="175" formatCode="[$-409]d\-mmm\-yyyy;@"/>
    <numFmt numFmtId="176" formatCode="_ [$₹-4009]\ * #,##0.00_ ;_ [$₹-4009]\ * \-#,##0.00_ ;_ [$₹-4009]\ * &quot;-&quot;??_ ;_ @_ "/>
  </numFmts>
  <fonts count="43"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sz val="11"/>
      <color rgb="FFFF0000"/>
      <name val="Calibri"/>
      <family val="2"/>
      <scheme val="minor"/>
    </font>
    <font>
      <sz val="11"/>
      <name val="Calibri"/>
      <family val="2"/>
      <scheme val="minor"/>
    </font>
    <font>
      <b/>
      <sz val="11"/>
      <color rgb="FFFFFF00"/>
      <name val="Calibri"/>
      <family val="2"/>
      <scheme val="minor"/>
    </font>
    <font>
      <b/>
      <sz val="11"/>
      <name val="Calibri"/>
      <family val="2"/>
      <scheme val="minor"/>
    </font>
    <font>
      <b/>
      <sz val="11"/>
      <color rgb="FFFF0000"/>
      <name val="Calibri"/>
      <family val="2"/>
      <scheme val="minor"/>
    </font>
    <font>
      <b/>
      <sz val="11"/>
      <color rgb="FF000000"/>
      <name val="Calibri"/>
      <family val="2"/>
      <scheme val="minor"/>
    </font>
    <font>
      <sz val="11"/>
      <color rgb="FF000000"/>
      <name val="Calibri"/>
      <family val="2"/>
      <scheme val="minor"/>
    </font>
    <font>
      <sz val="12"/>
      <name val="Calibri"/>
      <family val="2"/>
    </font>
    <font>
      <b/>
      <sz val="12"/>
      <color rgb="FFFFFF00"/>
      <name val="Calibri"/>
      <family val="2"/>
    </font>
    <font>
      <b/>
      <sz val="12"/>
      <color rgb="FF205867"/>
      <name val="Calibri"/>
      <family val="2"/>
    </font>
    <font>
      <b/>
      <sz val="12"/>
      <color theme="1"/>
      <name val="Calibri"/>
      <family val="2"/>
      <scheme val="minor"/>
    </font>
    <font>
      <b/>
      <sz val="14"/>
      <color theme="1"/>
      <name val="Calibri"/>
      <family val="2"/>
      <scheme val="minor"/>
    </font>
    <font>
      <sz val="10"/>
      <color theme="1"/>
      <name val="Californian FB"/>
      <family val="2"/>
    </font>
    <font>
      <sz val="11"/>
      <color theme="1"/>
      <name val="Cambria"/>
      <family val="2"/>
    </font>
    <font>
      <sz val="12"/>
      <color theme="1"/>
      <name val="Calibri"/>
      <family val="2"/>
      <scheme val="minor"/>
    </font>
    <font>
      <b/>
      <u/>
      <sz val="10"/>
      <color theme="1"/>
      <name val="Calibri"/>
      <family val="2"/>
      <scheme val="minor"/>
    </font>
    <font>
      <sz val="10"/>
      <name val="Calibri"/>
      <family val="2"/>
      <scheme val="minor"/>
    </font>
    <font>
      <b/>
      <sz val="11"/>
      <color theme="1"/>
      <name val="Calibri"/>
      <family val="2"/>
      <scheme val="minor"/>
    </font>
    <font>
      <sz val="10"/>
      <color theme="1"/>
      <name val="Trebuchet MS"/>
      <family val="2"/>
    </font>
    <font>
      <b/>
      <sz val="12"/>
      <color theme="1"/>
      <name val="Trebuchet MS"/>
      <family val="2"/>
    </font>
    <font>
      <sz val="10"/>
      <color theme="0"/>
      <name val="Trebuchet MS"/>
      <family val="2"/>
    </font>
    <font>
      <b/>
      <sz val="10"/>
      <color theme="0"/>
      <name val="Trebuchet MS"/>
      <family val="2"/>
    </font>
    <font>
      <b/>
      <sz val="10"/>
      <color theme="1"/>
      <name val="Trebuchet MS"/>
      <family val="2"/>
    </font>
    <font>
      <sz val="10"/>
      <name val="Trebuchet MS"/>
      <family val="2"/>
    </font>
    <font>
      <sz val="10"/>
      <name val="Calibri"/>
      <family val="2"/>
    </font>
    <font>
      <sz val="10"/>
      <color rgb="FF000000"/>
      <name val="Trebuchet MS"/>
      <family val="2"/>
    </font>
    <font>
      <b/>
      <sz val="10"/>
      <color rgb="FF222A35"/>
      <name val="Trebuchet MS"/>
      <family val="2"/>
    </font>
    <font>
      <b/>
      <sz val="10"/>
      <color rgb="FF000000"/>
      <name val="Trebuchet MS"/>
      <family val="2"/>
    </font>
    <font>
      <sz val="10"/>
      <color rgb="FF222A35"/>
      <name val="Trebuchet MS"/>
      <family val="2"/>
    </font>
    <font>
      <b/>
      <sz val="10"/>
      <color rgb="FFFF0000"/>
      <name val="Trebuchet MS"/>
      <family val="2"/>
    </font>
    <font>
      <b/>
      <sz val="11"/>
      <color theme="1"/>
      <name val="Cambria"/>
      <family val="1"/>
    </font>
    <font>
      <sz val="11"/>
      <color theme="1"/>
      <name val="Cambria"/>
      <family val="1"/>
    </font>
    <font>
      <sz val="10"/>
      <color theme="1"/>
      <name val="Cambria"/>
      <family val="1"/>
    </font>
    <font>
      <sz val="11"/>
      <color theme="0"/>
      <name val="Calibri"/>
      <family val="2"/>
      <scheme val="minor"/>
    </font>
    <font>
      <sz val="11"/>
      <color theme="1"/>
      <name val="Calibri"/>
      <family val="2"/>
    </font>
    <font>
      <sz val="8"/>
      <name val="Calibri"/>
      <family val="2"/>
      <scheme val="minor"/>
    </font>
    <font>
      <b/>
      <sz val="11"/>
      <color theme="1"/>
      <name val="Calibri"/>
      <family val="2"/>
    </font>
    <font>
      <sz val="11"/>
      <color theme="1"/>
      <name val="Aptos"/>
      <family val="2"/>
    </font>
    <font>
      <sz val="10"/>
      <color rgb="FFFF0000"/>
      <name val="Trebuchet MS"/>
      <family val="2"/>
    </font>
  </fonts>
  <fills count="1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205867"/>
        <bgColor rgb="FF205867"/>
      </patternFill>
    </fill>
    <fill>
      <patternFill patternType="solid">
        <fgColor rgb="FFEEECE1"/>
        <bgColor rgb="FFEEECE1"/>
      </patternFill>
    </fill>
    <fill>
      <patternFill patternType="solid">
        <fgColor rgb="FFFABF8F"/>
        <bgColor rgb="FFFABF8F"/>
      </patternFill>
    </fill>
    <fill>
      <patternFill patternType="solid">
        <fgColor rgb="FFC2D69B"/>
        <bgColor rgb="FFC2D69B"/>
      </patternFill>
    </fill>
    <fill>
      <patternFill patternType="solid">
        <fgColor rgb="FFC6D9F0"/>
        <bgColor rgb="FFC6D9F0"/>
      </patternFill>
    </fill>
    <fill>
      <patternFill patternType="solid">
        <fgColor rgb="FFFBD4B4"/>
        <bgColor rgb="FFFBD4B4"/>
      </patternFill>
    </fill>
    <fill>
      <patternFill patternType="solid">
        <fgColor rgb="FFFFFF00"/>
        <bgColor rgb="FFFFFF00"/>
      </patternFill>
    </fill>
    <fill>
      <patternFill patternType="solid">
        <fgColor theme="0"/>
        <bgColor rgb="FFFFFF00"/>
      </patternFill>
    </fill>
    <fill>
      <patternFill patternType="solid">
        <fgColor theme="0"/>
        <bgColor rgb="FFFABF8F"/>
      </patternFill>
    </fill>
    <fill>
      <patternFill patternType="solid">
        <fgColor rgb="FF0070C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002060"/>
        <bgColor indexed="64"/>
      </patternFill>
    </fill>
  </fills>
  <borders count="5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7">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166" fontId="3" fillId="0" borderId="0" applyFill="0" applyBorder="0" applyAlignment="0" applyProtection="0"/>
    <xf numFmtId="0" fontId="5" fillId="0" borderId="0"/>
    <xf numFmtId="43"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 fillId="0" borderId="0"/>
    <xf numFmtId="43" fontId="16" fillId="0" borderId="0" applyFont="0" applyFill="0" applyBorder="0" applyAlignment="0" applyProtection="0"/>
    <xf numFmtId="0" fontId="17" fillId="0" borderId="0"/>
    <xf numFmtId="0" fontId="1" fillId="0" borderId="0"/>
    <xf numFmtId="0" fontId="18" fillId="0" borderId="0"/>
    <xf numFmtId="0" fontId="1" fillId="0" borderId="0"/>
    <xf numFmtId="0" fontId="5" fillId="0" borderId="0"/>
    <xf numFmtId="165" fontId="1" fillId="0" borderId="0" applyFont="0" applyFill="0" applyBorder="0" applyAlignment="0" applyProtection="0"/>
  </cellStyleXfs>
  <cellXfs count="257">
    <xf numFmtId="0" fontId="0" fillId="0" borderId="0" xfId="0"/>
    <xf numFmtId="0" fontId="5" fillId="0" borderId="0" xfId="5" applyAlignment="1">
      <alignment horizontal="center" vertical="center"/>
    </xf>
    <xf numFmtId="0" fontId="5" fillId="0" borderId="0" xfId="5" applyAlignment="1">
      <alignment horizontal="left" vertical="center" wrapText="1"/>
    </xf>
    <xf numFmtId="3" fontId="5" fillId="0" borderId="0" xfId="5" applyNumberFormat="1" applyAlignment="1">
      <alignment horizontal="center" vertical="center"/>
    </xf>
    <xf numFmtId="0" fontId="5" fillId="0" borderId="0" xfId="5" applyAlignment="1">
      <alignment vertical="center"/>
    </xf>
    <xf numFmtId="0" fontId="5" fillId="0" borderId="0" xfId="5"/>
    <xf numFmtId="0" fontId="9" fillId="6" borderId="9" xfId="5" applyFont="1" applyFill="1" applyBorder="1" applyAlignment="1">
      <alignment horizontal="center" vertical="center" wrapText="1"/>
    </xf>
    <xf numFmtId="0" fontId="7" fillId="5" borderId="9" xfId="5" applyFont="1" applyFill="1" applyBorder="1" applyAlignment="1">
      <alignment vertical="center" wrapText="1"/>
    </xf>
    <xf numFmtId="0" fontId="5" fillId="0" borderId="9" xfId="5" applyBorder="1" applyAlignment="1">
      <alignment horizontal="left" vertical="center" wrapText="1"/>
    </xf>
    <xf numFmtId="172" fontId="5" fillId="0" borderId="9" xfId="5" applyNumberFormat="1" applyBorder="1" applyAlignment="1">
      <alignment horizontal="center" vertical="center"/>
    </xf>
    <xf numFmtId="168" fontId="5" fillId="0" borderId="9" xfId="5" applyNumberFormat="1" applyBorder="1" applyAlignment="1">
      <alignment horizontal="center" vertical="center"/>
    </xf>
    <xf numFmtId="168" fontId="5" fillId="0" borderId="9" xfId="5" applyNumberFormat="1" applyBorder="1" applyAlignment="1">
      <alignment horizontal="center" vertical="center" wrapText="1"/>
    </xf>
    <xf numFmtId="0" fontId="5" fillId="0" borderId="0" xfId="5" applyAlignment="1">
      <alignment horizontal="center" vertical="center" wrapText="1"/>
    </xf>
    <xf numFmtId="168" fontId="5" fillId="0" borderId="9" xfId="5" applyNumberFormat="1" applyBorder="1" applyAlignment="1">
      <alignment horizontal="left" vertical="center" wrapText="1"/>
    </xf>
    <xf numFmtId="168" fontId="7" fillId="8" borderId="9" xfId="5" applyNumberFormat="1" applyFont="1" applyFill="1" applyBorder="1" applyAlignment="1">
      <alignment vertical="center" wrapText="1"/>
    </xf>
    <xf numFmtId="168" fontId="9" fillId="9" borderId="9" xfId="5" applyNumberFormat="1" applyFont="1" applyFill="1" applyBorder="1" applyAlignment="1">
      <alignment vertical="center" wrapText="1"/>
    </xf>
    <xf numFmtId="173" fontId="5" fillId="0" borderId="0" xfId="5" applyNumberFormat="1" applyAlignment="1">
      <alignment vertical="center"/>
    </xf>
    <xf numFmtId="0" fontId="7" fillId="0" borderId="0" xfId="5" applyFont="1" applyAlignment="1">
      <alignment vertical="center"/>
    </xf>
    <xf numFmtId="0" fontId="5" fillId="0" borderId="0" xfId="5" applyAlignment="1">
      <alignment vertical="center" wrapText="1"/>
    </xf>
    <xf numFmtId="3" fontId="5" fillId="0" borderId="0" xfId="5" applyNumberFormat="1" applyAlignment="1">
      <alignment vertical="center"/>
    </xf>
    <xf numFmtId="0" fontId="5" fillId="0" borderId="0" xfId="5" applyAlignment="1">
      <alignment wrapText="1"/>
    </xf>
    <xf numFmtId="0" fontId="8" fillId="5" borderId="1" xfId="5" applyFont="1" applyFill="1" applyBorder="1" applyAlignment="1">
      <alignment horizontal="center" vertical="center" wrapText="1"/>
    </xf>
    <xf numFmtId="0" fontId="9" fillId="6" borderId="1" xfId="5" applyFont="1" applyFill="1" applyBorder="1" applyAlignment="1">
      <alignment horizontal="center" vertical="center" wrapText="1"/>
    </xf>
    <xf numFmtId="0" fontId="7" fillId="7" borderId="1" xfId="5" applyFont="1" applyFill="1" applyBorder="1" applyAlignment="1">
      <alignment horizontal="center" vertical="center" wrapText="1"/>
    </xf>
    <xf numFmtId="0" fontId="8" fillId="7" borderId="1" xfId="5" applyFont="1" applyFill="1" applyBorder="1" applyAlignment="1">
      <alignment horizontal="center" vertical="center" wrapText="1"/>
    </xf>
    <xf numFmtId="0" fontId="6" fillId="4" borderId="3" xfId="5" applyFont="1" applyFill="1" applyBorder="1" applyAlignment="1">
      <alignment vertical="center"/>
    </xf>
    <xf numFmtId="0" fontId="6" fillId="4" borderId="4" xfId="5" applyFont="1" applyFill="1" applyBorder="1" applyAlignment="1">
      <alignment vertical="center"/>
    </xf>
    <xf numFmtId="0" fontId="6" fillId="4" borderId="5" xfId="5" applyFont="1" applyFill="1" applyBorder="1" applyAlignment="1">
      <alignment vertical="center"/>
    </xf>
    <xf numFmtId="0" fontId="8" fillId="5" borderId="7" xfId="5" applyFont="1" applyFill="1" applyBorder="1" applyAlignment="1">
      <alignment horizontal="center" vertical="center" wrapText="1"/>
    </xf>
    <xf numFmtId="0" fontId="9" fillId="6" borderId="6" xfId="5" applyFont="1" applyFill="1" applyBorder="1" applyAlignment="1">
      <alignment horizontal="center" vertical="center" wrapText="1"/>
    </xf>
    <xf numFmtId="0" fontId="9" fillId="6" borderId="7" xfId="5" applyFont="1" applyFill="1" applyBorder="1" applyAlignment="1">
      <alignment horizontal="center" vertical="center" wrapText="1"/>
    </xf>
    <xf numFmtId="0" fontId="7" fillId="7" borderId="6" xfId="5" applyFont="1" applyFill="1" applyBorder="1" applyAlignment="1">
      <alignment horizontal="center" vertical="center" wrapText="1"/>
    </xf>
    <xf numFmtId="0" fontId="8" fillId="7" borderId="7" xfId="5" applyFont="1" applyFill="1" applyBorder="1" applyAlignment="1">
      <alignment horizontal="center" vertical="center" wrapText="1"/>
    </xf>
    <xf numFmtId="0" fontId="5" fillId="0" borderId="6" xfId="5" applyBorder="1" applyAlignment="1">
      <alignment horizontal="center" vertical="center"/>
    </xf>
    <xf numFmtId="0" fontId="5" fillId="0" borderId="7" xfId="5" applyBorder="1" applyAlignment="1">
      <alignment horizontal="center" vertical="center"/>
    </xf>
    <xf numFmtId="167" fontId="5" fillId="0" borderId="0" xfId="5" applyNumberFormat="1" applyAlignment="1">
      <alignment vertical="center"/>
    </xf>
    <xf numFmtId="172" fontId="5" fillId="0" borderId="0" xfId="5" applyNumberFormat="1" applyAlignment="1">
      <alignment horizontal="center" vertical="center"/>
    </xf>
    <xf numFmtId="0" fontId="11" fillId="0" borderId="0" xfId="0" applyFont="1"/>
    <xf numFmtId="0" fontId="12" fillId="4" borderId="9" xfId="0" applyFont="1" applyFill="1" applyBorder="1" applyAlignment="1">
      <alignment horizontal="left" vertical="center"/>
    </xf>
    <xf numFmtId="0" fontId="12" fillId="4" borderId="9" xfId="0" applyFont="1" applyFill="1" applyBorder="1" applyAlignment="1">
      <alignment horizontal="center" vertical="center"/>
    </xf>
    <xf numFmtId="0" fontId="11" fillId="0" borderId="0" xfId="0" applyFont="1" applyAlignment="1">
      <alignment vertical="center"/>
    </xf>
    <xf numFmtId="168" fontId="11" fillId="0" borderId="0" xfId="0" applyNumberFormat="1" applyFont="1" applyAlignment="1">
      <alignment vertical="center"/>
    </xf>
    <xf numFmtId="0" fontId="12" fillId="4" borderId="11" xfId="0" applyFont="1" applyFill="1" applyBorder="1" applyAlignment="1">
      <alignment vertical="center"/>
    </xf>
    <xf numFmtId="168" fontId="5" fillId="2" borderId="9" xfId="5" applyNumberFormat="1" applyFill="1" applyBorder="1" applyAlignment="1">
      <alignment horizontal="left" vertical="center" wrapText="1"/>
    </xf>
    <xf numFmtId="172" fontId="5" fillId="2" borderId="9" xfId="5" applyNumberFormat="1" applyFill="1" applyBorder="1" applyAlignment="1">
      <alignment horizontal="center" vertical="center"/>
    </xf>
    <xf numFmtId="168" fontId="5" fillId="2" borderId="9" xfId="5" applyNumberFormat="1" applyFill="1" applyBorder="1" applyAlignment="1">
      <alignment horizontal="center" vertical="center"/>
    </xf>
    <xf numFmtId="168" fontId="5" fillId="2" borderId="9" xfId="5" applyNumberFormat="1" applyFill="1" applyBorder="1" applyAlignment="1">
      <alignment horizontal="center" vertical="center" wrapText="1"/>
    </xf>
    <xf numFmtId="175" fontId="0" fillId="0" borderId="0" xfId="0" applyNumberFormat="1"/>
    <xf numFmtId="167" fontId="0" fillId="0" borderId="0" xfId="0" applyNumberFormat="1"/>
    <xf numFmtId="167" fontId="5" fillId="0" borderId="0" xfId="5" applyNumberFormat="1" applyAlignment="1">
      <alignment horizontal="center" vertical="center"/>
    </xf>
    <xf numFmtId="9" fontId="5" fillId="0" borderId="0" xfId="7" applyFont="1" applyAlignment="1">
      <alignment vertical="center"/>
    </xf>
    <xf numFmtId="43" fontId="5" fillId="0" borderId="0" xfId="6" applyFont="1" applyAlignment="1">
      <alignment vertical="center"/>
    </xf>
    <xf numFmtId="172" fontId="5" fillId="0" borderId="0" xfId="5" applyNumberFormat="1"/>
    <xf numFmtId="170" fontId="5" fillId="0" borderId="9" xfId="5" applyNumberFormat="1" applyBorder="1" applyAlignment="1">
      <alignment horizontal="left" vertical="center" indent="2"/>
    </xf>
    <xf numFmtId="0" fontId="13" fillId="11" borderId="11" xfId="0" applyFont="1" applyFill="1" applyBorder="1" applyAlignment="1">
      <alignment vertical="center" wrapText="1"/>
    </xf>
    <xf numFmtId="168" fontId="13" fillId="11" borderId="9" xfId="0" applyNumberFormat="1" applyFont="1" applyFill="1" applyBorder="1" applyAlignment="1">
      <alignment horizontal="left" vertical="center" wrapText="1"/>
    </xf>
    <xf numFmtId="174" fontId="13" fillId="11" borderId="9" xfId="0" applyNumberFormat="1" applyFont="1" applyFill="1" applyBorder="1" applyAlignment="1">
      <alignment horizontal="center" vertical="center" wrapText="1"/>
    </xf>
    <xf numFmtId="168" fontId="13" fillId="11" borderId="9" xfId="0" applyNumberFormat="1" applyFont="1" applyFill="1" applyBorder="1" applyAlignment="1">
      <alignment vertical="center" wrapText="1"/>
    </xf>
    <xf numFmtId="168" fontId="15" fillId="3" borderId="14" xfId="0" applyNumberFormat="1" applyFont="1" applyFill="1" applyBorder="1"/>
    <xf numFmtId="168" fontId="0" fillId="0" borderId="0" xfId="0" applyNumberFormat="1"/>
    <xf numFmtId="171" fontId="5" fillId="2" borderId="9" xfId="5" applyNumberFormat="1" applyFill="1" applyBorder="1" applyAlignment="1">
      <alignment horizontal="center" vertical="center"/>
    </xf>
    <xf numFmtId="169" fontId="5" fillId="2" borderId="9" xfId="5" applyNumberFormat="1" applyFill="1" applyBorder="1" applyAlignment="1">
      <alignment horizontal="center" vertical="center"/>
    </xf>
    <xf numFmtId="0" fontId="19" fillId="0" borderId="0" xfId="0" applyFont="1" applyAlignment="1" applyProtection="1">
      <alignment horizontal="left" vertical="center"/>
      <protection locked="0" hidden="1"/>
    </xf>
    <xf numFmtId="0" fontId="0" fillId="0" borderId="0" xfId="0" applyAlignment="1" applyProtection="1">
      <alignment vertical="center"/>
      <protection locked="0" hidden="1"/>
    </xf>
    <xf numFmtId="0" fontId="20" fillId="0" borderId="0" xfId="0" applyFont="1"/>
    <xf numFmtId="0" fontId="18" fillId="0" borderId="0" xfId="0" applyFont="1" applyProtection="1">
      <protection locked="0" hidden="1"/>
    </xf>
    <xf numFmtId="0" fontId="9" fillId="6" borderId="23" xfId="5" applyFont="1" applyFill="1" applyBorder="1" applyAlignment="1">
      <alignment horizontal="center" vertical="center" wrapText="1"/>
    </xf>
    <xf numFmtId="0" fontId="9" fillId="6" borderId="24" xfId="5" applyFont="1" applyFill="1" applyBorder="1" applyAlignment="1">
      <alignment horizontal="center" vertical="center" wrapText="1"/>
    </xf>
    <xf numFmtId="0" fontId="7" fillId="5" borderId="23" xfId="5" applyFont="1" applyFill="1" applyBorder="1" applyAlignment="1">
      <alignment vertical="center" wrapText="1"/>
    </xf>
    <xf numFmtId="0" fontId="7" fillId="5" borderId="24" xfId="5" applyFont="1" applyFill="1" applyBorder="1" applyAlignment="1">
      <alignment vertical="center" wrapText="1"/>
    </xf>
    <xf numFmtId="168" fontId="7" fillId="0" borderId="23" xfId="5" applyNumberFormat="1" applyFont="1" applyBorder="1" applyAlignment="1">
      <alignment horizontal="left" vertical="center" wrapText="1"/>
    </xf>
    <xf numFmtId="168" fontId="5" fillId="0" borderId="24" xfId="5" applyNumberFormat="1" applyBorder="1" applyAlignment="1">
      <alignment horizontal="center" vertical="center"/>
    </xf>
    <xf numFmtId="168" fontId="7" fillId="0" borderId="23" xfId="5" applyNumberFormat="1" applyFont="1" applyBorder="1" applyAlignment="1">
      <alignment horizontal="center" vertical="center" wrapText="1"/>
    </xf>
    <xf numFmtId="168" fontId="4" fillId="0" borderId="24" xfId="5" applyNumberFormat="1" applyFont="1" applyBorder="1" applyAlignment="1">
      <alignment horizontal="center" vertical="center"/>
    </xf>
    <xf numFmtId="168" fontId="7" fillId="0" borderId="23" xfId="5" applyNumberFormat="1" applyFont="1" applyBorder="1" applyAlignment="1">
      <alignment horizontal="center" vertical="center"/>
    </xf>
    <xf numFmtId="171" fontId="5" fillId="2" borderId="24" xfId="5" applyNumberFormat="1" applyFill="1" applyBorder="1" applyAlignment="1">
      <alignment horizontal="center" vertical="center"/>
    </xf>
    <xf numFmtId="0" fontId="7" fillId="8" borderId="24" xfId="5" applyFont="1" applyFill="1" applyBorder="1" applyAlignment="1">
      <alignment vertical="center" wrapText="1"/>
    </xf>
    <xf numFmtId="0" fontId="10" fillId="9" borderId="24" xfId="5" applyFont="1" applyFill="1" applyBorder="1" applyAlignment="1">
      <alignment vertical="center" wrapText="1"/>
    </xf>
    <xf numFmtId="168" fontId="7" fillId="10" borderId="31" xfId="5" applyNumberFormat="1" applyFont="1" applyFill="1" applyBorder="1" applyAlignment="1">
      <alignment vertical="center"/>
    </xf>
    <xf numFmtId="3" fontId="7" fillId="10" borderId="32" xfId="5" applyNumberFormat="1" applyFont="1" applyFill="1" applyBorder="1" applyAlignment="1">
      <alignment horizontal="center" vertical="center"/>
    </xf>
    <xf numFmtId="0" fontId="8" fillId="5" borderId="6" xfId="5" applyFont="1" applyFill="1" applyBorder="1" applyAlignment="1">
      <alignment horizontal="center" vertical="center" wrapText="1"/>
    </xf>
    <xf numFmtId="0" fontId="5" fillId="0" borderId="33" xfId="5" applyBorder="1" applyAlignment="1">
      <alignment horizontal="center" vertical="center"/>
    </xf>
    <xf numFmtId="0" fontId="5" fillId="0" borderId="34" xfId="5" applyBorder="1" applyAlignment="1">
      <alignment horizontal="center" vertical="center"/>
    </xf>
    <xf numFmtId="0" fontId="9" fillId="12" borderId="26" xfId="5" applyFont="1" applyFill="1" applyBorder="1" applyAlignment="1">
      <alignment horizontal="center" vertical="center" wrapText="1"/>
    </xf>
    <xf numFmtId="168" fontId="7" fillId="2" borderId="23" xfId="5" applyNumberFormat="1" applyFont="1" applyFill="1" applyBorder="1" applyAlignment="1">
      <alignment horizontal="left" vertical="center" wrapText="1"/>
    </xf>
    <xf numFmtId="0" fontId="5" fillId="2" borderId="9" xfId="5" applyFill="1" applyBorder="1" applyAlignment="1">
      <alignment horizontal="left" vertical="center" wrapText="1"/>
    </xf>
    <xf numFmtId="168" fontId="5" fillId="2" borderId="24" xfId="5" applyNumberFormat="1" applyFill="1" applyBorder="1" applyAlignment="1">
      <alignment horizontal="center" vertical="center"/>
    </xf>
    <xf numFmtId="0" fontId="22" fillId="0" borderId="0" xfId="0" applyFont="1" applyAlignment="1">
      <alignment horizontal="left"/>
    </xf>
    <xf numFmtId="0" fontId="23" fillId="0" borderId="0" xfId="0" applyFont="1" applyAlignment="1">
      <alignment horizontal="left" vertical="center"/>
    </xf>
    <xf numFmtId="0" fontId="23" fillId="0" borderId="0" xfId="0" applyFont="1" applyAlignment="1">
      <alignment horizontal="left" wrapText="1"/>
    </xf>
    <xf numFmtId="0" fontId="22" fillId="0" borderId="0" xfId="0" applyFont="1"/>
    <xf numFmtId="0" fontId="24" fillId="13" borderId="1" xfId="0" applyFont="1" applyFill="1" applyBorder="1" applyAlignment="1">
      <alignment horizontal="center" vertical="center"/>
    </xf>
    <xf numFmtId="0" fontId="25" fillId="13" borderId="1" xfId="0" applyFont="1" applyFill="1" applyBorder="1" applyAlignment="1">
      <alignment horizontal="center" wrapText="1"/>
    </xf>
    <xf numFmtId="0" fontId="25" fillId="13" borderId="1" xfId="0" applyFont="1" applyFill="1" applyBorder="1" applyAlignment="1">
      <alignment horizontal="center"/>
    </xf>
    <xf numFmtId="0" fontId="22" fillId="0" borderId="1" xfId="0" applyFont="1" applyBorder="1" applyAlignment="1">
      <alignment horizontal="center" vertical="center" wrapText="1"/>
    </xf>
    <xf numFmtId="0" fontId="22" fillId="0" borderId="1" xfId="0" applyFont="1" applyBorder="1" applyAlignment="1">
      <alignment vertical="center" wrapText="1"/>
    </xf>
    <xf numFmtId="165" fontId="22" fillId="14" borderId="1" xfId="16" applyFont="1" applyFill="1" applyBorder="1" applyAlignment="1">
      <alignment horizontal="center" vertical="center" wrapText="1"/>
    </xf>
    <xf numFmtId="0" fontId="2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6" fillId="0" borderId="1" xfId="0" applyFont="1" applyBorder="1" applyAlignment="1">
      <alignment horizontal="center" vertical="center" wrapText="1"/>
    </xf>
    <xf numFmtId="0" fontId="22" fillId="0" borderId="0" xfId="0" applyFont="1" applyAlignment="1">
      <alignment vertical="center" wrapText="1"/>
    </xf>
    <xf numFmtId="0" fontId="22" fillId="15" borderId="1" xfId="0" applyFont="1" applyFill="1" applyBorder="1" applyAlignment="1">
      <alignment horizontal="center" vertical="center" wrapText="1"/>
    </xf>
    <xf numFmtId="0" fontId="22" fillId="15" borderId="1" xfId="0" applyFont="1" applyFill="1" applyBorder="1" applyAlignment="1">
      <alignment vertical="center" wrapText="1"/>
    </xf>
    <xf numFmtId="165" fontId="22" fillId="15" borderId="1" xfId="16" applyFont="1" applyFill="1" applyBorder="1" applyAlignment="1">
      <alignment horizontal="center" vertical="center" wrapText="1"/>
    </xf>
    <xf numFmtId="0" fontId="22" fillId="0" borderId="0" xfId="0" applyFont="1" applyAlignment="1">
      <alignment wrapText="1"/>
    </xf>
    <xf numFmtId="0" fontId="27" fillId="15" borderId="1" xfId="0" applyFont="1" applyFill="1" applyBorder="1" applyAlignment="1">
      <alignment vertical="center" wrapText="1"/>
    </xf>
    <xf numFmtId="0" fontId="22" fillId="2" borderId="1" xfId="0" applyFont="1" applyFill="1" applyBorder="1" applyAlignment="1">
      <alignment horizontal="center" vertical="center" wrapText="1"/>
    </xf>
    <xf numFmtId="0" fontId="22" fillId="0" borderId="1" xfId="0" applyFont="1" applyBorder="1" applyAlignment="1">
      <alignment wrapText="1"/>
    </xf>
    <xf numFmtId="0" fontId="22" fillId="0" borderId="1" xfId="0" applyFont="1" applyBorder="1"/>
    <xf numFmtId="0" fontId="24" fillId="13" borderId="1" xfId="0" applyFont="1" applyFill="1" applyBorder="1"/>
    <xf numFmtId="9" fontId="22" fillId="0" borderId="0" xfId="0" applyNumberFormat="1" applyFont="1"/>
    <xf numFmtId="0" fontId="29" fillId="15" borderId="1" xfId="0" applyFont="1" applyFill="1" applyBorder="1" applyAlignment="1">
      <alignment horizontal="center" vertical="center" wrapText="1"/>
    </xf>
    <xf numFmtId="0" fontId="29" fillId="15" borderId="1" xfId="0" applyFont="1" applyFill="1" applyBorder="1" applyAlignment="1">
      <alignment horizontal="left" vertical="center" wrapText="1"/>
    </xf>
    <xf numFmtId="0" fontId="22" fillId="0" borderId="1" xfId="0" applyFont="1" applyBorder="1" applyAlignment="1">
      <alignment horizontal="center" vertical="center"/>
    </xf>
    <xf numFmtId="0" fontId="31" fillId="15" borderId="1" xfId="0" applyFont="1" applyFill="1" applyBorder="1" applyAlignment="1">
      <alignment horizontal="left" vertical="center" wrapText="1"/>
    </xf>
    <xf numFmtId="0" fontId="29"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15" borderId="1" xfId="0" applyFont="1" applyFill="1" applyBorder="1" applyAlignment="1">
      <alignment vertical="center" wrapText="1"/>
    </xf>
    <xf numFmtId="0" fontId="32" fillId="0" borderId="1" xfId="0" applyFont="1" applyBorder="1" applyAlignment="1">
      <alignment vertical="center" wrapText="1"/>
    </xf>
    <xf numFmtId="0" fontId="25" fillId="13" borderId="1" xfId="0" applyFont="1" applyFill="1" applyBorder="1" applyAlignment="1">
      <alignment horizontal="center" vertical="center"/>
    </xf>
    <xf numFmtId="0" fontId="22" fillId="15" borderId="1" xfId="0" applyFont="1" applyFill="1" applyBorder="1" applyAlignment="1">
      <alignment horizontal="center" vertical="center"/>
    </xf>
    <xf numFmtId="0" fontId="22" fillId="15" borderId="1" xfId="0" applyFont="1" applyFill="1" applyBorder="1" applyAlignment="1">
      <alignment wrapText="1"/>
    </xf>
    <xf numFmtId="0" fontId="22" fillId="16" borderId="1" xfId="0" applyFont="1" applyFill="1" applyBorder="1" applyAlignment="1">
      <alignment horizontal="center" vertical="center"/>
    </xf>
    <xf numFmtId="0" fontId="26" fillId="16" borderId="1" xfId="0" applyFont="1" applyFill="1" applyBorder="1" applyAlignment="1">
      <alignment wrapText="1"/>
    </xf>
    <xf numFmtId="0" fontId="22" fillId="16" borderId="1" xfId="0" applyFont="1" applyFill="1" applyBorder="1" applyAlignment="1">
      <alignment wrapText="1"/>
    </xf>
    <xf numFmtId="2" fontId="22" fillId="16" borderId="1" xfId="0" applyNumberFormat="1" applyFont="1" applyFill="1" applyBorder="1" applyAlignment="1">
      <alignment horizontal="center" vertical="center"/>
    </xf>
    <xf numFmtId="0" fontId="21" fillId="16" borderId="1" xfId="0" applyFont="1" applyFill="1" applyBorder="1" applyAlignment="1">
      <alignment wrapText="1"/>
    </xf>
    <xf numFmtId="0" fontId="33" fillId="0" borderId="35" xfId="0" applyFont="1" applyBorder="1" applyAlignment="1">
      <alignment vertical="top"/>
    </xf>
    <xf numFmtId="0" fontId="33" fillId="0" borderId="41" xfId="0" applyFont="1" applyBorder="1" applyAlignment="1">
      <alignment vertical="top"/>
    </xf>
    <xf numFmtId="0" fontId="33" fillId="0" borderId="42" xfId="0" applyFont="1" applyBorder="1" applyAlignment="1">
      <alignment vertical="top"/>
    </xf>
    <xf numFmtId="0" fontId="22" fillId="0" borderId="0" xfId="0" applyFont="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35" fillId="0" borderId="0" xfId="0" applyFont="1" applyAlignment="1">
      <alignment vertical="center" wrapText="1"/>
    </xf>
    <xf numFmtId="0" fontId="35" fillId="0" borderId="0" xfId="0" applyFont="1" applyAlignment="1">
      <alignment vertical="center"/>
    </xf>
    <xf numFmtId="0" fontId="36" fillId="17" borderId="1" xfId="0" applyFont="1" applyFill="1" applyBorder="1" applyAlignment="1">
      <alignment horizontal="center" vertical="center"/>
    </xf>
    <xf numFmtId="0" fontId="36" fillId="17" borderId="1" xfId="0" applyFont="1" applyFill="1" applyBorder="1" applyAlignment="1">
      <alignment horizontal="center"/>
    </xf>
    <xf numFmtId="0" fontId="36" fillId="17" borderId="1" xfId="0" applyFont="1" applyFill="1" applyBorder="1" applyAlignment="1">
      <alignment horizontal="center" wrapText="1"/>
    </xf>
    <xf numFmtId="0" fontId="36" fillId="0" borderId="0" xfId="0" applyFont="1"/>
    <xf numFmtId="0" fontId="36" fillId="0" borderId="1" xfId="0" applyFont="1" applyBorder="1" applyAlignment="1">
      <alignment horizontal="center" vertical="center"/>
    </xf>
    <xf numFmtId="0" fontId="36" fillId="0" borderId="1" xfId="0" applyFont="1" applyBorder="1" applyAlignment="1">
      <alignment horizontal="left" wrapText="1"/>
    </xf>
    <xf numFmtId="0" fontId="36" fillId="0" borderId="1" xfId="0" applyFont="1" applyBorder="1" applyAlignment="1">
      <alignment horizontal="center" wrapText="1"/>
    </xf>
    <xf numFmtId="0" fontId="36" fillId="0" borderId="1" xfId="0" applyFont="1" applyBorder="1" applyAlignment="1">
      <alignment horizontal="center"/>
    </xf>
    <xf numFmtId="0" fontId="36" fillId="0" borderId="1" xfId="0" applyFont="1" applyBorder="1" applyAlignment="1">
      <alignment horizontal="left"/>
    </xf>
    <xf numFmtId="0" fontId="36" fillId="17" borderId="1" xfId="0" applyFont="1" applyFill="1" applyBorder="1" applyAlignment="1">
      <alignment horizontal="left" wrapText="1"/>
    </xf>
    <xf numFmtId="0" fontId="36" fillId="17" borderId="1" xfId="0" applyFont="1" applyFill="1" applyBorder="1" applyAlignment="1">
      <alignment horizontal="left"/>
    </xf>
    <xf numFmtId="0" fontId="0" fillId="0" borderId="1" xfId="0" applyBorder="1"/>
    <xf numFmtId="0" fontId="36" fillId="0" borderId="0" xfId="0" applyFont="1" applyAlignment="1">
      <alignment horizontal="center" vertical="center"/>
    </xf>
    <xf numFmtId="0" fontId="36" fillId="0" borderId="0" xfId="0" applyFont="1" applyAlignment="1">
      <alignment horizontal="center"/>
    </xf>
    <xf numFmtId="0" fontId="36" fillId="0" borderId="0" xfId="0" applyFont="1" applyAlignment="1">
      <alignment horizontal="center" wrapText="1"/>
    </xf>
    <xf numFmtId="0" fontId="36" fillId="0" borderId="0" xfId="0" applyFont="1" applyAlignment="1">
      <alignment horizontal="left"/>
    </xf>
    <xf numFmtId="0" fontId="5" fillId="0" borderId="1" xfId="5" applyBorder="1" applyAlignment="1">
      <alignment horizontal="center"/>
    </xf>
    <xf numFmtId="172" fontId="5" fillId="0" borderId="24" xfId="5" applyNumberFormat="1" applyBorder="1" applyAlignment="1">
      <alignment horizontal="center" vertical="center"/>
    </xf>
    <xf numFmtId="172" fontId="5" fillId="0" borderId="0" xfId="5" applyNumberFormat="1" applyAlignment="1">
      <alignment horizontal="left" vertical="center" indent="2"/>
    </xf>
    <xf numFmtId="172" fontId="5" fillId="0" borderId="6" xfId="5" applyNumberFormat="1" applyBorder="1" applyAlignment="1">
      <alignment horizontal="center" vertical="center"/>
    </xf>
    <xf numFmtId="168" fontId="7" fillId="2" borderId="23" xfId="5" applyNumberFormat="1" applyFont="1" applyFill="1" applyBorder="1" applyAlignment="1">
      <alignment horizontal="center" vertical="center" wrapText="1"/>
    </xf>
    <xf numFmtId="0" fontId="5" fillId="0" borderId="1" xfId="5" applyBorder="1" applyAlignment="1">
      <alignment horizontal="center" vertical="center"/>
    </xf>
    <xf numFmtId="172" fontId="7" fillId="0" borderId="0" xfId="5" applyNumberFormat="1" applyFont="1" applyAlignment="1">
      <alignment horizontal="left" vertical="center" indent="2"/>
    </xf>
    <xf numFmtId="165" fontId="8" fillId="5" borderId="6" xfId="5" applyNumberFormat="1" applyFont="1" applyFill="1" applyBorder="1" applyAlignment="1">
      <alignment horizontal="center" vertical="center" wrapText="1"/>
    </xf>
    <xf numFmtId="168" fontId="37" fillId="0" borderId="0" xfId="0" applyNumberFormat="1" applyFont="1"/>
    <xf numFmtId="0" fontId="37" fillId="0" borderId="0" xfId="0" applyFont="1"/>
    <xf numFmtId="168" fontId="7" fillId="0" borderId="25" xfId="5" applyNumberFormat="1" applyFont="1" applyBorder="1" applyAlignment="1">
      <alignment horizontal="center" vertical="center"/>
    </xf>
    <xf numFmtId="172" fontId="5" fillId="2" borderId="24" xfId="5" applyNumberFormat="1" applyFill="1" applyBorder="1" applyAlignment="1">
      <alignment horizontal="center" vertical="center"/>
    </xf>
    <xf numFmtId="168" fontId="7" fillId="8" borderId="44" xfId="5" applyNumberFormat="1" applyFont="1" applyFill="1" applyBorder="1" applyAlignment="1">
      <alignment vertical="center" wrapText="1"/>
    </xf>
    <xf numFmtId="0" fontId="7" fillId="8" borderId="45" xfId="5" applyFont="1" applyFill="1" applyBorder="1" applyAlignment="1">
      <alignment vertical="center" wrapText="1"/>
    </xf>
    <xf numFmtId="168" fontId="7" fillId="0" borderId="46" xfId="5" applyNumberFormat="1" applyFont="1" applyBorder="1" applyAlignment="1">
      <alignment horizontal="center" vertical="center"/>
    </xf>
    <xf numFmtId="168" fontId="5" fillId="0" borderId="31" xfId="5" applyNumberFormat="1" applyBorder="1" applyAlignment="1">
      <alignment horizontal="left" vertical="center" wrapText="1"/>
    </xf>
    <xf numFmtId="172" fontId="5" fillId="0" borderId="31" xfId="5" applyNumberFormat="1" applyBorder="1" applyAlignment="1">
      <alignment horizontal="center" vertical="center"/>
    </xf>
    <xf numFmtId="168" fontId="5" fillId="0" borderId="31" xfId="5" applyNumberFormat="1" applyBorder="1" applyAlignment="1">
      <alignment horizontal="center" vertical="center"/>
    </xf>
    <xf numFmtId="168" fontId="5" fillId="0" borderId="31" xfId="5" applyNumberFormat="1" applyBorder="1" applyAlignment="1">
      <alignment horizontal="center" vertical="center" wrapText="1"/>
    </xf>
    <xf numFmtId="168" fontId="5" fillId="0" borderId="32" xfId="5" applyNumberFormat="1" applyBorder="1" applyAlignment="1">
      <alignment horizontal="center" vertical="center"/>
    </xf>
    <xf numFmtId="172" fontId="5" fillId="0" borderId="0" xfId="5" applyNumberFormat="1" applyAlignment="1">
      <alignment vertical="center"/>
    </xf>
    <xf numFmtId="0" fontId="5" fillId="2" borderId="6" xfId="5" applyFill="1" applyBorder="1" applyAlignment="1">
      <alignment horizontal="center" vertical="center"/>
    </xf>
    <xf numFmtId="0" fontId="40" fillId="0" borderId="14" xfId="0" applyFont="1" applyBorder="1" applyAlignment="1">
      <alignment vertical="center" wrapText="1"/>
    </xf>
    <xf numFmtId="0" fontId="40" fillId="0" borderId="47" xfId="0" applyFont="1" applyBorder="1" applyAlignment="1">
      <alignment vertical="center" wrapText="1"/>
    </xf>
    <xf numFmtId="0" fontId="38" fillId="0" borderId="17" xfId="0" applyFont="1" applyBorder="1" applyAlignment="1">
      <alignment vertical="center" wrapText="1"/>
    </xf>
    <xf numFmtId="172" fontId="5" fillId="0" borderId="1" xfId="5" applyNumberFormat="1" applyBorder="1" applyAlignment="1">
      <alignment horizontal="center"/>
    </xf>
    <xf numFmtId="165" fontId="22" fillId="0" borderId="0" xfId="0" applyNumberFormat="1" applyFont="1" applyAlignment="1">
      <alignment horizontal="right" vertical="center"/>
    </xf>
    <xf numFmtId="0" fontId="4" fillId="0" borderId="0" xfId="0" applyFont="1"/>
    <xf numFmtId="0" fontId="0" fillId="0" borderId="0" xfId="0" applyAlignment="1">
      <alignment horizontal="center"/>
    </xf>
    <xf numFmtId="0" fontId="40" fillId="0" borderId="47" xfId="0" applyFont="1" applyBorder="1" applyAlignment="1">
      <alignment horizontal="center" vertical="center" wrapText="1"/>
    </xf>
    <xf numFmtId="0" fontId="40" fillId="0" borderId="17" xfId="0" applyFont="1" applyBorder="1" applyAlignment="1">
      <alignment horizontal="center" vertical="center" wrapText="1"/>
    </xf>
    <xf numFmtId="0" fontId="23" fillId="0" borderId="0" xfId="0" applyFont="1" applyAlignment="1">
      <alignment horizontal="center"/>
    </xf>
    <xf numFmtId="0" fontId="22" fillId="0" borderId="0" xfId="0" applyFont="1" applyAlignment="1">
      <alignment horizontal="center"/>
    </xf>
    <xf numFmtId="165" fontId="22" fillId="2" borderId="1" xfId="16" applyFont="1" applyFill="1" applyBorder="1" applyAlignment="1">
      <alignment horizontal="center" vertical="center" wrapText="1"/>
    </xf>
    <xf numFmtId="165" fontId="26" fillId="15" borderId="1" xfId="16" applyFont="1" applyFill="1" applyBorder="1" applyAlignment="1">
      <alignment horizontal="center" vertical="center" wrapText="1"/>
    </xf>
    <xf numFmtId="0" fontId="25" fillId="13" borderId="1" xfId="0" applyFont="1" applyFill="1" applyBorder="1" applyAlignment="1">
      <alignment horizontal="center" vertical="center" wrapText="1"/>
    </xf>
    <xf numFmtId="164" fontId="22" fillId="15" borderId="1" xfId="16" applyNumberFormat="1" applyFont="1" applyFill="1" applyBorder="1" applyAlignment="1">
      <alignment horizontal="center" vertical="center" wrapText="1"/>
    </xf>
    <xf numFmtId="164" fontId="27" fillId="15" borderId="1" xfId="16" applyNumberFormat="1" applyFont="1" applyFill="1" applyBorder="1" applyAlignment="1">
      <alignment horizontal="center" vertical="center" wrapText="1"/>
    </xf>
    <xf numFmtId="0" fontId="22" fillId="0" borderId="1" xfId="0" applyFont="1" applyBorder="1" applyAlignment="1">
      <alignment horizontal="center"/>
    </xf>
    <xf numFmtId="164" fontId="22" fillId="0" borderId="1" xfId="0" applyNumberFormat="1" applyFont="1" applyBorder="1" applyAlignment="1">
      <alignment horizontal="center"/>
    </xf>
    <xf numFmtId="0" fontId="24" fillId="13" borderId="1" xfId="0" applyFont="1" applyFill="1" applyBorder="1" applyAlignment="1">
      <alignment horizontal="center"/>
    </xf>
    <xf numFmtId="164" fontId="24" fillId="13" borderId="1" xfId="0" applyNumberFormat="1" applyFont="1" applyFill="1" applyBorder="1" applyAlignment="1">
      <alignment horizontal="center"/>
    </xf>
    <xf numFmtId="0" fontId="22" fillId="0" borderId="0" xfId="0" applyFont="1" applyAlignment="1">
      <alignment horizontal="center" wrapText="1"/>
    </xf>
    <xf numFmtId="164" fontId="22" fillId="14" borderId="1" xfId="16"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4" fontId="26" fillId="0" borderId="1" xfId="0" applyNumberFormat="1" applyFont="1" applyBorder="1" applyAlignment="1">
      <alignment horizontal="center" vertical="center" wrapText="1"/>
    </xf>
    <xf numFmtId="164" fontId="29" fillId="15" borderId="1" xfId="16" applyNumberFormat="1" applyFont="1" applyFill="1" applyBorder="1" applyAlignment="1">
      <alignment horizontal="center" vertical="center" wrapText="1"/>
    </xf>
    <xf numFmtId="0" fontId="32" fillId="15" borderId="1" xfId="0" applyFont="1" applyFill="1" applyBorder="1" applyAlignment="1">
      <alignment horizontal="center" vertical="center" wrapText="1"/>
    </xf>
    <xf numFmtId="164" fontId="25" fillId="13" borderId="38" xfId="0" applyNumberFormat="1" applyFont="1" applyFill="1" applyBorder="1" applyAlignment="1">
      <alignment horizontal="center"/>
    </xf>
    <xf numFmtId="0" fontId="22" fillId="15" borderId="1" xfId="0" applyFont="1" applyFill="1" applyBorder="1" applyAlignment="1">
      <alignment horizontal="center"/>
    </xf>
    <xf numFmtId="164" fontId="22" fillId="0" borderId="0" xfId="0" applyNumberFormat="1" applyFont="1" applyAlignment="1">
      <alignment horizontal="center"/>
    </xf>
    <xf numFmtId="164" fontId="25" fillId="13" borderId="1" xfId="0" applyNumberFormat="1" applyFont="1" applyFill="1" applyBorder="1" applyAlignment="1">
      <alignment horizontal="center"/>
    </xf>
    <xf numFmtId="0" fontId="22" fillId="16" borderId="1" xfId="0" applyFont="1" applyFill="1" applyBorder="1" applyAlignment="1">
      <alignment horizontal="center"/>
    </xf>
    <xf numFmtId="164" fontId="22" fillId="16" borderId="1" xfId="0" applyNumberFormat="1" applyFont="1" applyFill="1" applyBorder="1" applyAlignment="1">
      <alignment horizontal="center"/>
    </xf>
    <xf numFmtId="0" fontId="26" fillId="16" borderId="1" xfId="0" applyFont="1" applyFill="1" applyBorder="1" applyAlignment="1">
      <alignment horizontal="center" vertical="center"/>
    </xf>
    <xf numFmtId="176" fontId="22" fillId="0" borderId="0" xfId="0" applyNumberFormat="1" applyFont="1"/>
    <xf numFmtId="0" fontId="42" fillId="0" borderId="0" xfId="0" applyFont="1"/>
    <xf numFmtId="0" fontId="14" fillId="3" borderId="12" xfId="0" applyFont="1" applyFill="1" applyBorder="1" applyAlignment="1">
      <alignment horizontal="center"/>
    </xf>
    <xf numFmtId="0" fontId="14" fillId="3" borderId="13" xfId="0" applyFont="1" applyFill="1" applyBorder="1" applyAlignment="1">
      <alignment horizontal="center"/>
    </xf>
    <xf numFmtId="0" fontId="14" fillId="3" borderId="15" xfId="0" applyFont="1" applyFill="1" applyBorder="1" applyAlignment="1">
      <alignment horizontal="center"/>
    </xf>
    <xf numFmtId="0" fontId="12" fillId="4" borderId="11"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10" xfId="0" applyFont="1" applyFill="1" applyBorder="1" applyAlignment="1">
      <alignment horizontal="center" vertical="center"/>
    </xf>
    <xf numFmtId="0" fontId="13" fillId="11" borderId="11"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6" fillId="18" borderId="2" xfId="5" applyFont="1" applyFill="1" applyBorder="1" applyAlignment="1">
      <alignment horizontal="center"/>
    </xf>
    <xf numFmtId="0" fontId="6" fillId="4" borderId="35" xfId="5" applyFont="1" applyFill="1" applyBorder="1" applyAlignment="1">
      <alignment horizontal="center" vertical="center"/>
    </xf>
    <xf numFmtId="0" fontId="6" fillId="4" borderId="36" xfId="5" applyFont="1" applyFill="1" applyBorder="1" applyAlignment="1">
      <alignment horizontal="center" vertical="center"/>
    </xf>
    <xf numFmtId="0" fontId="6" fillId="4" borderId="37" xfId="5" applyFont="1" applyFill="1" applyBorder="1" applyAlignment="1">
      <alignment horizontal="center" vertical="center"/>
    </xf>
    <xf numFmtId="0" fontId="9" fillId="9" borderId="21" xfId="5" applyFont="1" applyFill="1" applyBorder="1" applyAlignment="1">
      <alignment horizontal="center" vertical="center" wrapText="1"/>
    </xf>
    <xf numFmtId="0" fontId="5" fillId="0" borderId="8" xfId="5" applyBorder="1"/>
    <xf numFmtId="0" fontId="5" fillId="0" borderId="10" xfId="5" applyBorder="1"/>
    <xf numFmtId="0" fontId="7" fillId="10" borderId="28" xfId="5" applyFont="1" applyFill="1" applyBorder="1" applyAlignment="1">
      <alignment horizontal="center" vertical="center"/>
    </xf>
    <xf numFmtId="0" fontId="5" fillId="0" borderId="29" xfId="5" applyBorder="1"/>
    <xf numFmtId="0" fontId="5" fillId="0" borderId="30" xfId="5" applyBorder="1"/>
    <xf numFmtId="0" fontId="6" fillId="4" borderId="18" xfId="5" applyFont="1" applyFill="1" applyBorder="1" applyAlignment="1">
      <alignment horizontal="center" vertical="center"/>
    </xf>
    <xf numFmtId="0" fontId="5" fillId="0" borderId="19" xfId="5" applyBorder="1"/>
    <xf numFmtId="0" fontId="5" fillId="0" borderId="20" xfId="5" applyBorder="1"/>
    <xf numFmtId="0" fontId="7" fillId="5" borderId="21" xfId="5" applyFont="1" applyFill="1" applyBorder="1" applyAlignment="1">
      <alignment horizontal="center" vertical="center" wrapText="1"/>
    </xf>
    <xf numFmtId="0" fontId="5" fillId="0" borderId="22" xfId="5" applyBorder="1"/>
    <xf numFmtId="168" fontId="7" fillId="0" borderId="26" xfId="5" applyNumberFormat="1" applyFont="1" applyBorder="1" applyAlignment="1">
      <alignment horizontal="center" vertical="center"/>
    </xf>
    <xf numFmtId="168" fontId="7" fillId="0" borderId="27" xfId="5" applyNumberFormat="1" applyFont="1" applyBorder="1" applyAlignment="1">
      <alignment horizontal="center" vertical="center"/>
    </xf>
    <xf numFmtId="0" fontId="7" fillId="8" borderId="18" xfId="5" applyFont="1" applyFill="1" applyBorder="1" applyAlignment="1">
      <alignment horizontal="center" vertical="center" wrapText="1"/>
    </xf>
    <xf numFmtId="0" fontId="5" fillId="0" borderId="43" xfId="5" applyBorder="1"/>
    <xf numFmtId="168" fontId="7" fillId="0" borderId="25" xfId="5" applyNumberFormat="1" applyFont="1" applyBorder="1" applyAlignment="1">
      <alignment horizontal="center" vertical="center" wrapText="1"/>
    </xf>
    <xf numFmtId="168" fontId="7" fillId="0" borderId="26" xfId="5" applyNumberFormat="1" applyFont="1" applyBorder="1" applyAlignment="1">
      <alignment horizontal="center" vertical="center" wrapText="1"/>
    </xf>
    <xf numFmtId="168" fontId="7" fillId="0" borderId="27" xfId="5" applyNumberFormat="1" applyFont="1" applyBorder="1" applyAlignment="1">
      <alignment horizontal="center" vertical="center" wrapText="1"/>
    </xf>
    <xf numFmtId="168" fontId="7" fillId="0" borderId="25" xfId="5" applyNumberFormat="1" applyFont="1" applyBorder="1" applyAlignment="1">
      <alignment horizontal="center" vertical="center"/>
    </xf>
    <xf numFmtId="0" fontId="7" fillId="8" borderId="21" xfId="5" applyFont="1" applyFill="1" applyBorder="1" applyAlignment="1">
      <alignment horizontal="center" vertical="center" wrapText="1"/>
    </xf>
    <xf numFmtId="0" fontId="38" fillId="0" borderId="48" xfId="0" applyFont="1" applyBorder="1" applyAlignment="1">
      <alignment vertical="center" wrapText="1"/>
    </xf>
    <xf numFmtId="0" fontId="38" fillId="0" borderId="49" xfId="0" applyFont="1" applyBorder="1" applyAlignment="1">
      <alignment vertical="center" wrapText="1"/>
    </xf>
    <xf numFmtId="0" fontId="38" fillId="0" borderId="16" xfId="0" applyFont="1" applyBorder="1" applyAlignment="1">
      <alignment vertical="center" wrapText="1"/>
    </xf>
    <xf numFmtId="0" fontId="41" fillId="0" borderId="48" xfId="0" applyFont="1" applyBorder="1" applyAlignment="1">
      <alignment vertical="center" wrapText="1"/>
    </xf>
    <xf numFmtId="0" fontId="41" fillId="0" borderId="49" xfId="0" applyFont="1" applyBorder="1" applyAlignment="1">
      <alignment vertical="center" wrapText="1"/>
    </xf>
    <xf numFmtId="0" fontId="41" fillId="0" borderId="16" xfId="0" applyFont="1" applyBorder="1" applyAlignment="1">
      <alignment vertical="center" wrapText="1"/>
    </xf>
    <xf numFmtId="0" fontId="38" fillId="0" borderId="48" xfId="0" applyFont="1" applyBorder="1" applyAlignment="1">
      <alignment horizontal="center" vertical="center" wrapText="1"/>
    </xf>
    <xf numFmtId="0" fontId="38" fillId="0" borderId="49" xfId="0" applyFont="1" applyBorder="1" applyAlignment="1">
      <alignment horizontal="center" vertical="center" wrapText="1"/>
    </xf>
    <xf numFmtId="0" fontId="38" fillId="0" borderId="16" xfId="0" applyFont="1" applyBorder="1" applyAlignment="1">
      <alignment horizontal="center" vertical="center" wrapText="1"/>
    </xf>
    <xf numFmtId="0" fontId="40" fillId="0" borderId="39" xfId="0" applyFont="1" applyBorder="1" applyAlignment="1">
      <alignment vertical="center" wrapText="1"/>
    </xf>
    <xf numFmtId="0" fontId="40" fillId="0" borderId="47" xfId="0" applyFont="1" applyBorder="1" applyAlignment="1">
      <alignment vertical="center" wrapText="1"/>
    </xf>
    <xf numFmtId="0" fontId="40" fillId="0" borderId="40" xfId="0" applyFont="1" applyBorder="1" applyAlignment="1">
      <alignment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36" fillId="0" borderId="1" xfId="0" applyFont="1" applyBorder="1" applyAlignment="1">
      <alignment horizontal="left" wrapText="1"/>
    </xf>
  </cellXfs>
  <cellStyles count="17">
    <cellStyle name="Comma" xfId="6" builtinId="3"/>
    <cellStyle name="Comma 2" xfId="8" xr:uid="{00000000-0005-0000-0000-000001000000}"/>
    <cellStyle name="Comma 2 3" xfId="2" xr:uid="{00000000-0005-0000-0000-000002000000}"/>
    <cellStyle name="Comma 3" xfId="4" xr:uid="{00000000-0005-0000-0000-000003000000}"/>
    <cellStyle name="Comma 6" xfId="10" xr:uid="{00000000-0005-0000-0000-000004000000}"/>
    <cellStyle name="Currency 2" xfId="16" xr:uid="{00000000-0005-0000-0000-000005000000}"/>
    <cellStyle name="Normal" xfId="0" builtinId="0"/>
    <cellStyle name="Normal 2" xfId="5" xr:uid="{00000000-0005-0000-0000-000007000000}"/>
    <cellStyle name="Normal 2 2" xfId="15" xr:uid="{00000000-0005-0000-0000-000008000000}"/>
    <cellStyle name="Normal 2 2 2" xfId="1" xr:uid="{00000000-0005-0000-0000-000009000000}"/>
    <cellStyle name="Normal 2 2 2 2" xfId="9" xr:uid="{00000000-0005-0000-0000-00000A000000}"/>
    <cellStyle name="Normal 2 3" xfId="12" xr:uid="{00000000-0005-0000-0000-00000B000000}"/>
    <cellStyle name="Normal 3 3" xfId="14" xr:uid="{00000000-0005-0000-0000-00000C000000}"/>
    <cellStyle name="Normal 5" xfId="13" xr:uid="{00000000-0005-0000-0000-00000D000000}"/>
    <cellStyle name="Normal 6" xfId="11" xr:uid="{00000000-0005-0000-0000-00000E000000}"/>
    <cellStyle name="Percent" xfId="7" builtinId="5"/>
    <cellStyle name="Percent 2 2" xfId="3"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63" Type="http://schemas.openxmlformats.org/officeDocument/2006/relationships/externalLink" Target="externalLinks/externalLink56.xml"/><Relationship Id="rId68" Type="http://schemas.openxmlformats.org/officeDocument/2006/relationships/externalLink" Target="externalLinks/externalLink61.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53" Type="http://schemas.openxmlformats.org/officeDocument/2006/relationships/externalLink" Target="externalLinks/externalLink46.xml"/><Relationship Id="rId58" Type="http://schemas.openxmlformats.org/officeDocument/2006/relationships/externalLink" Target="externalLinks/externalLink51.xml"/><Relationship Id="rId66" Type="http://schemas.openxmlformats.org/officeDocument/2006/relationships/externalLink" Target="externalLinks/externalLink59.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54.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externalLink" Target="externalLinks/externalLink49.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59" Type="http://schemas.openxmlformats.org/officeDocument/2006/relationships/externalLink" Target="externalLinks/externalLink52.xml"/><Relationship Id="rId67" Type="http://schemas.openxmlformats.org/officeDocument/2006/relationships/externalLink" Target="externalLinks/externalLink6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62" Type="http://schemas.openxmlformats.org/officeDocument/2006/relationships/externalLink" Target="externalLinks/externalLink55.xml"/><Relationship Id="rId70" Type="http://schemas.openxmlformats.org/officeDocument/2006/relationships/theme" Target="theme/theme1.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externalLink" Target="externalLinks/externalLink5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6360" cy="731520"/>
    <xdr:pic>
      <xdr:nvPicPr>
        <xdr:cNvPr id="2" name="image3.png">
          <a:extLst>
            <a:ext uri="{FF2B5EF4-FFF2-40B4-BE49-F238E27FC236}">
              <a16:creationId xmlns:a16="http://schemas.microsoft.com/office/drawing/2014/main" id="{E289CC2D-9D4C-463F-8A14-C5F6A50C9ADB}"/>
            </a:ext>
          </a:extLst>
        </xdr:cNvPr>
        <xdr:cNvPicPr preferRelativeResize="0"/>
      </xdr:nvPicPr>
      <xdr:blipFill>
        <a:blip xmlns:r="http://schemas.openxmlformats.org/officeDocument/2006/relationships" r:embed="rId1" cstate="print"/>
        <a:stretch>
          <a:fillRect/>
        </a:stretch>
      </xdr:blipFill>
      <xdr:spPr>
        <a:xfrm>
          <a:off x="0" y="0"/>
          <a:ext cx="1356360" cy="73152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83441" cy="911678"/>
    <xdr:pic>
      <xdr:nvPicPr>
        <xdr:cNvPr id="3" name="image5.png">
          <a:extLst>
            <a:ext uri="{FF2B5EF4-FFF2-40B4-BE49-F238E27FC236}">
              <a16:creationId xmlns:a16="http://schemas.microsoft.com/office/drawing/2014/main" id="{2AF70DA0-E843-43C5-BAC2-55FF1C7A1AFC}"/>
            </a:ext>
          </a:extLst>
        </xdr:cNvPr>
        <xdr:cNvPicPr preferRelativeResize="0"/>
      </xdr:nvPicPr>
      <xdr:blipFill>
        <a:blip xmlns:r="http://schemas.openxmlformats.org/officeDocument/2006/relationships" r:embed="rId1" cstate="print"/>
        <a:stretch>
          <a:fillRect/>
        </a:stretch>
      </xdr:blipFill>
      <xdr:spPr>
        <a:xfrm>
          <a:off x="0" y="0"/>
          <a:ext cx="1983441" cy="911678"/>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4</xdr:row>
      <xdr:rowOff>0</xdr:rowOff>
    </xdr:from>
    <xdr:ext cx="0" cy="962025"/>
    <xdr:pic>
      <xdr:nvPicPr>
        <xdr:cNvPr id="2" name="image4.png">
          <a:extLst>
            <a:ext uri="{FF2B5EF4-FFF2-40B4-BE49-F238E27FC236}">
              <a16:creationId xmlns:a16="http://schemas.microsoft.com/office/drawing/2014/main" id="{1D204315-DAA1-4071-89A2-B26B7C962EBD}"/>
            </a:ext>
          </a:extLst>
        </xdr:cNvPr>
        <xdr:cNvPicPr preferRelativeResize="0"/>
      </xdr:nvPicPr>
      <xdr:blipFill>
        <a:blip xmlns:r="http://schemas.openxmlformats.org/officeDocument/2006/relationships" r:embed="rId1" cstate="print"/>
        <a:stretch>
          <a:fillRect/>
        </a:stretch>
      </xdr:blipFill>
      <xdr:spPr>
        <a:xfrm>
          <a:off x="13992225" y="762000"/>
          <a:ext cx="0" cy="962025"/>
        </a:xfrm>
        <a:prstGeom prst="rect">
          <a:avLst/>
        </a:prstGeom>
        <a:noFill/>
      </xdr:spPr>
    </xdr:pic>
    <xdr:clientData fLocksWithSheet="0"/>
  </xdr:oneCellAnchor>
  <xdr:oneCellAnchor>
    <xdr:from>
      <xdr:col>0</xdr:col>
      <xdr:colOff>409575</xdr:colOff>
      <xdr:row>0</xdr:row>
      <xdr:rowOff>0</xdr:rowOff>
    </xdr:from>
    <xdr:ext cx="1514475" cy="838200"/>
    <xdr:pic>
      <xdr:nvPicPr>
        <xdr:cNvPr id="3" name="image5.png">
          <a:extLst>
            <a:ext uri="{FF2B5EF4-FFF2-40B4-BE49-F238E27FC236}">
              <a16:creationId xmlns:a16="http://schemas.microsoft.com/office/drawing/2014/main" id="{ADA9C686-AD57-4430-B792-5AA50E052963}"/>
            </a:ext>
          </a:extLst>
        </xdr:cNvPr>
        <xdr:cNvPicPr preferRelativeResize="0"/>
      </xdr:nvPicPr>
      <xdr:blipFill>
        <a:blip xmlns:r="http://schemas.openxmlformats.org/officeDocument/2006/relationships" r:embed="rId2" cstate="print"/>
        <a:stretch>
          <a:fillRect/>
        </a:stretch>
      </xdr:blipFill>
      <xdr:spPr>
        <a:xfrm>
          <a:off x="409575" y="0"/>
          <a:ext cx="1514475" cy="8382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4</xdr:row>
      <xdr:rowOff>0</xdr:rowOff>
    </xdr:from>
    <xdr:ext cx="0" cy="962025"/>
    <xdr:pic>
      <xdr:nvPicPr>
        <xdr:cNvPr id="2" name="image4.png">
          <a:extLst>
            <a:ext uri="{FF2B5EF4-FFF2-40B4-BE49-F238E27FC236}">
              <a16:creationId xmlns:a16="http://schemas.microsoft.com/office/drawing/2014/main" id="{F3DC047E-795B-43B3-9A0C-EF62F9AE75EC}"/>
            </a:ext>
          </a:extLst>
        </xdr:cNvPr>
        <xdr:cNvPicPr preferRelativeResize="0"/>
      </xdr:nvPicPr>
      <xdr:blipFill>
        <a:blip xmlns:r="http://schemas.openxmlformats.org/officeDocument/2006/relationships" r:embed="rId1" cstate="print"/>
        <a:stretch>
          <a:fillRect/>
        </a:stretch>
      </xdr:blipFill>
      <xdr:spPr>
        <a:xfrm>
          <a:off x="13220700" y="762000"/>
          <a:ext cx="0" cy="962025"/>
        </a:xfrm>
        <a:prstGeom prst="rect">
          <a:avLst/>
        </a:prstGeom>
        <a:noFill/>
      </xdr:spPr>
    </xdr:pic>
    <xdr:clientData fLocksWithSheet="0"/>
  </xdr:oneCellAnchor>
  <xdr:oneCellAnchor>
    <xdr:from>
      <xdr:col>0</xdr:col>
      <xdr:colOff>409575</xdr:colOff>
      <xdr:row>0</xdr:row>
      <xdr:rowOff>0</xdr:rowOff>
    </xdr:from>
    <xdr:ext cx="1514475" cy="911678"/>
    <xdr:pic>
      <xdr:nvPicPr>
        <xdr:cNvPr id="3" name="image5.png">
          <a:extLst>
            <a:ext uri="{FF2B5EF4-FFF2-40B4-BE49-F238E27FC236}">
              <a16:creationId xmlns:a16="http://schemas.microsoft.com/office/drawing/2014/main" id="{BFE1538E-1B4E-46CB-A978-9C9F0FC958DE}"/>
            </a:ext>
          </a:extLst>
        </xdr:cNvPr>
        <xdr:cNvPicPr preferRelativeResize="0"/>
      </xdr:nvPicPr>
      <xdr:blipFill>
        <a:blip xmlns:r="http://schemas.openxmlformats.org/officeDocument/2006/relationships" r:embed="rId2" cstate="print"/>
        <a:stretch>
          <a:fillRect/>
        </a:stretch>
      </xdr:blipFill>
      <xdr:spPr>
        <a:xfrm>
          <a:off x="409575" y="0"/>
          <a:ext cx="1514475" cy="911678"/>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bkumar/Local%20Settings/Temporary%20Internet%20Files/OLKB5/WINDOWS/TEMP/PARANCH/TCRADPR.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Koyali-dehaj-1-10.04.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Term%20&amp;%20WC%20loan\int%20on%20term%20loan%2001-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Projects\BOM_Template\Vijay%20Gharpure%20-Documents\Customer%20Specific%20Pricing\Payment%20Gateway\Price%20sheet%20-%20Payment%20Gateway%20-%202309201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eepak%20Nimare/Documents/Cyan/Technical/IT%20Infrastructure/ServerSizing/NewFormat_05-Jan-2020/Omnimesh%20Environment%20Dimensioning%20AAABBBCCCV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10620152/AppData/Local/Microsoft/Windows/Temporary%20Internet%20Files/Content.Outlook/TKU0PEHO/Product%20checklist_SYI.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pankajbadaya/Desktop/tem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ICO_0802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Finance%20&amp;%20Comercial\MIS\Jagdeepak.Sharma\HP\Butter%20Budget%2009-10%20hp%20option%2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ojects/BOM_Template/Vijay%20Gharpure%20-Documents/Customer%20Specific%20Pricing/Payment%20Gateway/Price%20sheet%20-%20Payment%20Gateway%20-%2023092013.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ASR%20Source%20Environment%20Qualifier(Vijay)V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pankajbadaya/Desktop/saihous.ele.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MOTOROL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Administrator/Desktop/MDFPL%2006-07/KSS/WINDOWS/Desktop/New%20BS%2031.12.05/BS%2031.12.2005%20F/New%20Folder/RAKESHB/Term%20&amp;%20WC%20loan/int%20on%20term%20loan%2001-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sdcorporation-my.sharepoint.com/Users/am831899/Desktop/Hardware%20Sizing%20V1.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pankajbadaya/Desktop/RATE%20ANALYSIS%20HYDRAULIC%2017-03-20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1/ADMINI~1/LOCALS~1/Temp/C.Notes.Data/AMS%20Application%20Assessment%20Evaluat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nbkuz2d/AppData/Local/Microsoft/Windows/Temporary%20Internet%20Files/Content.Outlook/581ZAIAZ/GWIM%20Int/India/Satish%20GWIM%20India%20BASIL%20separation%20Stage%201%20TI%20costing%20estimate.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Off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final\DOCUME~1\HARI~1.NAI\LOCALS~1\Temp\Temporary%20Directory%201%20for%20MMBC.zip\Messaging%20Services%20BC%20v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04d903\exp%20list\mis2002\misfeb2002\MODEL-Site%20Reporting%2020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bharatsinghrao/Documents/Customers/1CMAS%20Customer/BestSeller/2018/SAP%20Requirement/Cool%20Output%207Aug2018%20Vishal%20Tak/Option1%20Standard%20Services/IC4SAP_BestSeller_2018_Sep_6_IT_Requirements_V0.7.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Neeraj/AppData/Local/Microsoft/Windows/Temporary%20Internet%20Files/Content.Outlook/17D8B9V0/My%20Documents/Price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cuments%20and%20Settings/SP-1/Desktop/hll%20ahu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1/HARI~1.NAI/LOCALS~1/Temp/Temporary%20Directory%201%20for%20MMBC.zip/Messaging%20Services%20BC%20v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m831899/Desktop/Hardware%20Sizing%20V1.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Program%20Files\pc_conf\Templates\offer.xlt"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IN0P%20Hardware%20Inventory.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d04d903\exp%20list\My%20Documents\Customers\EDAG\Audit\31.03.2002\Statutory%20Audit\Final%20Accounts\BS-EDAG-20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Administrator/Downloads/Cloud%20Hosting%20Format.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ntdatacenter\Integrated%20Security%20Solutions\Documents%20and%20Settings\Sujoy.Majumdar\Local%20Settings\Temporary%20Internet%20Files\Content.Outlook\Z8VT1D9V\Groundwork\Delhi%20Wk\Dashboard%20ver%201.5%20Past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pc_conf\Templates\9.7.5\angebot.xlt"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wgpeTool/System/Program/WWGPE.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Template-Design%20Devt%20Estimate.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Elnet-IBMS-IOlistBOQ-51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vika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Ramesh%20T%20K%20S/AppData/Local/Microsoft/Windows/Temporary%20Internet%20Files/Content.Outlook/46MIJ739/SOF-Cloud_DC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I808732/Documents/CRM/PRICING/1.%20GLOBAL%20PRICING/Price%20List/2013%20PL/2013_Q4/Price_List_BSNWBO_2013_4_v10_Direct.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Users\k_merh\AppData\Local\Temp\Rar$DIa0.715\Master_Asset_register_April_201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DOCUME~1/ADMINI~1/LOCALS~1/Temp/notesEA312D/IB-IBM.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lntdatacenter\Integrated%20Security%20Solutions\Users\mithileshk\AppData\Local\Microsoft\Windows\Temporary%20Internet%20Files\Content.Outlook\T6QWZJWP\SGPGI%20LKO_PFINMW_%20Amend%201%2013.0.13.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nts%20and%20Settings/Administrator/My%20Documents/PriceCalc%2017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Amit%20Kotian/work/IDB/Current%20Clients/Airtel/Airtel%20-%20DMX/5.%20Solution%20Plan/Final%20Clarifications/Submission/Final/Accenture_BoQ%20-%20Core%20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S00903~1/AppData/Local/Temp/Rar$DIa0.131/YOTTA%20SAP%20HANA_0000Hs00903946201912100002_WithDiscount_InternalPrice.xlsx"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poly%20cab-%20Rating%20&amp;%20volt.drop%20dt.18.1.03.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cable%20Vdrop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Bank%20&amp;%20Finance\int.income%20MDD%20&amp;%20HO%2001-02.xlw"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Vipul's%20Desktop%20-%2021-2-2013/Vipul%20Work/Mam's%20Work/Maharashtra%20Web%20Enabled%20System%20RFP%2003-08-2016/Maharashtra%20Costing%20Sheet%2030-8-2016.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E-Drive/SNB/Govt/2019-2020/Q3/Smart%20City/Saharanpur/Application%20Sizing/CCN%20Sizing%20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cuments%20and%20Settings/u13218/My%20Documents/tasks/Copy%20of%20Server%20ConfigurationMatrix.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pankajbadaya/Desktop/SAMPL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BBIBM\Clients\RAKESHB\BS%2031.3.03\consol%20Accts%2030.06-incl%20NBP-23.11.02.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HYATT.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Worksheet%20in%202231%20MDIL%20ITO%20Final%20Accounts_2004-05_For%20Auditors_250505"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esdscorp-my.sharepoint.com/Users/Deepak%20Nimare/Documents/Cyan/Technical/IT%20Infrastructure/ServerSizing/NewFormat_05-Jan-2020/Omnimesh%20Environment%20Dimensioning_10146_SBPDCL_AMI.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My%20Documents/Cost%20Sheets/Extras/1-Nov-08/Eicher%20-%20Pervious.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d04d903\exp%20list\windows\TEMP\ASR%20newversio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WINDOWS/Desktop/New%20BS%2031.12.05/BS%2031.12.2005%20F/New%20Folder/RAKESHB/Bank%20&amp;%20Finance/int.income%20MDD%20&amp;%20HO%2001-02.xlw"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xSeries306"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KOYALI"/>
      <sheetName val="DAHEJ"/>
      <sheetName val="SCC-DAHEJ"/>
      <sheetName val="SCADA - Block Valve-1"/>
      <sheetName val="SCADA(MCC-SCC)-Koyali"/>
      <sheetName val="OFC-TEL"/>
      <sheetName val="BASIS"/>
      <sheetName val="SCADA_MCC_SCC__Koyali"/>
      <sheetName val="#REF!"/>
      <sheetName val="#REF"/>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DR_Landscape"/>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9">
          <cell r="H9">
            <v>193</v>
          </cell>
        </row>
        <row r="11">
          <cell r="H11">
            <v>45</v>
          </cell>
        </row>
        <row r="15">
          <cell r="H15">
            <v>1</v>
          </cell>
        </row>
        <row r="17">
          <cell r="H17" t="b">
            <v>1</v>
          </cell>
        </row>
        <row r="19">
          <cell r="H19">
            <v>1</v>
          </cell>
        </row>
        <row r="21">
          <cell r="H21" t="b">
            <v>1</v>
          </cell>
        </row>
        <row r="23">
          <cell r="H23" t="b">
            <v>0</v>
          </cell>
        </row>
      </sheetData>
      <sheetData sheetId="2"/>
      <sheetData sheetId="3">
        <row r="16">
          <cell r="H16" t="str">
            <v>Ubuntu 20.04</v>
          </cell>
        </row>
        <row r="32">
          <cell r="H32">
            <v>8</v>
          </cell>
        </row>
        <row r="36">
          <cell r="H36">
            <v>9</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116</v>
          </cell>
        </row>
        <row r="156">
          <cell r="H156">
            <v>304</v>
          </cell>
        </row>
        <row r="175">
          <cell r="H175">
            <v>10237</v>
          </cell>
        </row>
        <row r="191">
          <cell r="H191">
            <v>26659</v>
          </cell>
        </row>
        <row r="199">
          <cell r="H199">
            <v>576</v>
          </cell>
        </row>
      </sheetData>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_x0000_缀_x0000_"/>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_x0000__x0000__x0000__x0000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_x0000__x0000__x0000_ú5#_x0000__x0000__x0000__x0000__x0000__x0000__x0000_"/>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_x0000__x0000__x0000_ú5#_x0000__x0000__x0000__x0000__x0000__x0000__x0000_"/>
      <sheetName val="  ¢_x0002_&amp;???ú5#???????"/>
      <sheetName val="PIPELINE"/>
      <sheetName val="CIVIL"/>
      <sheetName val="Quote Sheet"/>
      <sheetName val="PROCTOR"/>
      <sheetName val="FORM7"/>
      <sheetName val="STRIP Sizing"/>
      <sheetName val="Design basis-C"/>
      <sheetName val="[temp.xls]14.07.10@_x0000__x0003_&amp;_x0000__x0000__x0000_Ò:"/>
      <sheetName val=" _x000a_¢_x0002_&amp;"/>
      <sheetName val="14.07.10@"/>
      <sheetName val="14.07.10Á_x000c__x0003_&amp;"/>
      <sheetName val="  ¢_x0002_&amp;"/>
      <sheetName val="[temp.xls]14.07.10@"/>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_x0000__x0000_"/>
      <sheetName val="14.07.10 CIVIL W ["/>
      <sheetName val="14.07.10@^\_x0001_&amp;_x0000__x0000__x0000__x0012_8"/>
      <sheetName val="_x0000__x0000__x0000__x0000__x0000__x0000__x0000_Ü5)_x0000__x001e_bÝ/_x0012_8)_x0000__x0012_6)_x0000_&amp;_x0000__x0000__x0000_&amp;_x0000__x0000__x0000_"/>
      <sheetName val="08.07.10헾】_x0005_??壀&quot;夌&quot;"/>
      <sheetName val="Cost Basis"/>
      <sheetName val="08.07.10헾】_x0005_??헾⿂_x0005__x0000_"/>
      <sheetName val="08.07.10헾】_x0005_????懇"/>
      <sheetName val="08.07.10헾】_x0005_??ꮸ⽚_x0005__x0000_"/>
      <sheetName val="08.07.10헾】_x0005_??丵⼽_x0005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 val="08.07.10헾】_x0005_ꎋ"/>
      <sheetName val="14.07.10@_x0003_&amp;Ò:"/>
      <sheetName val="08.07.10헾】_x0005__x0000"/>
      <sheetName val="[temp.xls]14.07.10@_x0003_&amp;Ò:"/>
      <sheetName val="08.07.10헾】_x0005_??_x0005_"/>
      <sheetName val="14.07.10@^\_x0001_&amp;_x0012_8"/>
      <sheetName val="08.07.10헾】_x0005_??헾⿂_x0005_"/>
      <sheetName val="08.07.10헾】_x0005_??ꮸ⽚_x0005_"/>
      <sheetName val="08.07.10헾】_x0005_??丵⼽_x0005_"/>
    </sheetNames>
    <sheetDataSet>
      <sheetData sheetId="0" refreshError="1">
        <row r="19">
          <cell r="J19">
            <v>1.0499999999999999E-3</v>
          </cell>
          <cell r="K19">
            <v>1.3500000000000001E-3</v>
          </cell>
        </row>
        <row r="20">
          <cell r="K20">
            <v>0.10083</v>
          </cell>
        </row>
      </sheetData>
      <sheetData sheetId="1">
        <row r="19">
          <cell r="J19">
            <v>1.0499999999999999E-3</v>
          </cell>
        </row>
      </sheetData>
      <sheetData sheetId="2">
        <row r="19">
          <cell r="J19">
            <v>1.0499999999999999E-3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9">
          <cell r="J19">
            <v>1.0499999999999999E-3</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sheetData sheetId="742"/>
      <sheetData sheetId="743"/>
      <sheetData sheetId="744"/>
      <sheetData sheetId="745"/>
      <sheetData sheetId="746"/>
      <sheetData sheetId="747">
        <row r="19">
          <cell r="J19">
            <v>1.0499999999999999E-3</v>
          </cell>
        </row>
      </sheetData>
      <sheetData sheetId="748"/>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sheetData sheetId="755"/>
      <sheetData sheetId="756"/>
      <sheetData sheetId="757"/>
      <sheetData sheetId="758">
        <row r="19">
          <cell r="J19">
            <v>1.0499999999999999E-3</v>
          </cell>
        </row>
      </sheetData>
      <sheetData sheetId="759"/>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sheetData sheetId="765"/>
      <sheetData sheetId="766"/>
      <sheetData sheetId="767"/>
      <sheetData sheetId="768"/>
      <sheetData sheetId="769"/>
      <sheetData sheetId="770"/>
      <sheetData sheetId="771">
        <row r="19">
          <cell r="J19">
            <v>1.0499999999999999E-3</v>
          </cell>
        </row>
      </sheetData>
      <sheetData sheetId="772"/>
      <sheetData sheetId="773">
        <row r="19">
          <cell r="J19">
            <v>1.0499999999999999E-3</v>
          </cell>
        </row>
      </sheetData>
      <sheetData sheetId="774">
        <row r="19">
          <cell r="J19">
            <v>1.0499999999999999E-3</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Works - Quote Sheet"/>
      <sheetName val="factors"/>
      <sheetName val="IO LIST"/>
      <sheetName val="INDIGINEOUS ITEMS "/>
      <sheetName val="BURDEN"/>
      <sheetName val="Costing"/>
      <sheetName val="Civil Works"/>
      <sheetName val="TBAL9697 -group wise  sdpl"/>
      <sheetName val="Headings"/>
      <sheetName val="Basement Budget"/>
    </sheetNames>
    <sheetDataSet>
      <sheetData sheetId="0">
        <row r="3">
          <cell r="E3" t="str">
            <v>Band 3</v>
          </cell>
        </row>
      </sheetData>
      <sheetData sheetId="1"/>
      <sheetData sheetId="2"/>
      <sheetData sheetId="3"/>
      <sheetData sheetId="4"/>
      <sheetData sheetId="5"/>
      <sheetData sheetId="6"/>
      <sheetData sheetId="7"/>
      <sheetData sheetId="8"/>
      <sheetData sheetId="9"/>
      <sheetData sheetId="10"/>
      <sheetData sheetId="11" refreshError="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x Purchases Oct to Dec"/>
      <sheetName val="for Paul"/>
      <sheetName val="Fixed cost Split"/>
      <sheetName val="Volume 09-10"/>
      <sheetName val="Sheet1 (2)"/>
      <sheetName val="costing north for 09-10"/>
      <sheetName val="Budgeted COGS Split"/>
      <sheetName val="Region wise vol split"/>
      <sheetName val="Budgeted COGS"/>
      <sheetName val=" Costing North for outlook "/>
      <sheetName val="Outlook COGS Working"/>
      <sheetName val="Dynamix Purchases"/>
      <sheetName val="Butter(Aug-Dec 08)"/>
      <sheetName val="April to July 08"/>
      <sheetName val="Table Butter (3)"/>
      <sheetName val="butter Realisation Aur to Dec"/>
      <sheetName val="Sheet6"/>
      <sheetName val="butter Real Aug to Dec"/>
      <sheetName val="Sheet2"/>
      <sheetName val="Sheet3"/>
      <sheetName val="KE30 jan09"/>
      <sheetName val="Sheet8"/>
      <sheetName val="Sheet4"/>
      <sheetName val="Jan realisation"/>
      <sheetName val="Sheet5"/>
      <sheetName val="Realisation loss"/>
      <sheetName val="vol 09-10"/>
      <sheetName val="Table Butter"/>
      <sheetName val="Sheet1"/>
      <sheetName val="Sheet7"/>
      <sheetName val="realisation"/>
      <sheetName val="Pri Frt Butter &amp; Cheese"/>
      <sheetName val="Var dist"/>
      <sheetName val="Pri Frt Butter &amp; Cheese 05.02"/>
      <sheetName val="Sheet1 (3)"/>
      <sheetName val="Locationwise COGS"/>
      <sheetName val="Budgeted COGS Split (2)"/>
      <sheetName val="Rev vol"/>
      <sheetName val="Location&amp;channel wise"/>
      <sheetName val="sourcing plan RG 040209"/>
      <sheetName val="Final Cont sheet"/>
      <sheetName val="summary"/>
      <sheetName val="(NO EDIT) Dropdown list sourc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sheetName val="Primary Site Information"/>
      <sheetName val="Detailed Server Information"/>
      <sheetName val="Queries"/>
      <sheetName val="Reference"/>
      <sheetName val="consolidated"/>
    </sheetNames>
    <sheetDataSet>
      <sheetData sheetId="0">
        <row r="2">
          <cell r="B2" t="str">
            <v>64-bit</v>
          </cell>
        </row>
      </sheetData>
      <sheetData sheetId="1"/>
      <sheetData sheetId="2"/>
      <sheetData sheetId="3"/>
      <sheetData sheetId="4">
        <row r="2">
          <cell r="B2" t="str">
            <v>64-bit</v>
          </cell>
          <cell r="C2" t="str">
            <v>Physical</v>
          </cell>
          <cell r="E2" t="str">
            <v>ESXi 5.0 or later</v>
          </cell>
          <cell r="F2" t="str">
            <v>Internal/External DAS</v>
          </cell>
        </row>
        <row r="3">
          <cell r="C3" t="str">
            <v>Virtual</v>
          </cell>
          <cell r="F3" t="str">
            <v>FC</v>
          </cell>
        </row>
        <row r="4">
          <cell r="F4" t="str">
            <v>iSCSI</v>
          </cell>
        </row>
        <row r="5">
          <cell r="F5" t="str">
            <v>Virtual Disk/VMDK</v>
          </cell>
        </row>
        <row r="6">
          <cell r="F6" t="str">
            <v>VMDK &amp; RDM</v>
          </cell>
        </row>
        <row r="7">
          <cell r="F7" t="str">
            <v>VMDK &amp; iSCSI Pass-through</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cell r="D91">
            <v>1</v>
          </cell>
          <cell r="H91" t="str">
            <v>Block</v>
          </cell>
          <cell r="L91" t="str">
            <v>Vmware</v>
          </cell>
          <cell r="Q91" t="str">
            <v>Active-Active</v>
          </cell>
          <cell r="R91" t="str">
            <v>App Level</v>
          </cell>
        </row>
        <row r="92">
          <cell r="D92">
            <v>2</v>
          </cell>
          <cell r="H92" t="str">
            <v>File NFS</v>
          </cell>
          <cell r="L92" t="str">
            <v>HyperV</v>
          </cell>
          <cell r="Q92" t="str">
            <v>Active-Passive</v>
          </cell>
          <cell r="R92" t="str">
            <v>DB Level</v>
          </cell>
        </row>
        <row r="93">
          <cell r="D93">
            <v>3</v>
          </cell>
          <cell r="H93" t="str">
            <v>File CIFS</v>
          </cell>
          <cell r="L93" t="str">
            <v>RHEV</v>
          </cell>
          <cell r="Q93" t="str">
            <v>No</v>
          </cell>
          <cell r="R93" t="str">
            <v>Load Balancer</v>
          </cell>
        </row>
        <row r="94">
          <cell r="D94">
            <v>4</v>
          </cell>
          <cell r="H94" t="str">
            <v>Object</v>
          </cell>
          <cell r="L94" t="str">
            <v>OVM</v>
          </cell>
          <cell r="R94" t="str">
            <v>Hypervisor Level</v>
          </cell>
        </row>
        <row r="95">
          <cell r="D95">
            <v>5</v>
          </cell>
          <cell r="L95" t="str">
            <v>Any</v>
          </cell>
          <cell r="R95" t="str">
            <v>3rd Party</v>
          </cell>
        </row>
        <row r="96">
          <cell r="D96">
            <v>6</v>
          </cell>
        </row>
        <row r="97">
          <cell r="D97">
            <v>7</v>
          </cell>
        </row>
        <row r="98">
          <cell r="D98">
            <v>8</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Assessment"/>
      <sheetName val="Projects"/>
      <sheetName val="Backlog"/>
      <sheetName val="Controls"/>
      <sheetName val="Development Environment"/>
      <sheetName val="Instructions"/>
    </sheetNames>
    <sheetDataSet>
      <sheetData sheetId="0" refreshError="1"/>
      <sheetData sheetId="1" refreshError="1"/>
      <sheetData sheetId="2" refreshError="1"/>
      <sheetData sheetId="3" refreshError="1"/>
      <sheetData sheetId="4"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 val="Compute-Storage Sizin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Recommended Spares"/>
      <sheetName val="Civil Works"/>
      <sheetName val="TBAL9697 -group wise  sdpl"/>
      <sheetName val="Servers"/>
      <sheetName val="Name List"/>
      <sheetName val="Sheet3"/>
      <sheetName val="VCH-SLC"/>
      <sheetName val="Supplier"/>
      <sheetName val="Pay_Sep06"/>
      <sheetName val="Sheet1"/>
      <sheetName val="s"/>
      <sheetName val="Input"/>
      <sheetName val="Pacakges split"/>
      <sheetName val="gen"/>
      <sheetName val="Basement Budget"/>
      <sheetName val="Costing"/>
      <sheetName val="IO_LIST"/>
      <sheetName val="Recommended_Spares"/>
      <sheetName val=""/>
      <sheetName val="duc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Fill this out first..."/>
      <sheetName val="p&amp;m"/>
      <sheetName val="Structure Bills Qty"/>
      <sheetName val="Break up Sheet"/>
      <sheetName val="Digestion"/>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List"/>
      <sheetName val="Discount"/>
      <sheetName val="COMP"/>
      <sheetName val="d_m_yy"/>
      <sheetName val="d_m_yy__x0013__$-1010000_d_m_yyyy__x001e__$"/>
      <sheetName val="[Offer.xls]d_m_yy_____101000_70"/>
      <sheetName val="[Offer.xls]d_m_yy_____101000_71"/>
      <sheetName val="[Offer.xls]d_m_yy_____1010000_2"/>
      <sheetName val="[Offer.xls]d_m_yy_____1010000_3"/>
      <sheetName val="[Offer.xls]d_m_yy_____1010000_4"/>
      <sheetName val="[Offer.xls]d_m_yy_____1010000_5"/>
      <sheetName val="[Offer.xls]d_m_yy_____1010000_6"/>
      <sheetName val="[Offer.xls]d_m_yy_____1010000_7"/>
      <sheetName val="[Offer.xls]d_m_yy_____101000_12"/>
      <sheetName val="[Offer.xls]d_m_yy_____101000_13"/>
      <sheetName val="[Offer.xls]d_m_yy_____101000_10"/>
      <sheetName val="[Offer.xls]d_m_yy_____101000_11"/>
      <sheetName val="[Offer.xls]d_m_yy_____1010000_8"/>
      <sheetName val="[Offer.xls]d_m_yy_____1010000_9"/>
      <sheetName val="[Offer.xls]d_m_yy_____101000_18"/>
      <sheetName val="[Offer.xls]d_m_yy_____101000_19"/>
      <sheetName val="[Offer.xls]d_m_yy_____101000_14"/>
      <sheetName val="[Offer.xls]d_m_yy_____101000_15"/>
      <sheetName val="[Offer.xls]d_m_yy_____101000_16"/>
      <sheetName val="[Offer.xls]d_m_yy_____101000_17"/>
      <sheetName val="[Offer.xls]d_m_yy_____101000_46"/>
      <sheetName val="[Offer.xls]d_m_yy_____101000_47"/>
      <sheetName val="[Offer.xls]d_m_yy_____101000_38"/>
      <sheetName val="[Offer.xls]d_m_yy_____101000_39"/>
      <sheetName val="[Offer.xls]d_m_yy_____101000_22"/>
      <sheetName val="[Offer.xls]d_m_yy_____101000_23"/>
      <sheetName val="[Offer.xls]d_m_yy_____101000_20"/>
      <sheetName val="[Offer.xls]d_m_yy_____101000_21"/>
      <sheetName val="[Offer.xls]d_m_yy_____101000_24"/>
      <sheetName val="[Offer.xls]d_m_yy_____101000_25"/>
      <sheetName val="[Offer.xls]d_m_yy_____101000_26"/>
      <sheetName val="[Offer.xls]d_m_yy_____101000_27"/>
      <sheetName val="[Offer.xls]d_m_yy_____101000_28"/>
      <sheetName val="[Offer.xls]d_m_yy_____101000_29"/>
      <sheetName val="[Offer.xls]d_m_yy_____101000_30"/>
      <sheetName val="[Offer.xls]d_m_yy_____101000_31"/>
      <sheetName val="[Offer.xls]d_m_yy_____101000_32"/>
      <sheetName val="[Offer.xls]d_m_yy_____101000_33"/>
      <sheetName val="[Offer.xls]d_m_yy_____101000_34"/>
      <sheetName val="[Offer.xls]d_m_yy_____101000_35"/>
      <sheetName val="[Offer.xls]d_m_yy_____101000_36"/>
      <sheetName val="[Offer.xls]d_m_yy_____101000_37"/>
      <sheetName val="[Offer.xls]d_m_yy_____101000_40"/>
      <sheetName val="[Offer.xls]d_m_yy_____101000_41"/>
      <sheetName val="[Offer.xls]d_m_yy_____101000_42"/>
      <sheetName val="[Offer.xls]d_m_yy_____101000_43"/>
      <sheetName val="[Offer.xls]d_m_yy_____101000_44"/>
      <sheetName val="[Offer.xls]d_m_yy_____101000_45"/>
      <sheetName val="[Offer.xls]d_m_yy_____101000_54"/>
      <sheetName val="[Offer.xls]d_m_yy_____101000_55"/>
      <sheetName val="[Offer.xls]d_m_yy_____101000_48"/>
      <sheetName val="[Offer.xls]d_m_yy_____101000_49"/>
      <sheetName val="[Offer.xls]d_m_yy_____101000_50"/>
      <sheetName val="[Offer.xls]d_m_yy_____101000_51"/>
      <sheetName val="[Offer.xls]d_m_yy_____101000_52"/>
      <sheetName val="[Offer.xls]d_m_yy_____101000_53"/>
      <sheetName val="[Offer.xls]d_m_yy_____101000_60"/>
      <sheetName val="[Offer.xls]d_m_yy_____101000_61"/>
      <sheetName val="[Offer.xls]d_m_yy_____101000_56"/>
      <sheetName val="[Offer.xls]d_m_yy_____101000_57"/>
      <sheetName val="[Offer.xls]d_m_yy_____101000_58"/>
      <sheetName val="[Offer.xls]d_m_yy_____101000_59"/>
      <sheetName val="[Offer.xls]d_m_yy_____101000_62"/>
      <sheetName val="[Offer.xls]d_m_yy_____101000_63"/>
      <sheetName val="[Offer.xls]d_m_yy_____101000_64"/>
      <sheetName val="[Offer.xls]d_m_yy_____101000_65"/>
      <sheetName val="[Offer.xls]d_m_yy_____101000_66"/>
      <sheetName val="[Offer.xls]d_m_yy_____101000_67"/>
      <sheetName val="[Offer.xls]d_m_yy_____101000_68"/>
      <sheetName val="[Offer.xls]d_m_yy_____101000_69"/>
      <sheetName val="[Offer.xls]d_m_yy_____101000_82"/>
      <sheetName val="[Offer.xls]d_m_yy_____101000_83"/>
      <sheetName val="[Offer.xls]d_m_yy_____101000_80"/>
      <sheetName val="[Offer.xls]d_m_yy_____101000_81"/>
      <sheetName val="[Offer.xls]d_m_yy_____101000_78"/>
      <sheetName val="[Offer.xls]d_m_yy_____101000_79"/>
      <sheetName val="[Offer.xls]d_m_yy_____101000_72"/>
      <sheetName val="[Offer.xls]d_m_yy_____101000_73"/>
      <sheetName val="[Offer.xls]d_m_yy_____101000_74"/>
      <sheetName val="[Offer.xls]d_m_yy_____101000_75"/>
      <sheetName val="[Offer.xls]d_m_yy_____101000_76"/>
      <sheetName val="[Offer.xls]d_m_yy_____101000_77"/>
      <sheetName val="[Offer.xls]d_m_yy_____101000_84"/>
      <sheetName val="[Offer.xls]d_m_yy_____101000_85"/>
      <sheetName val="[Offer.xls]d_m_yy_____10100_122"/>
      <sheetName val="[Offer.xls]d_m_yy_____10100_123"/>
      <sheetName val="[Offer.xls]d_m_yy_____10100_106"/>
      <sheetName val="[Offer.xls]d_m_yy_____10100_107"/>
      <sheetName val="[Offer.xls]d_m_yy_____101000_88"/>
      <sheetName val="[Offer.xls]d_m_yy_____101000_89"/>
      <sheetName val="[Offer.xls]d_m_yy_____101000_86"/>
      <sheetName val="[Offer.xls]d_m_yy_____101000_87"/>
      <sheetName val="[Offer.xls]d_m_yy_____101000_92"/>
      <sheetName val="[Offer.xls]d_m_yy_____101000_93"/>
      <sheetName val="[Offer.xls]d_m_yy_____101000_90"/>
      <sheetName val="[Offer.xls]d_m_yy_____101000_91"/>
      <sheetName val="[Offer.xls]d_m_yy_____101000_94"/>
      <sheetName val="[Offer.xls]d_m_yy_____101000_95"/>
      <sheetName val="[Offer.xls]d_m_yy_____101000_96"/>
      <sheetName val="[Offer.xls]d_m_yy_____101000_97"/>
      <sheetName val="[Offer.xls]d_m_yy_____101000_98"/>
      <sheetName val="[Offer.xls]d_m_yy_____101000_99"/>
      <sheetName val="[Offer.xls]d_m_yy_____10100_100"/>
      <sheetName val="[Offer.xls]d_m_yy_____10100_101"/>
      <sheetName val="[Offer.xls]d_m_yy_____10100_102"/>
      <sheetName val="[Offer.xls]d_m_yy_____10100_103"/>
      <sheetName val="[Offer.xls]d_m_yy_____10100_104"/>
      <sheetName val="[Offer.xls]d_m_yy_____10100_105"/>
      <sheetName val="[Offer.xls]d_m_yy_____10100_110"/>
      <sheetName val="[Offer.xls]d_m_yy_____10100_111"/>
      <sheetName val="[Offer.xls]d_m_yy_____10100_108"/>
      <sheetName val="[Offer.xls]d_m_yy_____10100_109"/>
      <sheetName val="[Offer.xls]d_m_yy_____10100_112"/>
      <sheetName val="[Offer.xls]d_m_yy_____10100_113"/>
      <sheetName val="[Offer.xls]d_m_yy_____10100_118"/>
      <sheetName val="[Offer.xls]d_m_yy_____10100_119"/>
      <sheetName val="[Offer.xls]d_m_yy_____10100_114"/>
      <sheetName val="[Offer.xls]d_m_yy_____10100_115"/>
      <sheetName val="[Offer.xls]d_m_yy_____10100_116"/>
      <sheetName val="[Offer.xls]d_m_yy_____10100_117"/>
      <sheetName val="[Offer.xls]d_m_yy_____10100_120"/>
      <sheetName val="[Offer.xls]d_m_yy_____10100_121"/>
      <sheetName val="[Offer.xls]d_m_yy_____10100_124"/>
      <sheetName val="[Offer.xls]d_m_yy_____10100_125"/>
      <sheetName val="[Offer.xls]d_m_yy_____10100_128"/>
      <sheetName val="[Offer.xls]d_m_yy_____10100_129"/>
      <sheetName val="[Offer.xls]d_m_yy_____10100_126"/>
      <sheetName val="[Offer.xls]d_m_yy_____10100_127"/>
      <sheetName val="[Offer.xls]d_m_yy_____10100_130"/>
      <sheetName val="[Offer.xls]d_m_yy_____10100_131"/>
      <sheetName val="[Offer.xls]d_m_yy_____10100_132"/>
      <sheetName val="[Offer.xls]d_m_yy_____10100_133"/>
      <sheetName val="[Offer.xls]d_m_yy_____10100_134"/>
      <sheetName val="[Offer.xls]d_m_yy_____10100_135"/>
      <sheetName val="[Offer.xls][Offer.xls]d_m_yy__2"/>
      <sheetName val="[Offer.xls][Offer.xls]d_m_yy__3"/>
      <sheetName val="[Offer.xls]d_m_yy_____10100_136"/>
      <sheetName val="[Offer.xls]d_m_yy_____10100_137"/>
      <sheetName val="[Offer.xls]d_m_yy_____10100_138"/>
      <sheetName val="[Offer.xls]d_m_yy_____10100_139"/>
      <sheetName val="[Offer.xls]d_m_yy_____10100_142"/>
      <sheetName val="[Offer.xls]d_m_yy_____10100_143"/>
      <sheetName val="[Offer.xls]d_m_yy_____10100_140"/>
      <sheetName val="[Offer.xls]d_m_yy_____10100_141"/>
      <sheetName val="[Offer.xls]d_m_yy_____10100_144"/>
      <sheetName val="[Offer.xls]d_m_yy_____10100_145"/>
      <sheetName val="[Offer.xls]d_m_yy_____10100_146"/>
      <sheetName val="[Offer.xls]d_m_yy_____10100_147"/>
      <sheetName val="[Offer.xls]d_m_yy_____10100_148"/>
      <sheetName val="[Offer.xls]d_m_yy_____10100_149"/>
      <sheetName val="[Offer.xls]d_m_yy_____10100_152"/>
      <sheetName val="[Offer.xls]d_m_yy_____10100_153"/>
      <sheetName val="[Offer.xls]d_m_yy_____10100_150"/>
      <sheetName val="[Offer.xls]d_m_yy_____10100_151"/>
      <sheetName val="[Offer.xls]d_m_yy_____10100_154"/>
      <sheetName val="[Offer.xls]d_m_yy_____10100_155"/>
      <sheetName val="[Offer.xls]d_m_yy_____10100_178"/>
      <sheetName val="[Offer.xls]d_m_yy_____10100_179"/>
      <sheetName val="[Offer.xls][Offer.xls]d_m_yy__8"/>
      <sheetName val="[Offer.xls][Offer.xls]d_m_yy__9"/>
      <sheetName val="[Offer.xls][Offer.xls]d_m_yy__6"/>
      <sheetName val="[Offer.xls][Offer.xls]d_m_yy__7"/>
      <sheetName val="[Offer.xls][Offer.xls]d_m_yy__4"/>
      <sheetName val="[Offer.xls][Offer.xls]d_m_yy__5"/>
      <sheetName val="[Offer.xls][Offer.xls]d_m_yy_10"/>
      <sheetName val="[Offer.xls][Offer.xls]d_m_yy_11"/>
      <sheetName val="[Offer.xls][Offer.xls]d_m_yy_26"/>
      <sheetName val="[Offer.xls][Offer.xls]d_m_yy_27"/>
      <sheetName val="[Offer.xls]d_m_yy_____10100_156"/>
      <sheetName val="[Offer.xls]d_m_yy_____10100_157"/>
      <sheetName val="[Offer.xls][Offer.xls]d_m_yy_12"/>
      <sheetName val="[Offer.xls][Offer.xls]d_m_yy_13"/>
      <sheetName val="[Offer.xls]d_m_yy_____10100_158"/>
      <sheetName val="[Offer.xls]d_m_yy_____10100_159"/>
      <sheetName val="[Offer.xls][Offer.xls]d_m_yy_14"/>
      <sheetName val="[Offer.xls][Offer.xls]d_m_yy_15"/>
      <sheetName val="[Offer.xls]d_m_yy_____10100_168"/>
      <sheetName val="[Offer.xls]d_m_yy_____10100_169"/>
      <sheetName val="[Offer.xls]d_m_yy_____10100_164"/>
      <sheetName val="[Offer.xls]d_m_yy_____10100_165"/>
      <sheetName val="[Offer.xls]d_m_yy_____10100_160"/>
      <sheetName val="[Offer.xls]d_m_yy_____10100_161"/>
      <sheetName val="[Offer.xls]d_m_yy_____10100_162"/>
      <sheetName val="[Offer.xls]d_m_yy_____10100_163"/>
      <sheetName val="[Offer.xls]d_m_yy_____10100_166"/>
      <sheetName val="[Offer.xls]d_m_yy_____10100_167"/>
      <sheetName val="[Offer.xls][Offer.xls]d_m_yy_18"/>
      <sheetName val="[Offer.xls][Offer.xls]d_m_yy_19"/>
      <sheetName val="[Offer.xls][Offer.xls]d_m_yy_16"/>
      <sheetName val="[Offer.xls][Offer.xls]d_m_yy_17"/>
      <sheetName val="[Offer.xls]d_m_yy_____10100_172"/>
      <sheetName val="[Offer.xls]d_m_yy_____10100_173"/>
      <sheetName val="[Offer.xls]d_m_yy_____10100_170"/>
      <sheetName val="[Offer.xls]d_m_yy_____10100_171"/>
      <sheetName val="[Offer.xls][Offer.xls]d_m_yy_20"/>
      <sheetName val="[Offer.xls][Offer.xls]d_m_yy_21"/>
      <sheetName val="[Offer.xls]d_m_yy_____10100_174"/>
      <sheetName val="[Offer.xls]d_m_yy_____10100_175"/>
      <sheetName val="[Offer.xls][Offer.xls]d_m_yy_22"/>
      <sheetName val="[Offer.xls][Offer.xls]d_m_yy_23"/>
      <sheetName val="[Offer.xls]d_m_yy_____10100_176"/>
      <sheetName val="[Offer.xls]d_m_yy_____10100_177"/>
      <sheetName val="[Offer.xls][Offer.xls]d_m_yy_24"/>
      <sheetName val="[Offer.xls][Offer.xls]d_m_yy_25"/>
      <sheetName val="[Offer.xls]d_m_yy_____10100_220"/>
      <sheetName val="[Offer.xls]d_m_yy_____10100_221"/>
      <sheetName val="[Offer.xls][Offer.xls]d_m_yy_68"/>
      <sheetName val="[Offer.xls][Offer.xls]d_m_yy_69"/>
      <sheetName val="[Offer.xls]d_m_yy_____10100_180"/>
      <sheetName val="[Offer.xls]d_m_yy_____10100_181"/>
      <sheetName val="[Offer.xls][Offer.xls]d_m_yy_28"/>
      <sheetName val="[Offer.xls][Offer.xls]d_m_yy_29"/>
      <sheetName val="d/m/yy"/>
      <sheetName val="[Offer.xls]d_m_yy_____10100_182"/>
      <sheetName val="[Offer.xls]d_m_yy_____10100_183"/>
      <sheetName val="[Offer.xls][Offer.xls]d_m_yy_30"/>
      <sheetName val="[Offer.xls][Offer.xls]d_m_yy_31"/>
      <sheetName val="[Offer.xls]d_m_yy_____10100_184"/>
      <sheetName val="[Offer.xls]d_m_yy_____10100_185"/>
      <sheetName val="[Offer.xls][Offer.xls]d_m_yy_32"/>
      <sheetName val="[Offer.xls][Offer.xls]d_m_yy_33"/>
      <sheetName val="[Offer.xls]d_m_yy_____10100_194"/>
      <sheetName val="[Offer.xls]d_m_yy_____10100_195"/>
      <sheetName val="[Offer.xls][Offer.xls]d_m_yy_42"/>
      <sheetName val="[Offer.xls][Offer.xls]d_m_yy_43"/>
      <sheetName val="[Offer.xls]d_m_yy_____10100_188"/>
      <sheetName val="[Offer.xls]d_m_yy_____10100_189"/>
      <sheetName val="[Offer.xls][Offer.xls]d_m_yy_36"/>
      <sheetName val="[Offer.xls][Offer.xls]d_m_yy_37"/>
      <sheetName val="[Offer.xls]d_m_yy_____10100_186"/>
      <sheetName val="[Offer.xls]d_m_yy_____10100_187"/>
      <sheetName val="[Offer.xls][Offer.xls]d_m_yy_34"/>
      <sheetName val="[Offer.xls][Offer.xls]d_m_yy_35"/>
      <sheetName val="[Offer.xls]d_m_yy_____10100_190"/>
      <sheetName val="[Offer.xls]d_m_yy_____10100_191"/>
      <sheetName val="[Offer.xls][Offer.xls]d_m_yy_38"/>
      <sheetName val="[Offer.xls][Offer.xls]d_m_yy_39"/>
      <sheetName val="[Offer.xls]d_m_yy_____10100_192"/>
      <sheetName val="[Offer.xls]d_m_yy_____10100_193"/>
      <sheetName val="[Offer.xls][Offer.xls]d_m_yy_40"/>
      <sheetName val="[Offer.xls][Offer.xls]d_m_yy_41"/>
      <sheetName val="[Offer.xls]d_m_yy_____10100_200"/>
      <sheetName val="[Offer.xls]d_m_yy_____10100_201"/>
      <sheetName val="[Offer.xls][Offer.xls]d_m_yy_48"/>
      <sheetName val="[Offer.xls][Offer.xls]d_m_yy_49"/>
      <sheetName val="[Offer.xls]d_m_yy_____10100_196"/>
      <sheetName val="[Offer.xls]d_m_yy_____10100_197"/>
      <sheetName val="[Offer.xls][Offer.xls]d_m_yy_44"/>
      <sheetName val="[Offer.xls][Offer.xls]d_m_yy_45"/>
      <sheetName val="[Offer.xls]d_m_yy_____10100_198"/>
      <sheetName val="[Offer.xls]d_m_yy_____10100_199"/>
      <sheetName val="[Offer.xls][Offer.xls]d_m_yy_46"/>
      <sheetName val="[Offer.xls][Offer.xls]d_m_yy_47"/>
      <sheetName val="[Offer.xls]d_m_yy_____10100_218"/>
      <sheetName val="[Offer.xls]d_m_yy_____10100_219"/>
      <sheetName val="[Offer.xls][Offer.xls]d_m_yy_66"/>
      <sheetName val="[Offer.xls][Offer.xls]d_m_yy_67"/>
      <sheetName val="[Offer.xls]d_m_yy_____10100_214"/>
      <sheetName val="[Offer.xls]d_m_yy_____10100_215"/>
      <sheetName val="[Offer.xls][Offer.xls]d_m_yy_62"/>
      <sheetName val="[Offer.xls][Offer.xls]d_m_yy_63"/>
      <sheetName val="[Offer.xls]d_m_yy_____10100_206"/>
      <sheetName val="[Offer.xls]d_m_yy_____10100_207"/>
      <sheetName val="[Offer.xls][Offer.xls]d_m_yy_54"/>
      <sheetName val="[Offer.xls][Offer.xls]d_m_yy_55"/>
      <sheetName val="[Offer.xls]d_m_yy_____10100_204"/>
      <sheetName val="[Offer.xls]d_m_yy_____10100_205"/>
      <sheetName val="[Offer.xls][Offer.xls]d_m_yy_52"/>
      <sheetName val="[Offer.xls][Offer.xls]d_m_yy_53"/>
      <sheetName val="[Offer.xls]d_m_yy_____10100_202"/>
      <sheetName val="[Offer.xls]d_m_yy_____10100_203"/>
      <sheetName val="[Offer.xls][Offer.xls]d_m_yy_50"/>
      <sheetName val="[Offer.xls][Offer.xls]d_m_yy_51"/>
      <sheetName val="[Offer.xls]d_m_yy_____10100_208"/>
      <sheetName val="[Offer.xls]d_m_yy_____10100_209"/>
      <sheetName val="[Offer.xls][Offer.xls]d_m_yy_56"/>
      <sheetName val="[Offer.xls][Offer.xls]d_m_yy_57"/>
      <sheetName val="[Offer.xls]d_m_yy_____10100_210"/>
      <sheetName val="[Offer.xls]d_m_yy_____10100_211"/>
      <sheetName val="[Offer.xls][Offer.xls]d_m_yy_58"/>
      <sheetName val="[Offer.xls][Offer.xls]d_m_yy_59"/>
      <sheetName val="[Offer.xls]d_m_yy_____10100_212"/>
      <sheetName val="[Offer.xls]d_m_yy_____10100_213"/>
      <sheetName val="[Offer.xls][Offer.xls]d_m_yy_60"/>
      <sheetName val="[Offer.xls][Offer.xls]d_m_yy_61"/>
      <sheetName val="[Offer.xls]d_m_yy_____10100_216"/>
      <sheetName val="[Offer.xls]d_m_yy_____10100_217"/>
      <sheetName val="[Offer.xls][Offer.xls]d_m_yy_64"/>
      <sheetName val="[Offer.xls][Offer.xls]d_m_yy_65"/>
      <sheetName val="[Offer.xls]d_m_yy_____10100_222"/>
      <sheetName val="[Offer.xls]d_m_yy_____10100_223"/>
      <sheetName val="[Offer.xls][Offer.xls]d_m_yy_70"/>
      <sheetName val="[Offer.xls][Offer.xls]d_m_yy_71"/>
      <sheetName val="[Offer.xls]d_m_yy_____10100_224"/>
      <sheetName val="[Offer.xls]d_m_yy_____10100_225"/>
      <sheetName val="[Offer.xls][Offer.xls]d_m_yy_72"/>
      <sheetName val="[Offer.xls][Offer.xls]d_m_yy_73"/>
      <sheetName val="[Offer.xls]d_m_yy_____10100_246"/>
      <sheetName val="[Offer.xls]d_m_yy_____10100_247"/>
      <sheetName val="[Offer.xls][Offer.xls]d_m_yy_94"/>
      <sheetName val="[Offer.xls][Offer.xls]d_m_yy_95"/>
      <sheetName val="[Offer.xls]d_m_yy_____10100_226"/>
      <sheetName val="[Offer.xls]d_m_yy_____10100_227"/>
      <sheetName val="[Offer.xls][Offer.xls]d_m_yy_74"/>
      <sheetName val="[Offer.xls][Offer.xls]d_m_yy_75"/>
      <sheetName val="[Offer.xls]d_m_yy_____10100_230"/>
      <sheetName val="[Offer.xls]d_m_yy_____10100_231"/>
      <sheetName val="[Offer.xls][Offer.xls]d_m_yy_78"/>
      <sheetName val="[Offer.xls][Offer.xls]d_m_yy_79"/>
      <sheetName val="[Offer.xls]d_m_yy_____10100_228"/>
      <sheetName val="[Offer.xls]d_m_yy_____10100_229"/>
      <sheetName val="[Offer.xls][Offer.xls]d_m_yy_76"/>
      <sheetName val="[Offer.xls][Offer.xls]d_m_yy_77"/>
      <sheetName val="[Offer.xls]d_m_yy_____10100_234"/>
      <sheetName val="[Offer.xls]d_m_yy_____10100_235"/>
      <sheetName val="[Offer.xls][Offer.xls]d_m_yy_82"/>
      <sheetName val="[Offer.xls][Offer.xls]d_m_yy_83"/>
      <sheetName val="[Offer.xls]d_m_yy_____10100_232"/>
      <sheetName val="[Offer.xls]d_m_yy_____10100_233"/>
      <sheetName val="[Offer.xls][Offer.xls]d_m_yy_80"/>
      <sheetName val="[Offer.xls][Offer.xls]d_m_yy_81"/>
      <sheetName val="[Offer.xls]d_m_yy_____10100_240"/>
      <sheetName val="[Offer.xls]d_m_yy_____10100_241"/>
      <sheetName val="[Offer.xls][Offer.xls]d_m_yy_88"/>
      <sheetName val="[Offer.xls][Offer.xls]d_m_yy_89"/>
      <sheetName val="[Offer.xls]d_m_yy_____10100_236"/>
      <sheetName val="[Offer.xls]d_m_yy_____10100_237"/>
      <sheetName val="[Offer.xls][Offer.xls]d_m_yy_84"/>
      <sheetName val="[Offer.xls][Offer.xls]d_m_yy_85"/>
      <sheetName val="[Offer.xls]d_m_yy_____10100_238"/>
      <sheetName val="[Offer.xls]d_m_yy_____10100_239"/>
      <sheetName val="[Offer.xls][Offer.xls]d_m_yy_86"/>
      <sheetName val="[Offer.xls][Offer.xls]d_m_yy_87"/>
      <sheetName val="[Offer.xls]d_m_yy_____10100_242"/>
      <sheetName val="[Offer.xls]d_m_yy_____10100_243"/>
      <sheetName val="[Offer.xls][Offer.xls]d_m_yy_90"/>
      <sheetName val="[Offer.xls][Offer.xls]d_m_yy_91"/>
      <sheetName val="[Offer.xls]d_m_yy_____10100_244"/>
      <sheetName val="[Offer.xls]d_m_yy_____10100_245"/>
      <sheetName val="[Offer.xls][Offer.xls]d_m_yy_92"/>
      <sheetName val="[Offer.xls][Offer.xls]d_m_yy_93"/>
      <sheetName val="[Offer.xls]d_m_yy_____10100_256"/>
      <sheetName val="[Offer.xls]d_m_yy_____10100_257"/>
      <sheetName val="[Offer.xls]d_m_yy_____10100_248"/>
      <sheetName val="[Offer.xls]d_m_yy_____10100_249"/>
      <sheetName val="[Offer.xls]d_m_yy_____10100_250"/>
      <sheetName val="[Offer.xls]d_m_yy_____10100_251"/>
      <sheetName val="[Offer.xls][Offer.xls]d_m_y_100"/>
      <sheetName val="[Offer.xls][Offer.xls]d_m_y_101"/>
      <sheetName val="[Offer.xls]d_m_yy_____10100_252"/>
      <sheetName val="[Offer.xls]d_m_yy_____10100_253"/>
      <sheetName val="[Offer.xls][Offer.xls]d_m_yy_96"/>
      <sheetName val="[Offer.xls][Offer.xls]d_m_yy_97"/>
      <sheetName val="[Offer.xls]d_m_yy_____10100_254"/>
      <sheetName val="[Offer.xls]d_m_yy_____10100_255"/>
      <sheetName val="[Offer.xls][Offer.xls]d_m_yy_98"/>
      <sheetName val="[Offer.xls][Offer.xls]d_m_yy_99"/>
      <sheetName val="[Offer.xls]d_m_yy_____10100_396"/>
      <sheetName val="[Offer.xls]d_m_yy_____10100_397"/>
      <sheetName val="[Offer.xls][Offer.xls]d_m_y_240"/>
      <sheetName val="[Offer.xls][Offer.xls]d_m_y_241"/>
      <sheetName val="[Offer.xls]d_m_yy_____10100_264"/>
      <sheetName val="[Offer.xls]d_m_yy_____10100_265"/>
      <sheetName val="[Offer.xls][Offer.xls]d_m_y_108"/>
      <sheetName val="[Offer.xls][Offer.xls]d_m_y_109"/>
      <sheetName val="[Offer.xls]d_m_yy_____10100_262"/>
      <sheetName val="[Offer.xls]d_m_yy_____10100_263"/>
      <sheetName val="[Offer.xls][Offer.xls]d_m_y_106"/>
      <sheetName val="[Offer.xls][Offer.xls]d_m_y_107"/>
      <sheetName val="[Offer.xls]d_m_yy_____10100_258"/>
      <sheetName val="[Offer.xls]d_m_yy_____10100_259"/>
      <sheetName val="[Offer.xls][Offer.xls]d_m_y_102"/>
      <sheetName val="[Offer.xls][Offer.xls]d_m_y_103"/>
      <sheetName val="[Offer.xls]d_m_yy_____10100_260"/>
      <sheetName val="[Offer.xls]d_m_yy_____10100_261"/>
      <sheetName val="[Offer.xls][Offer.xls]d_m_y_104"/>
      <sheetName val="[Offer.xls][Offer.xls]d_m_y_105"/>
      <sheetName val="[Offer.xls]d_m_yy_____10100_266"/>
      <sheetName val="[Offer.xls]d_m_yy_____10100_267"/>
      <sheetName val="[Offer.xls][Offer.xls]d_m_y_110"/>
      <sheetName val="[Offer.xls][Offer.xls]d_m_y_111"/>
      <sheetName val="[Offer.xls]d_m_yy_____10100_286"/>
      <sheetName val="[Offer.xls]d_m_yy_____10100_287"/>
      <sheetName val="[Offer.xls][Offer.xls]d_m_y_130"/>
      <sheetName val="[Offer.xls][Offer.xls]d_m_y_131"/>
      <sheetName val="[Offer.xls]d_m_yy_____10100_268"/>
      <sheetName val="[Offer.xls]d_m_yy_____10100_269"/>
      <sheetName val="[Offer.xls][Offer.xls]d_m_y_112"/>
      <sheetName val="[Offer.xls][Offer.xls]d_m_y_113"/>
      <sheetName val="[Offer.xls]d_m_yy_____10100_274"/>
      <sheetName val="[Offer.xls]d_m_yy_____10100_275"/>
      <sheetName val="[Offer.xls][Offer.xls]d_m_y_118"/>
      <sheetName val="[Offer.xls][Offer.xls]d_m_y_119"/>
      <sheetName val="[Offer.xls]d_m_yy_____10100_270"/>
      <sheetName val="[Offer.xls]d_m_yy_____10100_271"/>
      <sheetName val="[Offer.xls][Offer.xls]d_m_y_114"/>
      <sheetName val="[Offer.xls][Offer.xls]d_m_y_115"/>
      <sheetName val="[Offer.xls][Offer.xls]d/m/yy?_x0013_["/>
      <sheetName val="[Offer.xls][Offer.xls]d/m/yy_x0000__x0013_["/>
      <sheetName val="[Offer.xls]d_m_yy_____10100_272"/>
      <sheetName val="[Offer.xls]d_m_yy_____10100_273"/>
      <sheetName val="[Offer.xls][Offer.xls]d_m_y_116"/>
      <sheetName val="[Offer.xls][Offer.xls]d_m_y_117"/>
      <sheetName val="[Offer.xls]d_m_yy_____10100_276"/>
      <sheetName val="[Offer.xls]d_m_yy_____10100_277"/>
      <sheetName val="[Offer.xls][Offer.xls]d_m_y_120"/>
      <sheetName val="[Offer.xls][Offer.xls]d_m_y_121"/>
      <sheetName val="[Offer.xls]d_m_yy_____10100_278"/>
      <sheetName val="[Offer.xls]d_m_yy_____10100_279"/>
      <sheetName val="[Offer.xls][Offer.xls]d_m_y_122"/>
      <sheetName val="[Offer.xls][Offer.xls]d_m_y_123"/>
      <sheetName val="[Offer.xls]d_m_yy_____10100_280"/>
      <sheetName val="[Offer.xls]d_m_yy_____10100_281"/>
      <sheetName val="[Offer.xls][Offer.xls]d_m_y_124"/>
      <sheetName val="[Offer.xls][Offer.xls]d_m_y_125"/>
      <sheetName val="[Offer.xls]d_m_yy_____10100_282"/>
      <sheetName val="[Offer.xls]d_m_yy_____10100_283"/>
      <sheetName val="[Offer.xls][Offer.xls]d_m_y_126"/>
      <sheetName val="[Offer.xls][Offer.xls]d_m_y_127"/>
      <sheetName val="[Offer.xls]d_m_yy_____10100_284"/>
      <sheetName val="[Offer.xls]d_m_yy_____10100_285"/>
      <sheetName val="[Offer.xls][Offer.xls]d_m_y_128"/>
      <sheetName val="[Offer.xls][Offer.xls]d_m_y_129"/>
      <sheetName val="[Offer.xls]d_m_yy_____10100_300"/>
      <sheetName val="[Offer.xls]d_m_yy_____10100_301"/>
      <sheetName val="[Offer.xls][Offer.xls]d_m_y_144"/>
      <sheetName val="[Offer.xls][Offer.xls]d_m_y_145"/>
      <sheetName val="[Offer.xls]d_m_yy_____10100_288"/>
      <sheetName val="[Offer.xls]d_m_yy_____10100_289"/>
      <sheetName val="[Offer.xls][Offer.xls]d_m_y_132"/>
      <sheetName val="[Offer.xls][Offer.xls]d_m_y_133"/>
      <sheetName val="[Offer.xls]d_m_yy_____10100_290"/>
      <sheetName val="[Offer.xls]d_m_yy_____10100_291"/>
      <sheetName val="[Offer.xls][Offer.xls]d_m_y_134"/>
      <sheetName val="[Offer.xls][Offer.xls]d_m_y_135"/>
      <sheetName val="[Offer.xls]d_m_yy_____10100_292"/>
      <sheetName val="[Offer.xls]d_m_yy_____10100_293"/>
      <sheetName val="[Offer.xls][Offer.xls]d_m_y_136"/>
      <sheetName val="[Offer.xls][Offer.xls]d_m_y_137"/>
      <sheetName val="[Offer.xls]d_m_yy_____10100_294"/>
      <sheetName val="[Offer.xls]d_m_yy_____10100_295"/>
      <sheetName val="[Offer.xls][Offer.xls]d_m_y_138"/>
      <sheetName val="[Offer.xls][Offer.xls]d_m_y_139"/>
      <sheetName val="[Offer.xls]d_m_yy_____10100_296"/>
      <sheetName val="[Offer.xls]d_m_yy_____10100_297"/>
      <sheetName val="[Offer.xls][Offer.xls]d_m_y_140"/>
      <sheetName val="[Offer.xls][Offer.xls]d_m_y_141"/>
      <sheetName val="[Offer.xls]d_m_yy_____10100_298"/>
      <sheetName val="[Offer.xls]d_m_yy_____10100_299"/>
      <sheetName val="[Offer.xls][Offer.xls]d_m_y_142"/>
      <sheetName val="[Offer.xls][Offer.xls]d_m_y_143"/>
      <sheetName val="[Offer.xls]d_m_yy_____10100_302"/>
      <sheetName val="[Offer.xls]d_m_yy_____10100_303"/>
      <sheetName val="[Offer.xls][Offer.xls]d_m_y_146"/>
      <sheetName val="[Offer.xls][Offer.xls]d_m_y_147"/>
      <sheetName val="[Offer.xls]d_m_yy_____10100_346"/>
      <sheetName val="[Offer.xls]d_m_yy_____10100_347"/>
      <sheetName val="[Offer.xls][Offer.xls]d_m_y_190"/>
      <sheetName val="[Offer.xls][Offer.xls]d_m_y_191"/>
      <sheetName val="[Offer.xls]d_m_yy_____10100_342"/>
      <sheetName val="[Offer.xls]d_m_yy_____10100_343"/>
      <sheetName val="[Offer.xls][Offer.xls]d_m_y_186"/>
      <sheetName val="[Offer.xls][Offer.xls]d_m_y_187"/>
      <sheetName val="[Offer.xls]d_m_yy_____10100_334"/>
      <sheetName val="[Offer.xls]d_m_yy_____10100_335"/>
      <sheetName val="[Offer.xls][Offer.xls]d_m_y_178"/>
      <sheetName val="[Offer.xls][Offer.xls]d_m_y_179"/>
      <sheetName val="[Offer.xls]d_m_yy_____10100_310"/>
      <sheetName val="[Offer.xls]d_m_yy_____10100_311"/>
      <sheetName val="[Offer.xls][Offer.xls]d_m_y_154"/>
      <sheetName val="[Offer.xls][Offer.xls]d_m_y_155"/>
      <sheetName val="[Offer.xls]d_m_yy_____10100_304"/>
      <sheetName val="[Offer.xls]d_m_yy_____10100_305"/>
      <sheetName val="[Offer.xls][Offer.xls]d_m_y_148"/>
      <sheetName val="[Offer.xls][Offer.xls]d_m_y_149"/>
      <sheetName val="[Offer.xls]d_m_yy_____10100_306"/>
      <sheetName val="[Offer.xls]d_m_yy_____10100_307"/>
      <sheetName val="[Offer.xls][Offer.xls]d_m_y_150"/>
      <sheetName val="[Offer.xls][Offer.xls]d_m_y_151"/>
      <sheetName val="[Offer.xls]d_m_yy_____10100_308"/>
      <sheetName val="[Offer.xls]d_m_yy_____10100_309"/>
      <sheetName val="[Offer.xls][Offer.xls]d_m_y_152"/>
      <sheetName val="[Offer.xls][Offer.xls]d_m_y_153"/>
      <sheetName val="[Offer.xls]d_m_yy_____10100_316"/>
      <sheetName val="[Offer.xls]d_m_yy_____10100_317"/>
      <sheetName val="[Offer.xls][Offer.xls]d_m_y_160"/>
      <sheetName val="[Offer.xls][Offer.xls]d_m_y_161"/>
      <sheetName val="[Offer.xls]d_m_yy_____10100_312"/>
      <sheetName val="[Offer.xls]d_m_yy_____10100_313"/>
      <sheetName val="[Offer.xls][Offer.xls]d_m_y_156"/>
      <sheetName val="[Offer.xls][Offer.xls]d_m_y_157"/>
      <sheetName val="[Offer.xls]d_m_yy_____10100_314"/>
      <sheetName val="[Offer.xls]d_m_yy_____10100_315"/>
      <sheetName val="[Offer.xls][Offer.xls]d_m_y_158"/>
      <sheetName val="[Offer.xls][Offer.xls]d_m_y_159"/>
      <sheetName val="[Offer.xls]d_m_yy_____10100_318"/>
      <sheetName val="[Offer.xls]d_m_yy_____10100_319"/>
      <sheetName val="[Offer.xls][Offer.xls]d_m_y_162"/>
      <sheetName val="[Offer.xls][Offer.xls]d_m_y_163"/>
      <sheetName val="[Offer.xls]d_m_yy_____10100_320"/>
      <sheetName val="[Offer.xls]d_m_yy_____10100_321"/>
      <sheetName val="[Offer.xls][Offer.xls]d_m_y_164"/>
      <sheetName val="[Offer.xls][Offer.xls]d_m_y_165"/>
      <sheetName val="[Offer.xls]d_m_yy_____10100_322"/>
      <sheetName val="[Offer.xls]d_m_yy_____10100_323"/>
      <sheetName val="[Offer.xls][Offer.xls]d_m_y_166"/>
      <sheetName val="[Offer.xls][Offer.xls]d_m_y_167"/>
      <sheetName val="[Offer.xls]d_m_yy_____10100_324"/>
      <sheetName val="[Offer.xls]d_m_yy_____10100_325"/>
      <sheetName val="[Offer.xls][Offer.xls]d_m_y_168"/>
      <sheetName val="[Offer.xls][Offer.xls]d_m_y_169"/>
      <sheetName val="[Offer.xls]d_m_yy_____10100_330"/>
      <sheetName val="[Offer.xls]d_m_yy_____10100_331"/>
      <sheetName val="[Offer.xls][Offer.xls]d_m_y_174"/>
      <sheetName val="[Offer.xls][Offer.xls]d_m_y_175"/>
      <sheetName val="[Offer.xls]d_m_yy_____10100_326"/>
      <sheetName val="[Offer.xls]d_m_yy_____10100_327"/>
      <sheetName val="[Offer.xls][Offer.xls]d_m_y_170"/>
      <sheetName val="[Offer.xls][Offer.xls]d_m_y_171"/>
      <sheetName val="[Offer.xls]d_m_yy_____10100_328"/>
      <sheetName val="[Offer.xls]d_m_yy_____10100_329"/>
      <sheetName val="[Offer.xls][Offer.xls]d_m_y_172"/>
      <sheetName val="[Offer.xls][Offer.xls]d_m_y_173"/>
      <sheetName val="[Offer.xls]d_m_yy_____10100_332"/>
      <sheetName val="[Offer.xls]d_m_yy_____10100_333"/>
      <sheetName val="[Offer.xls][Offer.xls]d_m_y_176"/>
      <sheetName val="[Offer.xls][Offer.xls]d_m_y_177"/>
      <sheetName val="[Offer.xls]d_m_yy_____10100_336"/>
      <sheetName val="[Offer.xls]d_m_yy_____10100_337"/>
      <sheetName val="[Offer.xls][Offer.xls]d_m_y_180"/>
      <sheetName val="[Offer.xls][Offer.xls]d_m_y_181"/>
      <sheetName val="[Offer.xls]d_m_yy_____10100_338"/>
      <sheetName val="[Offer.xls]d_m_yy_____10100_339"/>
      <sheetName val="[Offer.xls][Offer.xls]d_m_y_182"/>
      <sheetName val="[Offer.xls][Offer.xls]d_m_y_183"/>
      <sheetName val="[Offer.xls]d_m_yy_____10100_340"/>
      <sheetName val="[Offer.xls]d_m_yy_____10100_341"/>
      <sheetName val="[Offer.xls][Offer.xls]d_m_y_184"/>
      <sheetName val="[Offer.xls][Offer.xls]d_m_y_185"/>
      <sheetName val="[Offer.xls]d_m_yy_____10100_344"/>
      <sheetName val="[Offer.xls]d_m_yy_____10100_345"/>
      <sheetName val="[Offer.xls][Offer.xls]d_m_y_188"/>
      <sheetName val="[Offer.xls][Offer.xls]d_m_y_189"/>
      <sheetName val="[Offer.xls]d_m_yy_____10100_348"/>
      <sheetName val="[Offer.xls]d_m_yy_____10100_349"/>
      <sheetName val="[Offer.xls][Offer.xls]d_m_y_192"/>
      <sheetName val="[Offer.xls][Offer.xls]d_m_y_193"/>
      <sheetName val="[Offer.xls]d_m_yy_____10100_350"/>
      <sheetName val="[Offer.xls]d_m_yy_____10100_351"/>
      <sheetName val="[Offer.xls][Offer.xls]d_m_y_194"/>
      <sheetName val="[Offer.xls][Offer.xls]d_m_y_195"/>
      <sheetName val="[Offer.xls]d_m_yy_____10100_352"/>
      <sheetName val="[Offer.xls]d_m_yy_____10100_353"/>
      <sheetName val="[Offer.xls][Offer.xls]d_m_y_196"/>
      <sheetName val="[Offer.xls][Offer.xls]d_m_y_197"/>
      <sheetName val="[Offer.xls]d_m_yy_____10100_354"/>
      <sheetName val="[Offer.xls]d_m_yy_____10100_355"/>
      <sheetName val="[Offer.xls][Offer.xls]d_m_y_198"/>
      <sheetName val="[Offer.xls][Offer.xls]d_m_y_199"/>
      <sheetName val="[Offer.xls]d_m_yy_____10100_356"/>
      <sheetName val="[Offer.xls]d_m_yy_____10100_357"/>
      <sheetName val="[Offer.xls][Offer.xls]d_m_y_200"/>
      <sheetName val="[Offer.xls][Offer.xls]d_m_y_201"/>
      <sheetName val="[Offer.xls]d_m_yy_____10100_358"/>
      <sheetName val="[Offer.xls]d_m_yy_____10100_359"/>
      <sheetName val="[Offer.xls][Offer.xls]d_m_y_202"/>
      <sheetName val="[Offer.xls][Offer.xls]d_m_y_203"/>
      <sheetName val="[Offer.xls]d_m_yy_____10100_376"/>
      <sheetName val="[Offer.xls]d_m_yy_____10100_377"/>
      <sheetName val="[Offer.xls][Offer.xls]d_m_y_220"/>
      <sheetName val="[Offer.xls][Offer.xls]d_m_y_221"/>
      <sheetName val="[Offer.xls]d_m_yy_____10100_372"/>
      <sheetName val="[Offer.xls]d_m_yy_____10100_373"/>
      <sheetName val="[Offer.xls][Offer.xls]d_m_y_216"/>
      <sheetName val="[Offer.xls][Offer.xls]d_m_y_217"/>
      <sheetName val="[Offer.xls]d_m_yy_____10100_370"/>
      <sheetName val="[Offer.xls]d_m_yy_____10100_371"/>
      <sheetName val="[Offer.xls][Offer.xls]d_m_y_214"/>
      <sheetName val="[Offer.xls][Offer.xls]d_m_y_215"/>
      <sheetName val="[Offer.xls]d_m_yy_____10100_362"/>
      <sheetName val="[Offer.xls]d_m_yy_____10100_363"/>
      <sheetName val="[Offer.xls][Offer.xls]d_m_y_206"/>
      <sheetName val="[Offer.xls][Offer.xls]d_m_y_207"/>
      <sheetName val="[Offer.xls]d_m_yy_____10100_360"/>
      <sheetName val="[Offer.xls]d_m_yy_____10100_361"/>
      <sheetName val="[Offer.xls][Offer.xls]d_m_y_204"/>
      <sheetName val="[Offer.xls][Offer.xls]d_m_y_205"/>
      <sheetName val="[Offer.xls]d_m_yy_____10100_364"/>
      <sheetName val="[Offer.xls]d_m_yy_____10100_365"/>
      <sheetName val="[Offer.xls][Offer.xls]d_m_y_208"/>
      <sheetName val="[Offer.xls][Offer.xls]d_m_y_209"/>
      <sheetName val="[Offer.xls]d_m_yy_____10100_366"/>
      <sheetName val="[Offer.xls]d_m_yy_____10100_367"/>
      <sheetName val="[Offer.xls][Offer.xls]d_m_y_210"/>
      <sheetName val="[Offer.xls][Offer.xls]d_m_y_211"/>
      <sheetName val="[Offer.xls]d_m_yy_____10100_368"/>
      <sheetName val="[Offer.xls]d_m_yy_____10100_369"/>
      <sheetName val="[Offer.xls][Offer.xls]d_m_y_212"/>
      <sheetName val="[Offer.xls][Offer.xls]d_m_y_213"/>
      <sheetName val="[Offer.xls]d_m_yy_____10100_374"/>
      <sheetName val="[Offer.xls]d_m_yy_____10100_375"/>
      <sheetName val="[Offer.xls][Offer.xls]d_m_y_218"/>
      <sheetName val="[Offer.xls][Offer.xls]d_m_y_219"/>
      <sheetName val="[Offer.xls]d_m_yy_____10100_382"/>
      <sheetName val="[Offer.xls]d_m_yy_____10100_383"/>
      <sheetName val="[Offer.xls][Offer.xls]d_m_y_226"/>
      <sheetName val="[Offer.xls][Offer.xls]d_m_y_227"/>
      <sheetName val="[Offer.xls]d_m_yy_____10100_378"/>
      <sheetName val="[Offer.xls]d_m_yy_____10100_379"/>
      <sheetName val="[Offer.xls][Offer.xls]d_m_y_222"/>
      <sheetName val="[Offer.xls][Offer.xls]d_m_y_223"/>
      <sheetName val="[Offer.xls]d_m_yy_____10100_380"/>
      <sheetName val="[Offer.xls]d_m_yy_____10100_381"/>
      <sheetName val="[Offer.xls][Offer.xls]d_m_y_224"/>
      <sheetName val="[Offer.xls][Offer.xls]d_m_y_225"/>
      <sheetName val="[Offer.xls]d_m_yy_____10100_384"/>
      <sheetName val="[Offer.xls]d_m_yy_____10100_385"/>
      <sheetName val="[Offer.xls][Offer.xls]d_m_y_228"/>
      <sheetName val="[Offer.xls][Offer.xls]d_m_y_229"/>
      <sheetName val="[Offer.xls]d_m_yy_____10100_386"/>
      <sheetName val="[Offer.xls]d_m_yy_____10100_387"/>
      <sheetName val="[Offer.xls][Offer.xls]d_m_y_230"/>
      <sheetName val="[Offer.xls][Offer.xls]d_m_y_231"/>
      <sheetName val="[Offer.xls]d_m_yy_____10100_388"/>
      <sheetName val="[Offer.xls]d_m_yy_____10100_389"/>
      <sheetName val="[Offer.xls][Offer.xls]d_m_y_232"/>
      <sheetName val="[Offer.xls][Offer.xls]d_m_y_233"/>
      <sheetName val="[Offer.xls]d_m_yy_____10100_392"/>
      <sheetName val="[Offer.xls]d_m_yy_____10100_393"/>
      <sheetName val="[Offer.xls][Offer.xls]d_m_y_236"/>
      <sheetName val="[Offer.xls][Offer.xls]d_m_y_237"/>
      <sheetName val="[Offer.xls]d_m_yy_____10100_390"/>
      <sheetName val="[Offer.xls]d_m_yy_____10100_391"/>
      <sheetName val="[Offer.xls][Offer.xls]d_m_y_234"/>
      <sheetName val="[Offer.xls][Offer.xls]d_m_y_235"/>
      <sheetName val="[Offer.xls]d_m_yy_____10100_394"/>
      <sheetName val="[Offer.xls]d_m_yy_____10100_395"/>
      <sheetName val="[Offer.xls][Offer.xls]d_m_y_238"/>
      <sheetName val="[Offer.xls][Offer.xls]d_m_y_239"/>
      <sheetName val="[Offer.xls]d_m_yy_____10100_398"/>
      <sheetName val="[Offer.xls]d_m_yy_____10100_399"/>
      <sheetName val="[Offer.xls][Offer.xls]d_m_y_242"/>
      <sheetName val="[Offer.xls][Offer.xls]d_m_y_243"/>
    </sheetNames>
    <sheetDataSet>
      <sheetData sheetId="0" refreshError="1">
        <row r="8">
          <cell r="J8">
            <v>1.17746</v>
          </cell>
        </row>
        <row r="12">
          <cell r="J12">
            <v>0.03</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8-Managed Services-v7.2"/>
      <sheetName val="Config"/>
      <sheetName val="BALAN1"/>
      <sheetName val="M list=Cement Mill"/>
      <sheetName val="Instructions"/>
      <sheetName val="Filter Data"/>
      <sheetName val="Invoice"/>
      <sheetName val="Customize Your Invoice"/>
      <sheetName val="Sheet2"/>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 val="MS NET"/>
      <sheetName val="Input"/>
      <sheetName val="Sweeper Machine"/>
      <sheetName val="PRECAST lightconc-II"/>
      <sheetName val="consolidated"/>
      <sheetName val="labels"/>
      <sheetName val="Sheet2"/>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Content Instruction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Series306"/>
      <sheetName val="ACS(1)"/>
      <sheetName val="FAS-C(4)"/>
      <sheetName val="CCTV(old)"/>
    </sheetNames>
    <sheetDataSet>
      <sheetData sheetId="0"/>
      <sheetData sheetId="1"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2"/>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Invoice"/>
      <sheetName val="Customize Your Invoi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 val="DC-HA"/>
      <sheetName val="VA- Edge Appliance"/>
      <sheetName val="DR-Clou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cell r="C91" t="str">
            <v>DB</v>
          </cell>
          <cell r="K91" t="str">
            <v>Physical</v>
          </cell>
          <cell r="N91" t="str">
            <v>Data Center</v>
          </cell>
          <cell r="O91" t="str">
            <v>Bundle</v>
          </cell>
          <cell r="V91" t="str">
            <v>Yes</v>
          </cell>
          <cell r="W91" t="str">
            <v>App Level</v>
          </cell>
        </row>
        <row r="92">
          <cell r="A92" t="str">
            <v>MAS MS</v>
          </cell>
          <cell r="C92" t="str">
            <v>App</v>
          </cell>
          <cell r="K92" t="str">
            <v>Virtual</v>
          </cell>
          <cell r="N92" t="str">
            <v>Enterprise</v>
          </cell>
          <cell r="O92" t="str">
            <v>Core based</v>
          </cell>
          <cell r="V92" t="str">
            <v>No</v>
          </cell>
          <cell r="W92" t="str">
            <v>DB Level</v>
          </cell>
        </row>
        <row r="93">
          <cell r="A93" t="str">
            <v>MAS SAP</v>
          </cell>
          <cell r="C93" t="str">
            <v>Web</v>
          </cell>
          <cell r="N93" t="str">
            <v>Standard</v>
          </cell>
          <cell r="O93" t="str">
            <v>User based</v>
          </cell>
          <cell r="W93" t="str">
            <v>OS Level</v>
          </cell>
        </row>
        <row r="94">
          <cell r="A94" t="str">
            <v>MAS</v>
          </cell>
          <cell r="N94" t="str">
            <v>Express</v>
          </cell>
          <cell r="O94" t="str">
            <v>Free</v>
          </cell>
          <cell r="W94" t="str">
            <v>Hypervisor Level</v>
          </cell>
        </row>
        <row r="95">
          <cell r="A95" t="str">
            <v>CRS</v>
          </cell>
          <cell r="N95" t="str">
            <v>Free</v>
          </cell>
          <cell r="W95" t="str">
            <v>Storage Level</v>
          </cell>
        </row>
        <row r="96">
          <cell r="A96" t="str">
            <v>CIS</v>
          </cell>
          <cell r="W96" t="str">
            <v>3rd Party</v>
          </cell>
        </row>
      </sheetData>
      <sheetData sheetId="13">
        <row r="91">
          <cell r="C91" t="str">
            <v>TechBridge</v>
          </cell>
        </row>
      </sheetData>
      <sheetData sheetId="14"/>
      <sheetData sheetId="1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ware Inventory"/>
      <sheetName val="Deleted Devices"/>
      <sheetName val="Rack Elevations "/>
      <sheetName val="Validations"/>
      <sheetName val="Change Log"/>
      <sheetName val="Storage"/>
    </sheetNames>
    <sheetDataSet>
      <sheetData sheetId="0">
        <row r="3">
          <cell r="F3">
            <v>0</v>
          </cell>
        </row>
      </sheetData>
      <sheetData sheetId="1">
        <row r="3">
          <cell r="F3">
            <v>0</v>
          </cell>
        </row>
      </sheetData>
      <sheetData sheetId="2"/>
      <sheetData sheetId="3">
        <row r="3">
          <cell r="F3">
            <v>0</v>
          </cell>
        </row>
      </sheetData>
      <sheetData sheetId="4">
        <row r="3">
          <cell r="F3">
            <v>0</v>
          </cell>
        </row>
        <row r="4">
          <cell r="F4">
            <v>1</v>
          </cell>
        </row>
        <row r="5">
          <cell r="F5">
            <v>2</v>
          </cell>
        </row>
        <row r="6">
          <cell r="F6">
            <v>4</v>
          </cell>
        </row>
        <row r="7">
          <cell r="F7">
            <v>6</v>
          </cell>
        </row>
        <row r="8">
          <cell r="F8">
            <v>8</v>
          </cell>
        </row>
      </sheetData>
      <sheetData sheetId="5"/>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External Assurance"/>
      <sheetName val="Security Fundamentals"/>
      <sheetName val="Security Procedures"/>
      <sheetName val="Life Safety &amp; ERP"/>
      <sheetName val="Base data Security Fundamentals"/>
      <sheetName val="Base data Security Procedures"/>
      <sheetName val="Base data - Life Safety"/>
      <sheetName val="Design"/>
      <sheetName val="Wall W3"/>
      <sheetName val="nxR8i"/>
      <sheetName val="ms net"/>
      <sheetName val="1-8"/>
    </sheetNames>
    <sheetDataSet>
      <sheetData sheetId="0" refreshError="1"/>
      <sheetData sheetId="1" refreshError="1"/>
      <sheetData sheetId="2" refreshError="1"/>
      <sheetData sheetId="3" refreshError="1"/>
      <sheetData sheetId="4" refreshError="1"/>
      <sheetData sheetId="5" refreshError="1"/>
      <sheetData sheetId="6">
        <row r="116">
          <cell r="D116" t="str">
            <v>None</v>
          </cell>
        </row>
        <row r="117">
          <cell r="D117" t="str">
            <v>Employee Awareness - Training Sessions</v>
          </cell>
        </row>
        <row r="118">
          <cell r="D118" t="str">
            <v>Awareness Posters</v>
          </cell>
        </row>
        <row r="119">
          <cell r="D119" t="str">
            <v>Electronic Surveillance</v>
          </cell>
        </row>
        <row r="120">
          <cell r="D120" t="str">
            <v>RFID active tags</v>
          </cell>
        </row>
        <row r="121">
          <cell r="D121" t="str">
            <v>Others Specify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
      <sheetName val="SkLabVariable"/>
      <sheetName val="OtherVariable"/>
      <sheetName val="YearlyVariable"/>
      <sheetName val="SkLabMonthlyVariable"/>
      <sheetName val="OtherMonthlyVariable"/>
      <sheetName val="Bid_Information"/>
      <sheetName val="Skilled_Labor_Input"/>
      <sheetName val="Othe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s>
    <sheetDataSet>
      <sheetData sheetId="0"/>
      <sheetData sheetId="1"/>
      <sheetData sheetId="2"/>
      <sheetData sheetId="3"/>
      <sheetData sheetId="4"/>
      <sheetData sheetId="5"/>
      <sheetData sheetId="6"/>
      <sheetData sheetId="7"/>
      <sheetData sheetId="8" refreshError="1">
        <row r="124">
          <cell r="GA124">
            <v>0</v>
          </cell>
        </row>
        <row r="237">
          <cell r="GA237">
            <v>0</v>
          </cell>
        </row>
        <row r="463">
          <cell r="GA463">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Headings"/>
      <sheetName val="TBAL9697 -group wise  sdpl"/>
      <sheetName val="PANEL ANNEXURE"/>
      <sheetName val="PCS"/>
      <sheetName val="Estimate"/>
      <sheetName val="Cost summary"/>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Timesheet"/>
      <sheetName val="FACTOR"/>
      <sheetName val="Sheet1"/>
      <sheetName val="Indices"/>
      <sheetName val="Lead"/>
      <sheetName val="dBase"/>
      <sheetName val="HPL"/>
      <sheetName val="Fill this out first..."/>
      <sheetName val="预算"/>
      <sheetName val="PUMP"/>
      <sheetName val="96수출"/>
      <sheetName val="Costing"/>
      <sheetName val="VALIDATIONS"/>
      <sheetName val="X rate"/>
      <sheetName val="월선수금"/>
      <sheetName val="Summary year Plan"/>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Staff Acco."/>
      <sheetName val="Fin. Assumpt. - Sensitivities"/>
      <sheetName val="Misc.Liq"/>
      <sheetName val="Results"/>
      <sheetName val="Invoice"/>
      <sheetName val="Working"/>
      <sheetName val="Conc"/>
      <sheetName val="Codes"/>
      <sheetName val="S 2"/>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협조전"/>
      <sheetName val="Sheet14"/>
      <sheetName val="Sheet15"/>
      <sheetName val="I-CO"/>
      <sheetName val="P&amp;L"/>
      <sheetName val="Phase 1"/>
      <sheetName val="Phase 2"/>
      <sheetName val="Pay_Sep06"/>
      <sheetName val="Pay Rec"/>
      <sheetName val="Assumptions"/>
      <sheetName val="Other Inc"/>
      <sheetName val="F&amp;B"/>
      <sheetName val="Admin"/>
      <sheetName val="Room Rev"/>
      <sheetName val="SMS Format"/>
      <sheetName val="External"/>
      <sheetName val="SUPPLY -Sanitary Fixtures"/>
      <sheetName val="ITEMS FOR CIVIL TENDER"/>
      <sheetName val="Sheet3"/>
      <sheetName val="analysis"/>
      <sheetName val="Global Assm."/>
      <sheetName val="PointNo.5"/>
      <sheetName val="Summary"/>
      <sheetName val="ESTIMATE for approval"/>
      <sheetName val="NPV"/>
      <sheetName val="Construction"/>
      <sheetName val="GreenSheet"/>
      <sheetName val="Basic Rates"/>
      <sheetName val="07016, Master List-Major Minor"/>
      <sheetName val="HEAD"/>
      <sheetName val="MASTER_RATE ANALYSIS"/>
      <sheetName val="Factors"/>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LOM_MOD"/>
      <sheetName val="Variables"/>
      <sheetName val="3cd Annexure"/>
      <sheetName val="Reference Information"/>
      <sheetName val="Employee List"/>
      <sheetName val="Sales Office"/>
      <sheetName val="HVAC1"/>
      <sheetName val="SECURITY 1"/>
      <sheetName val="collections plan 0401"/>
      <sheetName val="DB_REL_SIDC_UP"/>
      <sheetName val="Other_Input"/>
      <sheetName val="sept-plan"/>
      <sheetName val="Civil Boq"/>
      <sheetName val="Traffic"/>
      <sheetName val="Area St"/>
      <sheetName val="Sump_cal"/>
      <sheetName val="Estimation"/>
      <sheetName val="FORM7"/>
      <sheetName val="sqn_ldr_3 Unit_2_"/>
      <sheetName val="Assumption Inputs"/>
      <sheetName val="Cal"/>
      <sheetName val="labour coeff"/>
      <sheetName val="Msht-Int-Msht-GF"/>
      <sheetName val="Detail"/>
      <sheetName val="ISO RECON"/>
      <sheetName val="Back filling"/>
      <sheetName val="NT items summary"/>
      <sheetName val="Vehicles"/>
      <sheetName val="VCH-SLC"/>
      <sheetName val="Supplier"/>
      <sheetName val="Wordsdata"/>
      <sheetName val="item"/>
      <sheetName val="LOCAL RATES"/>
      <sheetName val="Meas.-Hotel Part"/>
      <sheetName val="Risk &amp; Opportunities"/>
      <sheetName val="PROG_DATA"/>
      <sheetName val="type ahead combo"/>
      <sheetName val="adp-budget"/>
      <sheetName val="Constants"/>
      <sheetName val="labour rates"/>
      <sheetName val="Msht 5F"/>
      <sheetName val="Cont"/>
      <sheetName val="RCC,Ret. Wall"/>
      <sheetName val="Fill_this_out_first___"/>
      <sheetName val="電気設備表"/>
      <sheetName val="COST"/>
      <sheetName val="Master"/>
      <sheetName val="FTE Totals_Plan"/>
      <sheetName val="Masonry"/>
      <sheetName val="Assmpns"/>
      <sheetName val="Erection grider"/>
      <sheetName val="doq"/>
      <sheetName val="keyword"/>
      <sheetName val="p&amp;m"/>
      <sheetName val="Order Info"/>
      <sheetName val="BoQ-1"/>
      <sheetName val="BoQ-2"/>
      <sheetName val="INDEX"/>
      <sheetName val="DATA BOQ"/>
      <sheetName val="zone-8"/>
      <sheetName val="MHNO_LEV"/>
      <sheetName val="PA- Consutant "/>
      <sheetName val="PEDESB"/>
      <sheetName val="HOLIDAY LIST"/>
      <sheetName val="DASH BOARD"/>
      <sheetName val="#REF!"/>
      <sheetName val="재1"/>
      <sheetName val="Status Control Sheet"/>
      <sheetName val="Hardware"/>
      <sheetName val="Dimensions"/>
      <sheetName val="crews"/>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Position Class"/>
      <sheetName val="Timeoffice"/>
      <sheetName val="maing1"/>
      <sheetName val="Ext Works"/>
      <sheetName val="F1a-Pile"/>
      <sheetName val="Approved MTD Proj #'s"/>
      <sheetName val="M"/>
      <sheetName val="N"/>
      <sheetName val="Budgetary office area"/>
      <sheetName val="BASIS -DEC 08"/>
      <sheetName val="Block A - BOQ"/>
      <sheetName val="Cover"/>
      <sheetName val="Material"/>
      <sheetName val="electr_ work CA "/>
      <sheetName val="L.Chg"/>
      <sheetName val="RA-markate"/>
      <sheetName val="Register"/>
      <sheetName val="d-safe DELUXE"/>
      <sheetName val="Diawise steel abstract"/>
      <sheetName val="RA"/>
      <sheetName val="beam-reinft-IIInd floor"/>
      <sheetName val="Lowside"/>
      <sheetName val="Driveway Beams"/>
      <sheetName val="Mat_Cost"/>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Building 1"/>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 val="Überblick"/>
    </sheetNames>
    <sheetDataSet>
      <sheetData sheetId="0"/>
      <sheetData sheetId="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PCS"/>
      <sheetName val="Headings"/>
      <sheetName val="LIST OF MAKES"/>
      <sheetName val="factors"/>
      <sheetName val="Indices"/>
      <sheetName val="Civil Works"/>
      <sheetName val="Material "/>
      <sheetName val="Labour &amp; Plant"/>
      <sheetName val="INPUT SHEET"/>
      <sheetName val="RES-PLANNING"/>
      <sheetName val="Extra Item"/>
      <sheetName val="Pay_Sep06"/>
      <sheetName val="F1a-Pile"/>
      <sheetName val="Project Budget Worksheet"/>
      <sheetName val="Voucher"/>
      <sheetName val="Lead"/>
      <sheetName val="Site Dev BOQ"/>
      <sheetName val="strand"/>
      <sheetName val="master"/>
      <sheetName val="IO_LIST"/>
      <sheetName val="Wordsdata"/>
      <sheetName val="item"/>
      <sheetName val="beam-reinft"/>
      <sheetName val="water prop."/>
      <sheetName val="TBAL9697 -group wise  sdpl"/>
      <sheetName val="Detail"/>
      <sheetName val="loadcal"/>
      <sheetName val="GBW"/>
      <sheetName val="Data sheet"/>
      <sheetName val="Assumptions"/>
      <sheetName val="horizontal"/>
      <sheetName val="Intro"/>
      <sheetName val="CFForecast detail"/>
      <sheetName val="Summary"/>
      <sheetName val="HPL"/>
      <sheetName val="Fill this out first..."/>
      <sheetName val="Sens"/>
      <sheetName val="Data"/>
      <sheetName val="BASIS -DEC 08"/>
      <sheetName val="INDIGINEOUS ITEMS "/>
      <sheetName val="预算"/>
      <sheetName val="Estimate"/>
      <sheetName val="calcul"/>
      <sheetName val="INTERIOR"/>
      <sheetName val="RCC,Ret. Wall"/>
      <sheetName val="Masonry"/>
      <sheetName val="OpRes"/>
      <sheetName val="PROG_DATA"/>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1-8"/>
      <sheetName val="IO LIST"/>
      <sheetName val="xref"/>
      <sheetName val="Reference"/>
      <sheetName val="instructions"/>
      <sheetName val="Sheet2"/>
      <sheetName val="Überblick"/>
      <sheetName val="Content Instructions"/>
      <sheetName val="MSS Enagement Summary Form"/>
    </sheetNames>
    <sheetDataSet>
      <sheetData sheetId="0" refreshError="1">
        <row r="1">
          <cell r="F1">
            <v>39172</v>
          </cell>
        </row>
        <row r="2">
          <cell r="D2">
            <v>39172</v>
          </cell>
        </row>
        <row r="4">
          <cell r="D4">
            <v>0</v>
          </cell>
        </row>
        <row r="5">
          <cell r="D5">
            <v>0</v>
          </cell>
        </row>
        <row r="6">
          <cell r="D6">
            <v>0</v>
          </cell>
        </row>
        <row r="7">
          <cell r="D7">
            <v>8934724.4800000004</v>
          </cell>
        </row>
        <row r="8">
          <cell r="D8">
            <v>0</v>
          </cell>
        </row>
        <row r="9">
          <cell r="D9">
            <v>0</v>
          </cell>
        </row>
        <row r="10">
          <cell r="D10">
            <v>63862</v>
          </cell>
        </row>
        <row r="11">
          <cell r="D11">
            <v>85000</v>
          </cell>
        </row>
        <row r="12">
          <cell r="D12">
            <v>54440</v>
          </cell>
        </row>
        <row r="13">
          <cell r="D13">
            <v>0</v>
          </cell>
        </row>
        <row r="14">
          <cell r="D14">
            <v>0</v>
          </cell>
        </row>
        <row r="15">
          <cell r="D15">
            <v>0</v>
          </cell>
        </row>
        <row r="16">
          <cell r="D16">
            <v>0</v>
          </cell>
        </row>
        <row r="17">
          <cell r="D17">
            <v>952316</v>
          </cell>
        </row>
        <row r="18">
          <cell r="D18">
            <v>0</v>
          </cell>
        </row>
        <row r="19">
          <cell r="D19">
            <v>168</v>
          </cell>
        </row>
        <row r="20">
          <cell r="D20">
            <v>0</v>
          </cell>
        </row>
        <row r="21">
          <cell r="D21">
            <v>68711.8</v>
          </cell>
        </row>
        <row r="22">
          <cell r="D22">
            <v>2080052.89</v>
          </cell>
        </row>
        <row r="23">
          <cell r="D23">
            <v>19425.22</v>
          </cell>
        </row>
        <row r="24">
          <cell r="D24">
            <v>0</v>
          </cell>
        </row>
        <row r="25">
          <cell r="D25">
            <v>0</v>
          </cell>
        </row>
        <row r="26">
          <cell r="D26">
            <v>0</v>
          </cell>
        </row>
        <row r="27">
          <cell r="D27">
            <v>0</v>
          </cell>
        </row>
        <row r="28">
          <cell r="D28">
            <v>0</v>
          </cell>
        </row>
        <row r="29">
          <cell r="D29">
            <v>2464537.44</v>
          </cell>
        </row>
        <row r="30">
          <cell r="D30">
            <v>97636.32</v>
          </cell>
        </row>
        <row r="31">
          <cell r="D31">
            <v>3222299.6</v>
          </cell>
        </row>
        <row r="32">
          <cell r="D32">
            <v>80367.25</v>
          </cell>
        </row>
        <row r="33">
          <cell r="D33">
            <v>12733685.359999999</v>
          </cell>
        </row>
        <row r="34">
          <cell r="D34">
            <v>14943966.300000001</v>
          </cell>
        </row>
        <row r="35">
          <cell r="D35">
            <v>398125</v>
          </cell>
        </row>
        <row r="36">
          <cell r="D36">
            <v>0</v>
          </cell>
        </row>
        <row r="37">
          <cell r="D37">
            <v>321814</v>
          </cell>
        </row>
        <row r="38">
          <cell r="D38">
            <v>2751708.69</v>
          </cell>
        </row>
        <row r="39">
          <cell r="D39">
            <v>4745</v>
          </cell>
        </row>
        <row r="40">
          <cell r="D40">
            <v>4006617.71</v>
          </cell>
        </row>
        <row r="41">
          <cell r="D41">
            <v>0</v>
          </cell>
        </row>
        <row r="42">
          <cell r="D42">
            <v>0</v>
          </cell>
        </row>
        <row r="43">
          <cell r="D43">
            <v>43747.5</v>
          </cell>
        </row>
        <row r="44">
          <cell r="D44">
            <v>0</v>
          </cell>
        </row>
        <row r="45">
          <cell r="D45">
            <v>18094</v>
          </cell>
        </row>
        <row r="46">
          <cell r="D46">
            <v>78683.94</v>
          </cell>
        </row>
        <row r="47">
          <cell r="D47">
            <v>0</v>
          </cell>
        </row>
        <row r="48">
          <cell r="D48">
            <v>0</v>
          </cell>
        </row>
        <row r="49">
          <cell r="D49">
            <v>2281441.48</v>
          </cell>
        </row>
        <row r="50">
          <cell r="D50">
            <v>0</v>
          </cell>
        </row>
        <row r="51">
          <cell r="D51">
            <v>9894481.6099999994</v>
          </cell>
        </row>
        <row r="52">
          <cell r="D52">
            <v>0</v>
          </cell>
        </row>
        <row r="53">
          <cell r="D53">
            <v>0</v>
          </cell>
        </row>
        <row r="54">
          <cell r="D54">
            <v>1232414.31</v>
          </cell>
        </row>
        <row r="55">
          <cell r="D55">
            <v>24814.400000000001</v>
          </cell>
        </row>
        <row r="56">
          <cell r="D56">
            <v>158697</v>
          </cell>
        </row>
        <row r="57">
          <cell r="D57">
            <v>2053377.28</v>
          </cell>
        </row>
        <row r="58">
          <cell r="D58">
            <v>0</v>
          </cell>
        </row>
        <row r="59">
          <cell r="D59">
            <v>5467693</v>
          </cell>
        </row>
        <row r="60">
          <cell r="D60">
            <v>10586098.26</v>
          </cell>
        </row>
        <row r="61">
          <cell r="D61">
            <v>215400</v>
          </cell>
        </row>
        <row r="62">
          <cell r="D62">
            <v>471669</v>
          </cell>
        </row>
        <row r="63">
          <cell r="D63">
            <v>0</v>
          </cell>
        </row>
        <row r="64">
          <cell r="D64">
            <v>0</v>
          </cell>
        </row>
        <row r="65">
          <cell r="D65">
            <v>0</v>
          </cell>
        </row>
        <row r="66">
          <cell r="D66">
            <v>0</v>
          </cell>
        </row>
        <row r="67">
          <cell r="D67">
            <v>48668553.270000003</v>
          </cell>
        </row>
        <row r="68">
          <cell r="D68">
            <v>3212025</v>
          </cell>
        </row>
        <row r="69">
          <cell r="D69">
            <v>193968.53</v>
          </cell>
        </row>
        <row r="70">
          <cell r="D70">
            <v>5324572.22</v>
          </cell>
        </row>
        <row r="71">
          <cell r="D71">
            <v>334</v>
          </cell>
        </row>
        <row r="72">
          <cell r="D72">
            <v>626526.38</v>
          </cell>
        </row>
        <row r="73">
          <cell r="D73">
            <v>1305255.55</v>
          </cell>
        </row>
        <row r="74">
          <cell r="D74">
            <v>0</v>
          </cell>
        </row>
        <row r="75">
          <cell r="D75">
            <v>1420520.46</v>
          </cell>
        </row>
        <row r="76">
          <cell r="D76">
            <v>310007.87</v>
          </cell>
        </row>
        <row r="77">
          <cell r="D77">
            <v>93090</v>
          </cell>
        </row>
        <row r="78">
          <cell r="D78">
            <v>0</v>
          </cell>
        </row>
        <row r="79">
          <cell r="D79">
            <v>609391</v>
          </cell>
        </row>
        <row r="80">
          <cell r="D80">
            <v>498648.7</v>
          </cell>
        </row>
        <row r="81">
          <cell r="D81">
            <v>536261.35</v>
          </cell>
        </row>
        <row r="82">
          <cell r="D82">
            <v>41884.9</v>
          </cell>
        </row>
        <row r="83">
          <cell r="D83">
            <v>0</v>
          </cell>
        </row>
        <row r="84">
          <cell r="D84">
            <v>0</v>
          </cell>
        </row>
        <row r="85">
          <cell r="D85">
            <v>23050</v>
          </cell>
        </row>
        <row r="86">
          <cell r="D86">
            <v>501027</v>
          </cell>
        </row>
        <row r="87">
          <cell r="D87">
            <v>0</v>
          </cell>
        </row>
        <row r="88">
          <cell r="D88">
            <v>242347</v>
          </cell>
        </row>
        <row r="89">
          <cell r="D89">
            <v>1022737.8</v>
          </cell>
        </row>
        <row r="90">
          <cell r="D90">
            <v>904587.74</v>
          </cell>
        </row>
        <row r="91">
          <cell r="D91">
            <v>3165823</v>
          </cell>
        </row>
        <row r="92">
          <cell r="D92">
            <v>0</v>
          </cell>
        </row>
        <row r="93">
          <cell r="D93">
            <v>229573657.27000001</v>
          </cell>
        </row>
        <row r="94">
          <cell r="D94">
            <v>35295926.399999999</v>
          </cell>
        </row>
        <row r="95">
          <cell r="D95">
            <v>0</v>
          </cell>
        </row>
        <row r="96">
          <cell r="D96">
            <v>0</v>
          </cell>
        </row>
        <row r="97">
          <cell r="D97">
            <v>858943.51</v>
          </cell>
        </row>
        <row r="98">
          <cell r="D98">
            <v>0</v>
          </cell>
        </row>
        <row r="99">
          <cell r="D99">
            <v>0</v>
          </cell>
        </row>
        <row r="100">
          <cell r="D100">
            <v>0</v>
          </cell>
        </row>
        <row r="101">
          <cell r="D101">
            <v>3500</v>
          </cell>
        </row>
        <row r="102">
          <cell r="D102">
            <v>0</v>
          </cell>
        </row>
        <row r="103">
          <cell r="D103">
            <v>1137640.93</v>
          </cell>
        </row>
        <row r="104">
          <cell r="D104">
            <v>0</v>
          </cell>
        </row>
        <row r="105">
          <cell r="D105">
            <v>11457250.300000001</v>
          </cell>
        </row>
        <row r="106">
          <cell r="D106">
            <v>0</v>
          </cell>
        </row>
        <row r="107">
          <cell r="D107">
            <v>0</v>
          </cell>
        </row>
        <row r="108">
          <cell r="D108">
            <v>4777722.96</v>
          </cell>
        </row>
        <row r="109">
          <cell r="D109">
            <v>25771305.289999999</v>
          </cell>
        </row>
        <row r="110">
          <cell r="D110">
            <v>5024662</v>
          </cell>
        </row>
        <row r="111">
          <cell r="D111">
            <v>0</v>
          </cell>
        </row>
        <row r="112">
          <cell r="D112">
            <v>0</v>
          </cell>
        </row>
        <row r="113">
          <cell r="D113">
            <v>0</v>
          </cell>
        </row>
        <row r="114">
          <cell r="D114">
            <v>0</v>
          </cell>
        </row>
        <row r="115">
          <cell r="D115">
            <v>1559420</v>
          </cell>
        </row>
        <row r="116">
          <cell r="D116">
            <v>2359365</v>
          </cell>
        </row>
        <row r="117">
          <cell r="D117">
            <v>11019778.5</v>
          </cell>
        </row>
        <row r="118">
          <cell r="D118">
            <v>106040.4</v>
          </cell>
        </row>
        <row r="119">
          <cell r="D119">
            <v>0</v>
          </cell>
        </row>
        <row r="120">
          <cell r="D120">
            <v>4853151.3099999996</v>
          </cell>
        </row>
        <row r="121">
          <cell r="D121">
            <v>0</v>
          </cell>
        </row>
        <row r="122">
          <cell r="D122">
            <v>0</v>
          </cell>
        </row>
        <row r="123">
          <cell r="D123">
            <v>1325984.21</v>
          </cell>
        </row>
        <row r="124">
          <cell r="D124">
            <v>363801</v>
          </cell>
        </row>
        <row r="125">
          <cell r="D125">
            <v>5274722.5599999996</v>
          </cell>
        </row>
        <row r="126">
          <cell r="D126">
            <v>0</v>
          </cell>
        </row>
        <row r="127">
          <cell r="D127">
            <v>0</v>
          </cell>
        </row>
        <row r="128">
          <cell r="D128">
            <v>0</v>
          </cell>
        </row>
        <row r="129">
          <cell r="D129">
            <v>0</v>
          </cell>
        </row>
        <row r="130">
          <cell r="D130">
            <v>2715701</v>
          </cell>
        </row>
        <row r="131">
          <cell r="D131">
            <v>0</v>
          </cell>
        </row>
        <row r="132">
          <cell r="D132">
            <v>81696.5</v>
          </cell>
        </row>
        <row r="133">
          <cell r="D133">
            <v>498071695.75</v>
          </cell>
        </row>
        <row r="135">
          <cell r="D135">
            <v>0</v>
          </cell>
        </row>
        <row r="136">
          <cell r="D136">
            <v>0</v>
          </cell>
        </row>
        <row r="138">
          <cell r="D138">
            <v>0</v>
          </cell>
        </row>
        <row r="139">
          <cell r="D139">
            <v>39318.68</v>
          </cell>
        </row>
        <row r="140">
          <cell r="D140">
            <v>0</v>
          </cell>
        </row>
        <row r="141">
          <cell r="D141">
            <v>0</v>
          </cell>
        </row>
        <row r="142">
          <cell r="D142">
            <v>2683549.14</v>
          </cell>
        </row>
        <row r="143">
          <cell r="D143">
            <v>280306.89</v>
          </cell>
        </row>
        <row r="144">
          <cell r="D144">
            <v>474373.35</v>
          </cell>
        </row>
        <row r="145">
          <cell r="D145">
            <v>0</v>
          </cell>
        </row>
        <row r="146">
          <cell r="D146">
            <v>0</v>
          </cell>
        </row>
        <row r="147">
          <cell r="D147">
            <v>1984472.2</v>
          </cell>
        </row>
        <row r="148">
          <cell r="D148">
            <v>5462020.2600000007</v>
          </cell>
        </row>
        <row r="150">
          <cell r="D150">
            <v>0</v>
          </cell>
        </row>
        <row r="151">
          <cell r="D151">
            <v>503533716.00999999</v>
          </cell>
        </row>
      </sheetData>
      <sheetData sheetId="1" refreshError="1">
        <row r="1">
          <cell r="F1">
            <v>39172</v>
          </cell>
        </row>
        <row r="3">
          <cell r="F3">
            <v>0</v>
          </cell>
        </row>
        <row r="4">
          <cell r="F4">
            <v>0</v>
          </cell>
        </row>
        <row r="5">
          <cell r="F5">
            <v>0</v>
          </cell>
        </row>
        <row r="6">
          <cell r="F6">
            <v>8934724.4800000004</v>
          </cell>
        </row>
        <row r="7">
          <cell r="F7">
            <v>0</v>
          </cell>
        </row>
        <row r="8">
          <cell r="F8">
            <v>0</v>
          </cell>
        </row>
        <row r="9">
          <cell r="F9">
            <v>63862</v>
          </cell>
        </row>
        <row r="10">
          <cell r="F10">
            <v>85000</v>
          </cell>
        </row>
        <row r="11">
          <cell r="F11">
            <v>54440</v>
          </cell>
        </row>
        <row r="12">
          <cell r="F12">
            <v>0</v>
          </cell>
        </row>
        <row r="13">
          <cell r="F13">
            <v>0</v>
          </cell>
        </row>
        <row r="14">
          <cell r="F14">
            <v>0</v>
          </cell>
        </row>
        <row r="15">
          <cell r="F15">
            <v>0</v>
          </cell>
        </row>
        <row r="16">
          <cell r="F16">
            <v>952316</v>
          </cell>
        </row>
        <row r="17">
          <cell r="F17">
            <v>0</v>
          </cell>
        </row>
        <row r="18">
          <cell r="F18">
            <v>168</v>
          </cell>
        </row>
        <row r="19">
          <cell r="F19">
            <v>0</v>
          </cell>
        </row>
        <row r="20">
          <cell r="F20">
            <v>68711.8</v>
          </cell>
        </row>
        <row r="21">
          <cell r="F21">
            <v>2080052.89</v>
          </cell>
        </row>
        <row r="22">
          <cell r="F22">
            <v>19425.22</v>
          </cell>
        </row>
        <row r="23">
          <cell r="F23">
            <v>0</v>
          </cell>
        </row>
        <row r="24">
          <cell r="F24">
            <v>0</v>
          </cell>
        </row>
        <row r="25">
          <cell r="F25">
            <v>0</v>
          </cell>
        </row>
        <row r="26">
          <cell r="F26">
            <v>0</v>
          </cell>
        </row>
        <row r="27">
          <cell r="F27">
            <v>0</v>
          </cell>
        </row>
        <row r="28">
          <cell r="F28">
            <v>2464537.44</v>
          </cell>
        </row>
        <row r="29">
          <cell r="F29">
            <v>97636.32</v>
          </cell>
        </row>
        <row r="30">
          <cell r="F30">
            <v>3222299.6</v>
          </cell>
        </row>
        <row r="31">
          <cell r="F31">
            <v>80367.25</v>
          </cell>
        </row>
        <row r="32">
          <cell r="F32">
            <v>12733685.359999999</v>
          </cell>
        </row>
        <row r="33">
          <cell r="F33">
            <v>14943966.300000001</v>
          </cell>
        </row>
        <row r="34">
          <cell r="F34">
            <v>398125</v>
          </cell>
        </row>
        <row r="35">
          <cell r="F35">
            <v>0</v>
          </cell>
        </row>
        <row r="36">
          <cell r="F36">
            <v>321814</v>
          </cell>
        </row>
        <row r="37">
          <cell r="F37">
            <v>2751708.69</v>
          </cell>
        </row>
        <row r="38">
          <cell r="F38">
            <v>4745</v>
          </cell>
        </row>
        <row r="39">
          <cell r="F39">
            <v>4006617.71</v>
          </cell>
        </row>
        <row r="40">
          <cell r="F40">
            <v>0</v>
          </cell>
        </row>
        <row r="41">
          <cell r="F41">
            <v>0</v>
          </cell>
        </row>
        <row r="42">
          <cell r="F42">
            <v>43747.5</v>
          </cell>
        </row>
        <row r="43">
          <cell r="F43">
            <v>0</v>
          </cell>
        </row>
        <row r="44">
          <cell r="F44">
            <v>18094</v>
          </cell>
        </row>
        <row r="45">
          <cell r="F45">
            <v>78683.94</v>
          </cell>
        </row>
        <row r="46">
          <cell r="F46">
            <v>0</v>
          </cell>
        </row>
        <row r="47">
          <cell r="F47">
            <v>0</v>
          </cell>
        </row>
        <row r="48">
          <cell r="F48">
            <v>2281441.48</v>
          </cell>
        </row>
        <row r="49">
          <cell r="F49">
            <v>0</v>
          </cell>
        </row>
        <row r="50">
          <cell r="F50">
            <v>9894481.6099999994</v>
          </cell>
        </row>
        <row r="51">
          <cell r="F51">
            <v>0</v>
          </cell>
        </row>
        <row r="52">
          <cell r="F52">
            <v>0</v>
          </cell>
        </row>
        <row r="53">
          <cell r="F53">
            <v>1232414.31</v>
          </cell>
        </row>
        <row r="54">
          <cell r="F54">
            <v>24814.400000000001</v>
          </cell>
        </row>
        <row r="55">
          <cell r="F55">
            <v>158697</v>
          </cell>
        </row>
        <row r="56">
          <cell r="F56">
            <v>2053377.28</v>
          </cell>
        </row>
        <row r="57">
          <cell r="F57">
            <v>0</v>
          </cell>
        </row>
        <row r="58">
          <cell r="F58">
            <v>5467693</v>
          </cell>
        </row>
        <row r="59">
          <cell r="F59">
            <v>10586098.26</v>
          </cell>
        </row>
        <row r="60">
          <cell r="F60">
            <v>215400</v>
          </cell>
        </row>
        <row r="61">
          <cell r="F61">
            <v>471669</v>
          </cell>
        </row>
        <row r="62">
          <cell r="F62">
            <v>0</v>
          </cell>
        </row>
        <row r="63">
          <cell r="F63">
            <v>0</v>
          </cell>
        </row>
        <row r="64">
          <cell r="F64">
            <v>0</v>
          </cell>
        </row>
        <row r="65">
          <cell r="F65">
            <v>0</v>
          </cell>
        </row>
        <row r="66">
          <cell r="F66">
            <v>48668553.270000003</v>
          </cell>
        </row>
        <row r="67">
          <cell r="F67">
            <v>3212025</v>
          </cell>
        </row>
        <row r="68">
          <cell r="F68">
            <v>193968.53</v>
          </cell>
        </row>
        <row r="69">
          <cell r="F69">
            <v>5324572.22</v>
          </cell>
        </row>
        <row r="70">
          <cell r="F70">
            <v>334</v>
          </cell>
        </row>
        <row r="71">
          <cell r="F71">
            <v>626526.38</v>
          </cell>
        </row>
        <row r="72">
          <cell r="F72">
            <v>1305255.55</v>
          </cell>
        </row>
        <row r="73">
          <cell r="F73">
            <v>0</v>
          </cell>
        </row>
        <row r="74">
          <cell r="F74">
            <v>1420520.46</v>
          </cell>
        </row>
        <row r="75">
          <cell r="F75">
            <v>310007.87</v>
          </cell>
        </row>
        <row r="76">
          <cell r="F76">
            <v>93090</v>
          </cell>
        </row>
        <row r="77">
          <cell r="F77">
            <v>0</v>
          </cell>
        </row>
        <row r="78">
          <cell r="F78">
            <v>609391</v>
          </cell>
        </row>
        <row r="79">
          <cell r="F79">
            <v>498648.7</v>
          </cell>
        </row>
        <row r="80">
          <cell r="F80">
            <v>536261.35</v>
          </cell>
        </row>
        <row r="81">
          <cell r="F81">
            <v>41884.9</v>
          </cell>
        </row>
        <row r="82">
          <cell r="F82">
            <v>0</v>
          </cell>
        </row>
        <row r="83">
          <cell r="F83">
            <v>0</v>
          </cell>
        </row>
        <row r="84">
          <cell r="F84">
            <v>23050</v>
          </cell>
        </row>
        <row r="85">
          <cell r="F85">
            <v>501027</v>
          </cell>
        </row>
        <row r="86">
          <cell r="F86">
            <v>0</v>
          </cell>
        </row>
        <row r="87">
          <cell r="F87">
            <v>242347</v>
          </cell>
        </row>
        <row r="88">
          <cell r="F88">
            <v>1022737.8</v>
          </cell>
        </row>
        <row r="89">
          <cell r="F89">
            <v>904587.74</v>
          </cell>
        </row>
        <row r="90">
          <cell r="F90">
            <v>3165823</v>
          </cell>
        </row>
        <row r="91">
          <cell r="F91">
            <v>0</v>
          </cell>
        </row>
        <row r="92">
          <cell r="F92">
            <v>229573657.27000001</v>
          </cell>
        </row>
        <row r="93">
          <cell r="F93">
            <v>35295926.399999999</v>
          </cell>
        </row>
        <row r="94">
          <cell r="F94">
            <v>0</v>
          </cell>
        </row>
        <row r="95">
          <cell r="F95">
            <v>0</v>
          </cell>
        </row>
        <row r="96">
          <cell r="F96">
            <v>858943.51</v>
          </cell>
        </row>
        <row r="97">
          <cell r="F97">
            <v>0</v>
          </cell>
        </row>
        <row r="98">
          <cell r="F98">
            <v>0</v>
          </cell>
        </row>
        <row r="99">
          <cell r="F99">
            <v>0</v>
          </cell>
        </row>
        <row r="100">
          <cell r="F100">
            <v>3500</v>
          </cell>
        </row>
        <row r="101">
          <cell r="F101">
            <v>0</v>
          </cell>
        </row>
        <row r="102">
          <cell r="F102">
            <v>1137640.93</v>
          </cell>
        </row>
        <row r="103">
          <cell r="F103">
            <v>0</v>
          </cell>
        </row>
        <row r="104">
          <cell r="F104">
            <v>11457250.300000001</v>
          </cell>
        </row>
        <row r="105">
          <cell r="F105">
            <v>0</v>
          </cell>
        </row>
        <row r="106">
          <cell r="F106">
            <v>0</v>
          </cell>
        </row>
        <row r="107">
          <cell r="F107">
            <v>4777722.96</v>
          </cell>
        </row>
        <row r="108">
          <cell r="F108">
            <v>25771305.289999999</v>
          </cell>
        </row>
        <row r="109">
          <cell r="F109">
            <v>5024662</v>
          </cell>
        </row>
        <row r="110">
          <cell r="F110">
            <v>0</v>
          </cell>
        </row>
        <row r="111">
          <cell r="F111">
            <v>0</v>
          </cell>
        </row>
        <row r="112">
          <cell r="F112">
            <v>0</v>
          </cell>
        </row>
        <row r="113">
          <cell r="F113">
            <v>0</v>
          </cell>
        </row>
        <row r="114">
          <cell r="F114">
            <v>1559420</v>
          </cell>
        </row>
        <row r="115">
          <cell r="F115">
            <v>2359365</v>
          </cell>
        </row>
        <row r="116">
          <cell r="F116">
            <v>11019778.5</v>
          </cell>
        </row>
        <row r="117">
          <cell r="F117">
            <v>106040.4</v>
          </cell>
        </row>
        <row r="118">
          <cell r="F118">
            <v>0</v>
          </cell>
        </row>
        <row r="119">
          <cell r="F119">
            <v>4853151.3099999996</v>
          </cell>
        </row>
        <row r="120">
          <cell r="F120">
            <v>0</v>
          </cell>
        </row>
        <row r="121">
          <cell r="F121">
            <v>0</v>
          </cell>
        </row>
        <row r="122">
          <cell r="F122">
            <v>1325984.21</v>
          </cell>
        </row>
        <row r="123">
          <cell r="F123">
            <v>363801</v>
          </cell>
        </row>
        <row r="124">
          <cell r="F124">
            <v>5274722.5599999996</v>
          </cell>
        </row>
        <row r="125">
          <cell r="F125">
            <v>0</v>
          </cell>
        </row>
        <row r="126">
          <cell r="F126">
            <v>0</v>
          </cell>
        </row>
        <row r="127">
          <cell r="F127">
            <v>0</v>
          </cell>
        </row>
        <row r="128">
          <cell r="F128">
            <v>0</v>
          </cell>
        </row>
        <row r="129">
          <cell r="F129">
            <v>2715701</v>
          </cell>
        </row>
        <row r="130">
          <cell r="F130">
            <v>0</v>
          </cell>
        </row>
        <row r="131">
          <cell r="F131">
            <v>81696.5</v>
          </cell>
        </row>
        <row r="132">
          <cell r="F132">
            <v>498071695.75</v>
          </cell>
        </row>
        <row r="134">
          <cell r="F134">
            <v>0</v>
          </cell>
        </row>
        <row r="135">
          <cell r="F135">
            <v>0</v>
          </cell>
        </row>
        <row r="137">
          <cell r="F137">
            <v>0</v>
          </cell>
        </row>
        <row r="138">
          <cell r="F138">
            <v>39318.68</v>
          </cell>
        </row>
        <row r="139">
          <cell r="F139">
            <v>0</v>
          </cell>
        </row>
        <row r="140">
          <cell r="F140">
            <v>0</v>
          </cell>
        </row>
        <row r="141">
          <cell r="F141">
            <v>2683549.14</v>
          </cell>
        </row>
        <row r="142">
          <cell r="F142">
            <v>280306.89</v>
          </cell>
        </row>
        <row r="143">
          <cell r="F143">
            <v>474373.35</v>
          </cell>
        </row>
        <row r="144">
          <cell r="F144">
            <v>0</v>
          </cell>
        </row>
        <row r="145">
          <cell r="F145">
            <v>0</v>
          </cell>
        </row>
        <row r="146">
          <cell r="F146">
            <v>1984472.2</v>
          </cell>
        </row>
        <row r="147">
          <cell r="F147">
            <v>5462020.2600000007</v>
          </cell>
        </row>
        <row r="149">
          <cell r="F149">
            <v>0</v>
          </cell>
        </row>
        <row r="150">
          <cell r="F150">
            <v>503533716.00999999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rder Details"/>
      <sheetName val="Service Configuration Details"/>
      <sheetName val="Drop down data"/>
      <sheetName val="Basement Budget"/>
      <sheetName val="Links"/>
      <sheetName val="Lead"/>
    </sheetNames>
    <sheetDataSet>
      <sheetData sheetId="0"/>
      <sheetData sheetId="1"/>
      <sheetData sheetId="2">
        <row r="11">
          <cell r="J11" t="str">
            <v>ICOM-VPS-BASE-1vCPU-1GBRAM-50GBDT-75GBSAN-VPDCS-ST-SHM</v>
          </cell>
        </row>
        <row r="12">
          <cell r="J12" t="str">
            <v>ICOM-VPS-BASE-1vCPU-PRSTNT-PM</v>
          </cell>
        </row>
        <row r="13">
          <cell r="J13" t="str">
            <v>ICOM-VPS-XPND-2vCPU-2GBRAM-100GBDT-100GBSAN-VPDCS-ST-SHM</v>
          </cell>
        </row>
        <row r="14">
          <cell r="J14" t="str">
            <v>ICOM-VPS-XPND-2vCPU-PRSTNT-PM</v>
          </cell>
        </row>
        <row r="15">
          <cell r="J15" t="str">
            <v>ICOM-HA-VPS-BASE-1vCPU-1GBRAM-50GBDT-75GBSAN-VPDCS-ST-SHM</v>
          </cell>
        </row>
        <row r="16">
          <cell r="J16" t="str">
            <v>ICOM-HA-VPS-BASE-1vCPU-PRSTNT-PM</v>
          </cell>
        </row>
        <row r="17">
          <cell r="J17" t="str">
            <v>ICOM-HA-VPS-XPND-2vCPU-2GBRAM-100GBDT-100GBSAN-VPDCS-ST-SHM</v>
          </cell>
        </row>
        <row r="18">
          <cell r="J18" t="str">
            <v>ICOM-HA-VPS-XPND-2vCPU-PRSTNT-PM</v>
          </cell>
        </row>
        <row r="19">
          <cell r="J19" t="str">
            <v>ICOM-HA-VPS-MAX-4vCPU-4GBRAM-200GBDT-200GBSAN-VPDCS-ST-SHM</v>
          </cell>
        </row>
        <row r="20">
          <cell r="J20" t="str">
            <v>ICOM-HA-VPS-MAX-4vCPU-PRSTNT-PM</v>
          </cell>
        </row>
        <row r="22">
          <cell r="J22" t="str">
            <v>ICOM-VPI-BASE-1vCPU-1GBRAM-50GBSAN-SHM</v>
          </cell>
        </row>
        <row r="23">
          <cell r="J23" t="str">
            <v>ICOM-VPI-BASE-1vCPU-PRSTNT-PM</v>
          </cell>
        </row>
        <row r="24">
          <cell r="J24" t="str">
            <v>ICOM-VPI-XPND-2vCPU-2GBRAM-50GBSAN-SHM</v>
          </cell>
        </row>
        <row r="25">
          <cell r="J25" t="str">
            <v>ICOM-VPI-XPND-2vCPU-PRSTNT-PM</v>
          </cell>
        </row>
        <row r="26">
          <cell r="J26" t="str">
            <v>ICOM-VPI-MAX-4vCPU-4GBRAM-50GBSAN-SHM</v>
          </cell>
        </row>
        <row r="27">
          <cell r="J27" t="str">
            <v>ICOM-VPI-MAX-4vCPU-PRSTNT-PM</v>
          </cell>
        </row>
        <row r="28">
          <cell r="J28" t="str">
            <v>ICOM-HA-VPI-BASE-1vCPU-1GBRAM-50GBSAN-SHM</v>
          </cell>
        </row>
        <row r="29">
          <cell r="J29" t="str">
            <v>ICOM-HA-VPI-BASE-1vCPU-PRSTNT-PM</v>
          </cell>
        </row>
        <row r="30">
          <cell r="J30" t="str">
            <v>ICOM-HA-VPI-XPND-2vCPU-2GBRAM-50GBSAN-SHM</v>
          </cell>
        </row>
        <row r="31">
          <cell r="J31" t="str">
            <v>ICOM-HA-VPI-XPND-2vCPU-PRSTNT-PM</v>
          </cell>
        </row>
        <row r="32">
          <cell r="J32" t="str">
            <v>ICOM-HA-VPI-MAX-4vCPU-4GBRAM-50GBSAN-SHM</v>
          </cell>
        </row>
        <row r="33">
          <cell r="J33" t="str">
            <v>ICOM-HA-VPI-MAX-4vCPU-PRSTNT-PM</v>
          </cell>
        </row>
        <row r="34">
          <cell r="J34" t="str">
            <v>ICOM-HA-VPI-XTRM-8vCPU-8GBRAM-50GBSAN-SHM</v>
          </cell>
        </row>
        <row r="35">
          <cell r="J35" t="str">
            <v>ICOM-HA-VPI-XTRM-8vCPU-PRSTNT-PM</v>
          </cell>
        </row>
        <row r="36">
          <cell r="J36" t="str">
            <v>ICOM-HA-VPI-PRM-16vCPU-16GBRAM-50GBSAN-SHM</v>
          </cell>
        </row>
        <row r="37">
          <cell r="J37" t="str">
            <v>ICOM-HA-VPI-PRM-16vCPU-PRSTNT-PM</v>
          </cell>
        </row>
        <row r="39">
          <cell r="J39" t="str">
            <v>ICOM-vCPU-Per CPU</v>
          </cell>
        </row>
        <row r="40">
          <cell r="J40" t="str">
            <v>ICOM-vRAM-Per GB</v>
          </cell>
        </row>
        <row r="42">
          <cell r="J42" t="str">
            <v>ICOM-MDS-XPND-1CPU-MULTICORE-4GBRAM-SHM</v>
          </cell>
        </row>
        <row r="43">
          <cell r="J43" t="str">
            <v>ICOM-MDS-MAX-2CPU-MULTICORE-8GBRAM-SHM</v>
          </cell>
        </row>
        <row r="44">
          <cell r="J44" t="str">
            <v>ICOM-MDS-XTRM-4CPU-MULTICORE-48GBRAM-SHM</v>
          </cell>
        </row>
        <row r="46">
          <cell r="J46" t="str">
            <v>ICOM-MDS-RAM-ADD-4GB</v>
          </cell>
        </row>
        <row r="47">
          <cell r="J47" t="str">
            <v>ICOM-MDS-HDD-ADD-64/100/200</v>
          </cell>
        </row>
        <row r="49">
          <cell r="J49" t="str">
            <v>ISTR-ENHNTIER-100GB-500 GB-PERGB</v>
          </cell>
        </row>
        <row r="50">
          <cell r="J50" t="str">
            <v>ISTR-ENHNTIER-500GB-1TB-PERGB</v>
          </cell>
        </row>
        <row r="51">
          <cell r="J51" t="str">
            <v>ISTR-ENHNTIER-1TB-2TB-PERGB</v>
          </cell>
        </row>
        <row r="52">
          <cell r="J52" t="str">
            <v>ISTR-ENHNTIER-2TB–5TB-PERGB</v>
          </cell>
        </row>
        <row r="53">
          <cell r="J53" t="str">
            <v>ISTR-ENHNTIER-&gt;5TB-PERGB</v>
          </cell>
        </row>
        <row r="54">
          <cell r="J54" t="str">
            <v>ISTR-ENHNTIER-ADD-ON-PER25GB-PM</v>
          </cell>
        </row>
        <row r="56">
          <cell r="J56" t="str">
            <v>ISTR-STNDTIER-100GB-500 GB-PERGB</v>
          </cell>
        </row>
        <row r="57">
          <cell r="J57" t="str">
            <v>ISTR-STNDTIER-500GB-1TB-PERGB</v>
          </cell>
        </row>
        <row r="58">
          <cell r="J58" t="str">
            <v>ISTR-STNDTIER-1TB-2TB-PERGB</v>
          </cell>
        </row>
        <row r="59">
          <cell r="J59" t="str">
            <v>ISTR-STNDTIER-2TB–5TB-PERGB</v>
          </cell>
        </row>
        <row r="60">
          <cell r="J60" t="str">
            <v>ISTR-STNDTIER-&gt;5TB-PERGB</v>
          </cell>
        </row>
        <row r="61">
          <cell r="J61" t="str">
            <v>ISTR-STNDTIER-ADD-ON-PER25GB-PM</v>
          </cell>
        </row>
        <row r="63">
          <cell r="J63" t="str">
            <v>ISTR-ECNMTIER-100GB-500 GB-PERGB</v>
          </cell>
        </row>
        <row r="64">
          <cell r="J64" t="str">
            <v>ISTR-ECNMTIER-500GB-1TB-PERGB</v>
          </cell>
        </row>
        <row r="65">
          <cell r="J65" t="str">
            <v>ISTR-ECNMTIER-1TB-2TB-PERGB</v>
          </cell>
        </row>
        <row r="66">
          <cell r="J66" t="str">
            <v>ISTR-ECNMTIER-2TB–5TB-PERGB</v>
          </cell>
        </row>
        <row r="67">
          <cell r="J67" t="str">
            <v>ISTR-ECNMTIER-&gt;5TB-PERGB</v>
          </cell>
        </row>
        <row r="68">
          <cell r="J68" t="str">
            <v>ISTR-ECNMTIER-ADD-ON-PER25GB-PM</v>
          </cell>
        </row>
        <row r="70">
          <cell r="J70" t="str">
            <v>ISTR-NAS-ENHNTIER-100GB-500 GB-PERGB</v>
          </cell>
        </row>
        <row r="71">
          <cell r="J71" t="str">
            <v>ISTR-NAS-ENHNTIER-500GB-1TB-PERGB</v>
          </cell>
        </row>
        <row r="72">
          <cell r="J72" t="str">
            <v>ISTR-NAS-ENHNTIER-1TB-2TB-PERGB</v>
          </cell>
        </row>
        <row r="73">
          <cell r="J73" t="str">
            <v>ISTR-NAS-ENHNTIER-2TB–5TB-PERGB</v>
          </cell>
        </row>
        <row r="74">
          <cell r="J74" t="str">
            <v>ISTR-NAS-ENHNTIER-&gt;5TB-PERGB</v>
          </cell>
        </row>
        <row r="75">
          <cell r="J75" t="str">
            <v>ISTR-NAS-ENHNTIER-ADD-ON-PER25GB-PM</v>
          </cell>
        </row>
        <row r="77">
          <cell r="J77" t="str">
            <v>ISTR-NAS-ENHNTIER-100GB-500 GB-PERGB</v>
          </cell>
        </row>
        <row r="78">
          <cell r="J78" t="str">
            <v>ISTR-NAS-STNDTIER-500GB-1TB-PERGB</v>
          </cell>
        </row>
        <row r="79">
          <cell r="J79" t="str">
            <v>ISTR-NAS-STNDTIER-1TB-2TB-PERGB</v>
          </cell>
        </row>
        <row r="80">
          <cell r="J80" t="str">
            <v>ISTR-NAS-STNDTIER-2TB–5TB-PERGB</v>
          </cell>
        </row>
        <row r="81">
          <cell r="J81" t="str">
            <v>ISTR-NAS-STNDTIER-&gt; 5TB-PERGB</v>
          </cell>
        </row>
        <row r="82">
          <cell r="J82" t="str">
            <v>ISTR-NAS-STNDTIER-ADD-ON-PER25GB-PM</v>
          </cell>
        </row>
        <row r="84">
          <cell r="J84" t="str">
            <v>ISTR-FCSANFABIC-2FC-PERHOST</v>
          </cell>
        </row>
        <row r="85">
          <cell r="J85" t="str">
            <v>ISTR-IPSANFABIC-2ISCSI-PERHOST</v>
          </cell>
        </row>
        <row r="87">
          <cell r="J87" t="str">
            <v>PAAS-VPS-VPI-WIN-03-STD-x86-AV-POS</v>
          </cell>
        </row>
        <row r="88">
          <cell r="J88" t="str">
            <v>PAAS-VPS-VPI-WIN-03-ENT-x86-AV-POS</v>
          </cell>
        </row>
        <row r="89">
          <cell r="J89" t="str">
            <v>PAAS-VPS-VPI-WIN-03-STD-x64-AV-POS</v>
          </cell>
        </row>
        <row r="90">
          <cell r="J90" t="str">
            <v>PAAS-VPS-VPI-WIN-03-ENT-x64-AV-POS</v>
          </cell>
        </row>
        <row r="91">
          <cell r="J91" t="str">
            <v>PAAS-VPS-VPI-WIN-08-STD-x86-AV-POS</v>
          </cell>
        </row>
        <row r="92">
          <cell r="J92" t="str">
            <v>PAAS-VPS-VPI-WIN-08-ENT-x86-AV-POS</v>
          </cell>
        </row>
        <row r="93">
          <cell r="J93" t="str">
            <v>PAAS-VPS-VPI-WIN-08-STD-x64-AV-POS</v>
          </cell>
        </row>
        <row r="94">
          <cell r="J94" t="str">
            <v>PAAS-VPS-VPI-WIN-08-ENT-x64-AV-POS</v>
          </cell>
        </row>
        <row r="95">
          <cell r="J95" t="str">
            <v>PAAS-WIN-STD-32/64-AV-PERPROC</v>
          </cell>
        </row>
        <row r="96">
          <cell r="J96" t="str">
            <v>PAAS-WIN-ENT-32/64-AV-PERPROC</v>
          </cell>
        </row>
        <row r="97">
          <cell r="J97" t="str">
            <v>PAAS-WIN-DC-32/64-AV-PERPROC</v>
          </cell>
        </row>
        <row r="98">
          <cell r="J98" t="str">
            <v>PAAS-VPS-VPI-LNX-ENT-32/64-POS</v>
          </cell>
        </row>
        <row r="99">
          <cell r="J99" t="str">
            <v>PAAS-VPS-VPI-LNX-6.1-32-POS</v>
          </cell>
        </row>
        <row r="100">
          <cell r="J100" t="str">
            <v>PAAS-VPS-VPI-LNX-6.1-64-POS</v>
          </cell>
        </row>
        <row r="101">
          <cell r="J101" t="str">
            <v>PAAS-VPS-VPI-LNX-5.6-32-POS</v>
          </cell>
        </row>
        <row r="102">
          <cell r="J102" t="str">
            <v>PAAS-VPS-VPI-LNX-5.6-64-POS</v>
          </cell>
        </row>
        <row r="103">
          <cell r="J103" t="str">
            <v>PAAS-LNX-ENT-32/64-POS</v>
          </cell>
        </row>
        <row r="104">
          <cell r="J104" t="str">
            <v>PAAS-CENT-5.5-32/64-POS</v>
          </cell>
        </row>
        <row r="105">
          <cell r="J105" t="str">
            <v>PAAS-VPS-VPI-CENT-5.5-32-POS</v>
          </cell>
        </row>
        <row r="106">
          <cell r="J106" t="str">
            <v>PAAS-VPS-VPI-CENT-5.5-64-POS</v>
          </cell>
        </row>
        <row r="107">
          <cell r="J107" t="str">
            <v>PAAS-UBUNTU-11.4-64-POS</v>
          </cell>
        </row>
        <row r="109">
          <cell r="J109" t="str">
            <v>PAAS-VPS-VPI-SQL-STD-ENT-PDB</v>
          </cell>
        </row>
        <row r="110">
          <cell r="J110" t="str">
            <v>PAAS-SQL-08-STD-x86-WIN-08-STD-x86-AV-PDB</v>
          </cell>
        </row>
        <row r="111">
          <cell r="J111" t="str">
            <v>PAAS-SQL-08-STD-x86-WIN-08-STD-x64-AV-PDB</v>
          </cell>
        </row>
        <row r="112">
          <cell r="J112" t="str">
            <v>PAAS-SQL-08-STD-x86-WIN-08-ENT-x86-AV-PDB</v>
          </cell>
        </row>
        <row r="113">
          <cell r="J113" t="str">
            <v>PAAS-SQL-08-STD-x86-WIN-08-ENT-x64-AV-PDB</v>
          </cell>
        </row>
        <row r="114">
          <cell r="J114" t="str">
            <v>PAAS-SQL-08-STD-x64-WIN-08-STD-x64-AV-PDB</v>
          </cell>
        </row>
        <row r="115">
          <cell r="J115" t="str">
            <v>PAAS-SQL-08-STD-x64-WIN-08-ENT-x64-AV-PDB</v>
          </cell>
        </row>
        <row r="116">
          <cell r="J116" t="str">
            <v>PAAS-SQL-08-ENT-x86-WIN-08-ENT-x86-AV-PDB</v>
          </cell>
        </row>
        <row r="117">
          <cell r="J117" t="str">
            <v>PAAS-SQL-08-ENT-x86-WIN-08-ENT-x64-AV-PDB</v>
          </cell>
        </row>
        <row r="118">
          <cell r="J118" t="str">
            <v>PAAS-SQL-08-ENT-x64-WIN-08-ENT-x64-AV-PDB</v>
          </cell>
        </row>
        <row r="119">
          <cell r="J119" t="str">
            <v>PAAS-MS-SQL-STD-PERPROC</v>
          </cell>
        </row>
        <row r="120">
          <cell r="J120" t="str">
            <v>PAAS-MS-SQL-ENT-PERPROC</v>
          </cell>
        </row>
        <row r="121">
          <cell r="J121" t="str">
            <v>PAAS-MS-SQL-WRG-PERPROC</v>
          </cell>
        </row>
        <row r="122">
          <cell r="J122" t="str">
            <v>PAAS-MS-SQL-WEB-PERPROC</v>
          </cell>
        </row>
        <row r="124">
          <cell r="J124" t="str">
            <v>PAAS-MYSQL-32-64-PERPROC</v>
          </cell>
        </row>
        <row r="125">
          <cell r="J125" t="str">
            <v>PAAS-MYSQL-5.5-WIN-08-STD-x86-AV-PDB</v>
          </cell>
        </row>
        <row r="126">
          <cell r="J126" t="str">
            <v>PAAS-MYSQL-5.5-WIN-08-STD-x64-AV-PDB</v>
          </cell>
        </row>
        <row r="127">
          <cell r="J127" t="str">
            <v>PAAS-MYSQL-5.5-CENT-5.5-32-PDB</v>
          </cell>
        </row>
        <row r="128">
          <cell r="J128" t="str">
            <v>PAAS-MYSQL-5.5-CENT-5.5-64-PDB</v>
          </cell>
        </row>
        <row r="129">
          <cell r="J129" t="str">
            <v>PAAS-MYSQL-5.5-LNX-5.6-32-PDB</v>
          </cell>
        </row>
        <row r="130">
          <cell r="J130" t="str">
            <v>PAAS-MYSQL-5.5-LNX-5.6-64-PDB</v>
          </cell>
        </row>
        <row r="131">
          <cell r="J131" t="str">
            <v>PAAS-MYSQL-5.5-LNX-6.1-32-PDB</v>
          </cell>
        </row>
        <row r="132">
          <cell r="J132" t="str">
            <v>PAAS-MYSQL-5.5-LNX-6.1-64-PDB</v>
          </cell>
        </row>
        <row r="134">
          <cell r="J134" t="str">
            <v>PAAS-MS-SHAREPOINT-INTERNET</v>
          </cell>
        </row>
        <row r="135">
          <cell r="J135" t="str">
            <v>PAAS-MS-FOREFRONT-TMG-ENT-PER PROC</v>
          </cell>
        </row>
        <row r="136">
          <cell r="J136" t="str">
            <v>PAAS-MS-WIN-RDS- PER SAL</v>
          </cell>
        </row>
        <row r="137">
          <cell r="J137" t="str">
            <v>PAAS-OTHER-SOFTWARE</v>
          </cell>
        </row>
        <row r="139">
          <cell r="J139" t="str">
            <v>PAAS-VMWARE-ESX-STD-PERVRAM</v>
          </cell>
        </row>
        <row r="140">
          <cell r="J140" t="str">
            <v>PAAS-VMWARE-ESX-PMR-PERVRAM</v>
          </cell>
        </row>
        <row r="142">
          <cell r="J142" t="str">
            <v>ISEC-VFW-IPS-100MBPS-100POLICIES</v>
          </cell>
        </row>
        <row r="143">
          <cell r="J143" t="str">
            <v>ISEC-OTHER-DEDICATED EQUIPMENT</v>
          </cell>
        </row>
        <row r="145">
          <cell r="J145" t="str">
            <v>PAAS-AV-WINOS-POS</v>
          </cell>
        </row>
        <row r="146">
          <cell r="J146" t="str">
            <v>PAAS-AV-LNXOS-POS</v>
          </cell>
        </row>
        <row r="147">
          <cell r="J147" t="str">
            <v>PAAS- SSLCERT-PERDOMAIN</v>
          </cell>
        </row>
        <row r="149">
          <cell r="J149" t="str">
            <v>ISEC-2FACTOR-RSA-M&amp;M-10USERPACK</v>
          </cell>
        </row>
        <row r="150">
          <cell r="J150" t="str">
            <v>ISEC-2FACTOR-RSA-M&amp;M-15USERPACK</v>
          </cell>
        </row>
        <row r="151">
          <cell r="J151" t="str">
            <v>ISEC-2FACTOR-RSA-M&amp;M-50USERPACK</v>
          </cell>
        </row>
        <row r="152">
          <cell r="J152" t="str">
            <v>ISEC-2FACTOR-RSA-M&amp;M-100USERPACK</v>
          </cell>
        </row>
        <row r="154">
          <cell r="J154" t="str">
            <v>INET-DDOS-NM-10-50Mbps</v>
          </cell>
        </row>
        <row r="155">
          <cell r="J155" t="str">
            <v>INET-DDOS-NM-51-100Mbps</v>
          </cell>
        </row>
        <row r="156">
          <cell r="J156" t="str">
            <v>INET-DDOS-NM-101-200Mbps</v>
          </cell>
        </row>
        <row r="157">
          <cell r="J157" t="str">
            <v>INET-DDOS-NM-201-500Mbps</v>
          </cell>
        </row>
        <row r="159">
          <cell r="J159" t="str">
            <v>INET-VPDC-SHIELD-ST</v>
          </cell>
        </row>
        <row r="160">
          <cell r="J160" t="str">
            <v>INET-VPDC-SHIELD-2T</v>
          </cell>
        </row>
        <row r="161">
          <cell r="J161" t="str">
            <v>INET-VPDC-ASSURE-ST</v>
          </cell>
        </row>
        <row r="162">
          <cell r="J162" t="str">
            <v>INET-VPDC-ASSURE-2T</v>
          </cell>
        </row>
        <row r="163">
          <cell r="J163" t="str">
            <v>INET-VPDC-ASSURE-3T</v>
          </cell>
        </row>
        <row r="165">
          <cell r="J165" t="str">
            <v>INET-VROUTER-PERPORT</v>
          </cell>
        </row>
        <row r="166">
          <cell r="J166" t="str">
            <v>INET-MLLB-1VIP-5RIP-PERPORT</v>
          </cell>
        </row>
        <row r="167">
          <cell r="J167" t="str">
            <v>INET-VLLB-100MBPS-2VIP-20RIP-40000CS-PERPORT</v>
          </cell>
        </row>
        <row r="168">
          <cell r="J168" t="str">
            <v>INET-VLLB-ADD-2VIP-10RIP-10000CS-PERPORT</v>
          </cell>
        </row>
        <row r="169">
          <cell r="J169" t="str">
            <v>INET-VSSLACCEL-100MBPS-2VIP-20RIP-40000CS-PERPORT</v>
          </cell>
        </row>
        <row r="170">
          <cell r="J170" t="str">
            <v>INET-GSLB-1D-2VS-RS-PERPORT</v>
          </cell>
        </row>
        <row r="171">
          <cell r="J171" t="str">
            <v>INET-SWITCH-PERPORT</v>
          </cell>
        </row>
        <row r="172">
          <cell r="J172" t="str">
            <v>INET-vLAN-PVLAN</v>
          </cell>
        </row>
        <row r="173">
          <cell r="J173" t="str">
            <v>INET-EXTIP-1IP</v>
          </cell>
        </row>
        <row r="174">
          <cell r="J174" t="str">
            <v>INET-EXDNS-1DOMAIN- UTD RECORDS</v>
          </cell>
        </row>
        <row r="175">
          <cell r="J175" t="str">
            <v>INET-OTHER-DEDICATED EQUIPMENT</v>
          </cell>
        </row>
        <row r="177">
          <cell r="J177" t="str">
            <v>INET-DT-50GB-2Mbps CIR</v>
          </cell>
        </row>
        <row r="178">
          <cell r="J178" t="str">
            <v>INET-DT-100GB-15Mbps-CIR</v>
          </cell>
        </row>
        <row r="179">
          <cell r="J179" t="str">
            <v>INET-DT-250GB-24Mbps-CIR</v>
          </cell>
        </row>
        <row r="180">
          <cell r="J180" t="str">
            <v>INET-DT-251TO1000GB-PERGB-45Mbps-CIR</v>
          </cell>
        </row>
        <row r="181">
          <cell r="J181" t="str">
            <v>INET-DT-1001TO2500GB-PERGB-100Mbps-CIR</v>
          </cell>
        </row>
        <row r="182">
          <cell r="J182" t="str">
            <v>INET-DT-2501TO5000GB-PERGB-100Mbps-CIR</v>
          </cell>
        </row>
        <row r="183">
          <cell r="J183" t="str">
            <v>INET-DT-5001TO10000GB-PERGB-100Mbps-CIR</v>
          </cell>
        </row>
        <row r="184">
          <cell r="J184" t="str">
            <v>INET-DT-10001GBTO-50000-PERGB-100Mbps-CIR</v>
          </cell>
        </row>
        <row r="185">
          <cell r="J185" t="str">
            <v>INET-DT-OVER50001GB-PERGB</v>
          </cell>
        </row>
        <row r="186">
          <cell r="J186" t="str">
            <v>INET-DT-OVERAGE-PERGB</v>
          </cell>
        </row>
        <row r="187">
          <cell r="J187" t="str">
            <v>INET-IBW-1:1-512 Kbps</v>
          </cell>
        </row>
        <row r="188">
          <cell r="J188" t="str">
            <v>INET-IBW-1:1-PERMBPS</v>
          </cell>
        </row>
        <row r="189">
          <cell r="J189" t="str">
            <v>INET-IBW-BURST-2-4MBPS</v>
          </cell>
        </row>
        <row r="190">
          <cell r="J190" t="str">
            <v>INET-IBW-BURST-4-8MBPS</v>
          </cell>
        </row>
        <row r="191">
          <cell r="J191" t="str">
            <v>INET-IBW-BURST-8-16MBPS</v>
          </cell>
        </row>
        <row r="192">
          <cell r="J192" t="str">
            <v>INET-IBW-BURST-16-32MBPS</v>
          </cell>
        </row>
        <row r="193">
          <cell r="J193" t="str">
            <v>INET-IBW-BURST-32-64MBPS</v>
          </cell>
        </row>
        <row r="194">
          <cell r="J194" t="str">
            <v>INET-IBW-BURST-64-128MBPS</v>
          </cell>
        </row>
        <row r="195">
          <cell r="J195" t="str">
            <v>INET-IBW-OVERAGE-PERMBPS-PM</v>
          </cell>
        </row>
        <row r="197">
          <cell r="J197" t="str">
            <v>INET-RVPN-SRC-512KbpsPort-10UserPack</v>
          </cell>
        </row>
        <row r="198">
          <cell r="J198" t="str">
            <v>INET-RVPN-SRC-512KbpsPort-25UserPack</v>
          </cell>
        </row>
        <row r="199">
          <cell r="J199" t="str">
            <v>INET-RVPN-SRC-2MbpsPort-50UserPack</v>
          </cell>
        </row>
        <row r="200">
          <cell r="J200" t="str">
            <v>INET-RVPN-SRC-2MbpsPort-100UserPack</v>
          </cell>
        </row>
        <row r="201">
          <cell r="J201" t="str">
            <v>INET-RVPN-SRC-4MbpsPort-250UserPack</v>
          </cell>
        </row>
        <row r="203">
          <cell r="J203" t="str">
            <v>INET-RVPN-SSC-256Kbps-MPLS</v>
          </cell>
        </row>
        <row r="204">
          <cell r="J204" t="str">
            <v>INET-RVPN-SSC-512Kbps-MPLS</v>
          </cell>
        </row>
        <row r="205">
          <cell r="J205" t="str">
            <v>INET-RVPN-SSC-1024Kbps-MPLS</v>
          </cell>
        </row>
        <row r="206">
          <cell r="J206" t="str">
            <v>INET-RVPN-SSC-2048Kbps-MPLS</v>
          </cell>
        </row>
        <row r="208">
          <cell r="J208" t="str">
            <v>IPTC-BKP-100GB-DT-PM-DD-WF-R14D-UTDLICENSE</v>
          </cell>
        </row>
        <row r="209">
          <cell r="J209" t="str">
            <v>IPTC-BKP-250GB-DT-PM-DD-WF-R14D-UTDLICENSE</v>
          </cell>
        </row>
        <row r="210">
          <cell r="J210" t="str">
            <v>IPTC-BKP-500GB-DT-PM-DD-WF-R14D-UTDLICENSE</v>
          </cell>
        </row>
        <row r="211">
          <cell r="J211" t="str">
            <v>IPTC-BKP-1000GB-DT-PM-UTDLICENSE</v>
          </cell>
        </row>
        <row r="212">
          <cell r="J212" t="str">
            <v>IPTC-BKP-1001TO2000GB-DT-PM-PGB-UTDLICENSE</v>
          </cell>
        </row>
        <row r="213">
          <cell r="J213" t="str">
            <v>IPTC-BKP-2001TO5000GB-DT-PM-PGB-UTDLICENSE</v>
          </cell>
        </row>
        <row r="214">
          <cell r="J214" t="str">
            <v>IPTC-BKP-5001TO10000GB-DT-PM-PGB-UTDLICENSE</v>
          </cell>
        </row>
        <row r="215">
          <cell r="J215" t="str">
            <v>IPTC-BKP-10001TO15000GB-DT-PM-PGB-UTDLICENSE</v>
          </cell>
        </row>
        <row r="216">
          <cell r="J216" t="str">
            <v>IPTC-BKP-OVERAGE-25GB-MULTIPLES-DT-PM</v>
          </cell>
        </row>
        <row r="218">
          <cell r="J218" t="str">
            <v>IPTC-BKP-EXRTN-1M-1500 GB-MULTIPLES-PERANNUM</v>
          </cell>
        </row>
        <row r="219">
          <cell r="J219" t="str">
            <v>IPTC-BKP-EXRTN-1Y-1500 GB-MULTIPLES-PERANNUM</v>
          </cell>
        </row>
        <row r="220">
          <cell r="J220" t="str">
            <v>IPTC-BKP-REMOTE SITE COPY-PERGB PER MONTH</v>
          </cell>
        </row>
        <row r="222">
          <cell r="J222" t="str">
            <v>IPTC-BKP-ENCRT-100GB-DT-PM-DD-WF-R14D-UTDLICENSE-PA</v>
          </cell>
        </row>
        <row r="223">
          <cell r="J223" t="str">
            <v>IPTC-BKP-ENCRT-2500GB-DT-PM-DD-WF-R14D-UTDLICENSE-PA</v>
          </cell>
        </row>
        <row r="224">
          <cell r="J224" t="str">
            <v>IPTC-BKP-ENCRT-500GB-DT-PM-DD-WF-R14D-UTDLICENSE-PA</v>
          </cell>
        </row>
        <row r="225">
          <cell r="J225" t="str">
            <v>IPTC-BKP-ENCRT-1000GB-DT-PM-UTDLICENSE-PA</v>
          </cell>
        </row>
        <row r="226">
          <cell r="J226" t="str">
            <v>IPTC-BKP-ENCRT-1001TO2000GB-DT-PM-PGB-UTDLICENSE-PA</v>
          </cell>
        </row>
        <row r="227">
          <cell r="J227" t="str">
            <v>IPTC-BKP-ENCRT-2001TO5000GB-DT-PM-PGB-UTDLICENSE-PA</v>
          </cell>
        </row>
        <row r="228">
          <cell r="J228" t="str">
            <v>IPTC-BKP-ENCRT-5001TO10000GB-DT-PM-PGB-UTDLICENSE-PA</v>
          </cell>
        </row>
        <row r="229">
          <cell r="J229" t="str">
            <v>IPTC-BKP-ENCRT-10001TO15000GB-DT-PM-PGB-UTDLICENSE-PA</v>
          </cell>
        </row>
        <row r="230">
          <cell r="J230" t="str">
            <v>IPTC-BKP-ENCRT-OVERAGE-25GB-MULTIPLES-DT-PM</v>
          </cell>
        </row>
        <row r="232">
          <cell r="J232" t="str">
            <v>IANLTCS-AIA-SHM-PER SERV</v>
          </cell>
        </row>
        <row r="233">
          <cell r="J233" t="str">
            <v>IANLTCS-AIA-OSR-PER OS</v>
          </cell>
        </row>
        <row r="234">
          <cell r="J234" t="str">
            <v>IANLTCS-AIA-DBR-PER DB</v>
          </cell>
        </row>
        <row r="235">
          <cell r="J235" t="str">
            <v>IANLTCS-AIA-WEB SERV-PER  APPS</v>
          </cell>
        </row>
        <row r="236">
          <cell r="J236" t="str">
            <v>IANLTCS-AIA-ADD-ON-REPORTS-PER25PACK</v>
          </cell>
        </row>
        <row r="238">
          <cell r="J238" t="str">
            <v>IANLTCS-AIA-EUE-STD-PER URL</v>
          </cell>
        </row>
        <row r="239">
          <cell r="J239" t="str">
            <v>IANLTCS-AIA-EUE-SSL-ADDON-PER SITE</v>
          </cell>
        </row>
        <row r="240">
          <cell r="J240" t="str">
            <v>IANLTCS-AIA-EUE-ADV DIAGNOSTIC-PER SITE</v>
          </cell>
        </row>
        <row r="241">
          <cell r="J241" t="str">
            <v>IANLTCS-AIA-ADV DIAGNOSTIC-WEBAPPS-PER SRV</v>
          </cell>
        </row>
        <row r="242">
          <cell r="J242" t="str">
            <v>IANLTCS-AIA-ADV DIAGNOSTIC-JAVA/.NET-PER SRV</v>
          </cell>
        </row>
        <row r="244">
          <cell r="J244" t="str">
            <v>IANLTCS-AIA-ADV DIAGNOSTIC-NETWORK-PER 2 NODES</v>
          </cell>
        </row>
        <row r="246">
          <cell r="J246" t="str">
            <v>IANLTCS-AIA-AMS-PER 'x' XF MEASUREMENT</v>
          </cell>
        </row>
        <row r="247">
          <cell r="J247" t="str">
            <v>IANLTCS-AIA-WLPT-PER X VIRTUAL USER HOUR</v>
          </cell>
        </row>
        <row r="249">
          <cell r="J249" t="str">
            <v>CI-PS-CONSULTING-L1-PERMANDAY</v>
          </cell>
        </row>
        <row r="250">
          <cell r="J250" t="str">
            <v>CI-PS-CONSULTING-L2-PERMANDAY</v>
          </cell>
        </row>
        <row r="251">
          <cell r="J251" t="str">
            <v>CI-PS-CONSULTING-L3-PERMANDAY</v>
          </cell>
        </row>
        <row r="252">
          <cell r="J252" t="str">
            <v>CI-PS-PROGMGMT-L1-PERMANDAY</v>
          </cell>
        </row>
        <row r="253">
          <cell r="J253" t="str">
            <v>CI-PS-PROGMGMT-L2-PERMANDAY</v>
          </cell>
        </row>
        <row r="254">
          <cell r="J254" t="str">
            <v>CI-PS-PROGMGMT-L3-PERMANDAY</v>
          </cell>
        </row>
        <row r="255">
          <cell r="J255" t="str">
            <v>CI-PS-FACILITYMGMT-L1-PERMANDAY</v>
          </cell>
        </row>
        <row r="256">
          <cell r="J256" t="str">
            <v>CI-PS-FACILITYMGMT-L2-PERMANDAY</v>
          </cell>
        </row>
        <row r="257">
          <cell r="J257" t="str">
            <v>CI-PS-FACILITYMGMT-L3-PERMANDAY</v>
          </cell>
        </row>
        <row r="258">
          <cell r="J258" t="str">
            <v>CI-PS-AUDIT-BASIC-PER MAN DAY</v>
          </cell>
        </row>
        <row r="259">
          <cell r="J259" t="str">
            <v>CI-PS-AUDIT-ADVANCED-PER MAN DAY</v>
          </cell>
        </row>
        <row r="261">
          <cell r="J261" t="str">
            <v>CI-MITS-ENGAGEMENT MGMNT-PER SETUP</v>
          </cell>
        </row>
        <row r="262">
          <cell r="J262" t="str">
            <v>CI-MITS-SMART-REMOTE SUPPORT-6RQST-PER QTR -PER SERVER -PA</v>
          </cell>
        </row>
        <row r="263">
          <cell r="J263" t="str">
            <v>CI-MITS-OS-WIN-PROFICIENT-1-OS</v>
          </cell>
        </row>
        <row r="264">
          <cell r="J264" t="str">
            <v>CI-MITS-OS-LNX-PROFICIENT-1-OS</v>
          </cell>
        </row>
        <row r="265">
          <cell r="J265" t="str">
            <v>CI-MITS-OS-SOLARIS-PROFICIENT-1-OS</v>
          </cell>
        </row>
        <row r="266">
          <cell r="J266" t="str">
            <v>CI-MITS-OS-AIX-PROFICIENT-1-OS</v>
          </cell>
        </row>
        <row r="267">
          <cell r="J267" t="str">
            <v>CI-MITS-OS-HP-UX-PROFICIENT-1-OS</v>
          </cell>
        </row>
        <row r="269">
          <cell r="J269" t="str">
            <v>CI-MITS-DB-MSSQL-PROFICIENT-1-DB</v>
          </cell>
        </row>
        <row r="270">
          <cell r="J270" t="str">
            <v>CI-MITS-DB-MYSQL-PROFICIENT-1-DB</v>
          </cell>
        </row>
        <row r="271">
          <cell r="J271" t="str">
            <v>CI-MITS-DB-ORACLE-PROFICIENT-1-DB</v>
          </cell>
        </row>
        <row r="273">
          <cell r="J273" t="str">
            <v>CI-MITS-VIRTUALIZATION-VMWARE-PROFICIENT-1-VS</v>
          </cell>
        </row>
        <row r="274">
          <cell r="J274" t="str">
            <v>CI-MITS-VIRTUALIZATION-XEN-PROFICIENT-1-VS</v>
          </cell>
        </row>
        <row r="275">
          <cell r="J275" t="str">
            <v>CI-MITS-VIRTUALIZATION-HYPERV-PROFICIENT-1-VS</v>
          </cell>
        </row>
        <row r="276">
          <cell r="J276" t="str">
            <v>CI-MITS-VIRTUALIZATION-RHEV-PROFICIENT-1-VS</v>
          </cell>
        </row>
        <row r="278">
          <cell r="J278" t="str">
            <v>CI-MITS-EMAIL-MSEX-PROFICIENT-1-ESRV</v>
          </cell>
        </row>
        <row r="279">
          <cell r="J279" t="str">
            <v>CI-MITS-EMAIL-QMAIL-PROFICIENT-1-ESRV</v>
          </cell>
        </row>
        <row r="280">
          <cell r="J280" t="str">
            <v>CI-MITS-EMAIL-POSTFIX-PROFICIENT-1-ESRV</v>
          </cell>
        </row>
        <row r="281">
          <cell r="J281" t="str">
            <v>CI-MITS-EMAIL-LOTUSNOTES-PROFICIENT-1-ESRV</v>
          </cell>
        </row>
        <row r="283">
          <cell r="J283" t="str">
            <v>CI-MITS-SEC-LE-FIREWALL-PROFICIENT-1-FIREWALL</v>
          </cell>
        </row>
        <row r="284">
          <cell r="J284" t="str">
            <v>CI-MITS-SEC-ME-FIREWALL-PROFICIENT-1-FIREWALL</v>
          </cell>
        </row>
        <row r="285">
          <cell r="J285" t="str">
            <v>CI-MITS-SEC-HE-FIREWALL-PROFICIENT-1-FIREWALL</v>
          </cell>
        </row>
        <row r="286">
          <cell r="J286" t="str">
            <v>CI-MITS-SEC-IPSIDS-PROFICIENT-1-IPSIDS</v>
          </cell>
        </row>
        <row r="287">
          <cell r="J287" t="str">
            <v>CI-MITS-SEC-FORTKNOX-PROFICIENT-1-SVR</v>
          </cell>
        </row>
        <row r="289">
          <cell r="J289" t="str">
            <v>CI-MITS-AM-WEBSERVER-PROFICIENT-1-APP</v>
          </cell>
        </row>
        <row r="290">
          <cell r="J290" t="str">
            <v>CI-MITS-AM-JBOSS-PROFICIENT-1-APP</v>
          </cell>
        </row>
        <row r="291">
          <cell r="J291" t="str">
            <v>CI-MITS-AM-IISSERVER-PROFICIENT-1-APP</v>
          </cell>
        </row>
        <row r="292">
          <cell r="J292" t="str">
            <v>CI-MITS-AM-MSFOREFRONT-PROFICIENT-1-APP</v>
          </cell>
        </row>
        <row r="293">
          <cell r="J293" t="str">
            <v>CI-MITS-AM-ACTIVEDIR-PROFICIENT-1-APP</v>
          </cell>
        </row>
        <row r="294">
          <cell r="J294" t="str">
            <v>CI-MITS-AM-DNS-PROFICIENT-1-APP</v>
          </cell>
        </row>
        <row r="296">
          <cell r="J296" t="str">
            <v>CI-MITS-AM-CITRIX-PROFICIENT-1-APP</v>
          </cell>
        </row>
        <row r="297">
          <cell r="J297" t="str">
            <v>CI-MITS-AM-WEBLOGIC-PROFICIENT-1-APP</v>
          </cell>
        </row>
        <row r="298">
          <cell r="J298" t="str">
            <v>CI-MITS-AM-WEBSPHERE-PROFICIENT-1-APP</v>
          </cell>
        </row>
        <row r="300">
          <cell r="J300" t="str">
            <v>CI-MITS-NW-HARDWARE-LB-APP-PROFICIENT-1-AP</v>
          </cell>
        </row>
        <row r="301">
          <cell r="J301" t="str">
            <v>CI-MITS-NW-HARDWARE-LB-LINK-PROFICIENT-1-LINK</v>
          </cell>
        </row>
        <row r="302">
          <cell r="J302" t="str">
            <v>CI-MITS-NW-LE-SWITCH-PROFICIENT-1-SWITCH</v>
          </cell>
        </row>
        <row r="303">
          <cell r="J303" t="str">
            <v>CI-MITS-NW-ME-SWITCH-PROFICIENT-1-SWITCH</v>
          </cell>
        </row>
        <row r="304">
          <cell r="J304" t="str">
            <v>CI-MITS-NW-HE-SWITCH-PROFICIENT-1-SWITCH</v>
          </cell>
        </row>
        <row r="305">
          <cell r="J305" t="str">
            <v>CI-MITS-NW-LE-ROUTER-PROFICIENT-1-ROUTER</v>
          </cell>
        </row>
        <row r="306">
          <cell r="J306" t="str">
            <v>CI-MITS-NW-ME-ROUTER-PROFICIENT-1-ROUTER</v>
          </cell>
        </row>
        <row r="307">
          <cell r="J307" t="str">
            <v>CI-MITS-NW-HE-ROUTER-PROFICIENT-1-ROUTER</v>
          </cell>
        </row>
        <row r="309">
          <cell r="J309" t="str">
            <v>DC-VAS-DFW-JUNIPER-SRX-240-PDEVICE</v>
          </cell>
        </row>
        <row r="310">
          <cell r="J310" t="str">
            <v>DC-VAS-DUTM-FORTINET-F50B-PDEVICE</v>
          </cell>
        </row>
        <row r="311">
          <cell r="J311" t="str">
            <v>DC-VAS-DNIPS-McAfee-2750-600Mbps-PDEVICE</v>
          </cell>
        </row>
        <row r="312">
          <cell r="J312" t="str">
            <v>DC-VAS-HIPS-McAfee-HIPS-WIN-LNX-PHOST</v>
          </cell>
        </row>
        <row r="314">
          <cell r="J314" t="str">
            <v>DC-VAS-COLO-PWR-PER100VA-PERU</v>
          </cell>
        </row>
        <row r="315">
          <cell r="J315" t="str">
            <v>DC-VAS-COLO-PWR-PERKVA-PERRACK</v>
          </cell>
        </row>
      </sheetData>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 val="Links"/>
      <sheetName val="Lead"/>
      <sheetName val="Base data Security Procedures"/>
      <sheetName val="MS NET"/>
      <sheetName val="12-Month Sales Forecast"/>
      <sheetName val="Labels"/>
      <sheetName val="Drop down data"/>
      <sheetName val="Data Domains"/>
    </sheetNames>
    <sheetDataSet>
      <sheetData sheetId="0"/>
      <sheetData sheetId="1"/>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Jan Server"/>
      <sheetName val="Jan Network"/>
      <sheetName val="Jan Dtps &amp; Ltps"/>
      <sheetName val="Jan Printers"/>
      <sheetName val="Feb Server"/>
      <sheetName val="Feb Network"/>
      <sheetName val="Feb Dtps &amp; Ltps"/>
      <sheetName val="Feb Printers"/>
      <sheetName val="March Server"/>
      <sheetName val="March Network"/>
      <sheetName val="March Dtps &amp; Ltps"/>
      <sheetName val="March Printers"/>
      <sheetName val="Junk"/>
      <sheetName val="Standby &amp; Stock"/>
      <sheetName val="Apr Server"/>
      <sheetName val="Apr Network"/>
      <sheetName val="Apr Dtps &amp; Ltps"/>
      <sheetName val="Apr Printers"/>
      <sheetName val="May Server"/>
      <sheetName val="May Network"/>
      <sheetName val="May Dtps &amp; Ltps"/>
      <sheetName val="May Printers"/>
      <sheetName val="Jun Server"/>
      <sheetName val="Jun Network"/>
      <sheetName val="Jun Dtps &amp; Ltps"/>
      <sheetName val="Jun Printers"/>
      <sheetName val="Jul Server"/>
      <sheetName val="Jul Network"/>
      <sheetName val="Jul Dtps &amp; Ltps"/>
      <sheetName val="Jul Printers"/>
      <sheetName val="Aug Server"/>
      <sheetName val="Aug Network"/>
      <sheetName val="Aug Dtps &amp; Ltps"/>
      <sheetName val="Aug Printers"/>
      <sheetName val="Sep Server"/>
      <sheetName val="Sep Network"/>
      <sheetName val="Sep Dtps &amp; Ltps"/>
      <sheetName val="Sep Printers"/>
      <sheetName val="Oct Server"/>
      <sheetName val="Oct Network"/>
      <sheetName val="Oct Dtps &amp; Ltps"/>
      <sheetName val="Oct Printers"/>
      <sheetName val="Nov Server"/>
      <sheetName val="Nov Network"/>
      <sheetName val="Nov Dtps &amp; Ltps"/>
      <sheetName val="Nov Printers"/>
      <sheetName val="Dec Server"/>
      <sheetName val="Dec Network"/>
      <sheetName val="Dec Dtps &amp; Ltps"/>
      <sheetName val="Dec Printers"/>
      <sheetName val="Data"/>
      <sheetName val="Dec EHR Server"/>
      <sheetName val="Dec EHR Printer"/>
      <sheetName val="Dec EHR dtps &amp;Laps"/>
      <sheetName val="Jan Server 2012"/>
      <sheetName val="Jan Network 2012"/>
      <sheetName val="Jan Dtps&amp;Lpts 2012"/>
      <sheetName val="Jan Printers 2012"/>
      <sheetName val="Jan EHR Printer 2012"/>
      <sheetName val="Jan EHR dpts&amp;laps 2012"/>
      <sheetName val="Feb Mailbox 2012"/>
      <sheetName val="Feb EHR Server 2012"/>
      <sheetName val="Feb EHR Printer 2012"/>
      <sheetName val="Server 2012"/>
      <sheetName val="Routers &amp; Firewalls"/>
      <sheetName val="Network-Switch 2012"/>
      <sheetName val="March EHR Dpts&amp;Laps 2012"/>
      <sheetName val="March EHR Server 2012"/>
      <sheetName val="Printer 2012"/>
      <sheetName val="EHR Laptops &amp; Desktops"/>
      <sheetName val="EHR Printer 2012"/>
      <sheetName val="Laptops and Desktops"/>
      <sheetName val="PIVOT"/>
      <sheetName val="Dashboard"/>
      <sheetName val="LPTP_DSPT_Validation"/>
      <sheetName val="Drop down data"/>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A4" t="str">
            <v>Gurgaon</v>
          </cell>
        </row>
      </sheetData>
      <sheetData sheetId="51">
        <row r="4">
          <cell r="A4" t="str">
            <v>Gurgaon</v>
          </cell>
        </row>
        <row r="5">
          <cell r="A5" t="str">
            <v>Noida</v>
          </cell>
        </row>
        <row r="6">
          <cell r="A6" t="str">
            <v>Okhla</v>
          </cell>
        </row>
        <row r="7">
          <cell r="A7" t="str">
            <v>Panchsheel Park</v>
          </cell>
        </row>
        <row r="8">
          <cell r="A8" t="str">
            <v>Patparganj</v>
          </cell>
        </row>
        <row r="9">
          <cell r="A9" t="str">
            <v>Pitampura</v>
          </cell>
        </row>
        <row r="10">
          <cell r="A10" t="str">
            <v>Dell Noida</v>
          </cell>
        </row>
        <row r="11">
          <cell r="A11" t="str">
            <v>Saket</v>
          </cell>
        </row>
        <row r="12">
          <cell r="A12" t="str">
            <v>Saket DDF</v>
          </cell>
        </row>
        <row r="13">
          <cell r="A13" t="str">
            <v>Saket MSSH</v>
          </cell>
        </row>
        <row r="14">
          <cell r="A14" t="str">
            <v>SaketMCC</v>
          </cell>
        </row>
        <row r="15">
          <cell r="A15" t="str">
            <v>Mohali</v>
          </cell>
        </row>
        <row r="16">
          <cell r="A16" t="str">
            <v>Bhatinda</v>
          </cell>
        </row>
        <row r="17">
          <cell r="A17" t="str">
            <v>Dehradun</v>
          </cell>
        </row>
        <row r="18">
          <cell r="A18" t="str">
            <v>Shalimar Bagh</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DRP Punjab Primary"/>
      <sheetName val="Master Part List 7-1-09"/>
      <sheetName val="Reference"/>
      <sheetName val="Data"/>
      <sheetName val="Master"/>
    </sheetNames>
    <sheetDataSet>
      <sheetData sheetId="0"/>
      <sheetData sheetId="1"/>
      <sheetData sheetId="2" refreshError="1">
        <row r="19">
          <cell r="M19">
            <v>1</v>
          </cell>
        </row>
        <row r="20">
          <cell r="M20">
            <v>2</v>
          </cell>
        </row>
        <row r="21">
          <cell r="M21">
            <v>3</v>
          </cell>
        </row>
        <row r="22">
          <cell r="D22" t="str">
            <v>900010-000</v>
          </cell>
          <cell r="E22" t="str">
            <v>900050-000</v>
          </cell>
          <cell r="M22">
            <v>4</v>
          </cell>
        </row>
        <row r="23">
          <cell r="D23" t="str">
            <v>900010-MON</v>
          </cell>
          <cell r="E23" t="str">
            <v>900060-000</v>
          </cell>
          <cell r="M23">
            <v>5</v>
          </cell>
        </row>
        <row r="24">
          <cell r="D24" t="str">
            <v>900020-000</v>
          </cell>
          <cell r="M24">
            <v>6</v>
          </cell>
        </row>
        <row r="25">
          <cell r="D25" t="str">
            <v>900020-MON</v>
          </cell>
          <cell r="M25">
            <v>7</v>
          </cell>
        </row>
        <row r="26">
          <cell r="M26">
            <v>8</v>
          </cell>
        </row>
        <row r="27">
          <cell r="M27">
            <v>9</v>
          </cell>
        </row>
        <row r="28">
          <cell r="M28">
            <v>10</v>
          </cell>
        </row>
        <row r="29">
          <cell r="M29">
            <v>11</v>
          </cell>
        </row>
        <row r="30">
          <cell r="M30">
            <v>12</v>
          </cell>
        </row>
      </sheetData>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dex"/>
      <sheetName val="Document revision"/>
      <sheetName val="Milestone &amp; WBS"/>
      <sheetName val="SLA"/>
      <sheetName val="Project Summary"/>
      <sheetName val="Financial Plan And Actual Perf"/>
      <sheetName val="An-II (Tot Margin)"/>
      <sheetName val="An-III (Itemwise Margin)"/>
      <sheetName val="An-V (COG)  "/>
      <sheetName val="An-IV (Cash Flow)"/>
      <sheetName val="PA System Details "/>
      <sheetName val="PA Revised"/>
      <sheetName val="FMS Details "/>
      <sheetName val="An- Va SI Sheet Assumptions"/>
      <sheetName val="SI Task Plan"/>
      <sheetName val="Proj Unbudgetted Cost"/>
      <sheetName val="Config"/>
      <sheetName val="MTO"/>
      <sheetName val="Power"/>
      <sheetName val="Motor Data"/>
      <sheetName val="Stackers 1 &amp; 2 LV"/>
      <sheetName val="Base data Security Procedures"/>
      <sheetName val="xSeries255"/>
      <sheetName val="Links"/>
      <sheetName val="Lead"/>
      <sheetName val="acs(1)"/>
      <sheetName val="fas-c(4)"/>
      <sheetName val="cctv(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 val="Other_Input"/>
      <sheetName val="Cover shee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Huawei solutions for SAP HANA-2"/>
      <sheetName val="Huawei solutions for SAP HANA_3"/>
      <sheetName val="Huawei solutions for SAP HANA_2"/>
      <sheetName val="2288H V5"/>
      <sheetName val="Huawei solutions for SAP HANA_1"/>
      <sheetName val="Huawei solutions for SAP HANA_4"/>
      <sheetName val="Technical Support Service"/>
      <sheetName val="Installation Service"/>
      <sheetName val="tmp"/>
    </sheetNames>
    <sheetDataSet>
      <sheetData sheetId="0" refreshError="1"/>
      <sheetData sheetId="1" refreshError="1"/>
      <sheetData sheetId="2" refreshError="1"/>
      <sheetData sheetId="3" refreshError="1">
        <row r="11">
          <cell r="F11" t="str">
            <v>USD</v>
          </cell>
        </row>
        <row r="14">
          <cell r="F14" t="str">
            <v>FOB</v>
          </cell>
        </row>
        <row r="15">
          <cell r="F15" t="str">
            <v>Explicit</v>
          </cell>
        </row>
        <row r="16">
          <cell r="F16" t="str">
            <v>Hongkong_China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_data"/>
      <sheetName val="Cable-data"/>
      <sheetName val="XLPE. ALLUMINIUM) (2)"/>
      <sheetName val="XLPE. ALLUMINIUM)"/>
      <sheetName val="XLPE COPPER"/>
      <sheetName val="PVC ALLUMINIUM"/>
      <sheetName val="PVC COPPER"/>
      <sheetName val="IO LIST"/>
      <sheetName val="Sheet1"/>
      <sheetName val="R20_R30_work"/>
      <sheetName val="Formulas"/>
      <sheetName val="PRSH"/>
      <sheetName val="Factors "/>
      <sheetName val="RCC,Ret. Wall"/>
      <sheetName val="96수출"/>
      <sheetName val="CABLE DATA"/>
      <sheetName val="PCS"/>
      <sheetName val="Field Values"/>
      <sheetName val="horizontal"/>
      <sheetName val="Rate Card"/>
      <sheetName val="Variation Statement"/>
      <sheetName val="Costing"/>
      <sheetName val="XLPE__ALLUMINIUM)_(2)"/>
      <sheetName val="XLPE__ALLUMINIUM)"/>
      <sheetName val="XLPE_COPPER"/>
      <sheetName val="PVC_ALLUMINIUM"/>
      <sheetName val="PVC_COPPER"/>
      <sheetName val="Labels"/>
      <sheetName val="Query Results ALL"/>
      <sheetName val="RCC,Ret__Wall"/>
      <sheetName val="Factors_"/>
      <sheetName val="XLPE__ALLUMINIUM)_(2)1"/>
      <sheetName val="XLPE__ALLUMINIUM)1"/>
      <sheetName val="XLPE_COPPER1"/>
      <sheetName val="PVC_ALLUMINIUM1"/>
      <sheetName val="PVC_COPPER1"/>
      <sheetName val="RCC,Ret__Wall1"/>
      <sheetName val="Factors_1"/>
      <sheetName val="IO_LIST"/>
      <sheetName val="RCC_Ret_ Wall"/>
      <sheetName val="RA-markate"/>
      <sheetName val="Approved MTD Proj #'s"/>
      <sheetName val="Headings"/>
      <sheetName val="10. &amp; 11. Rate Code &amp; BQ"/>
      <sheetName val="Footings"/>
      <sheetName val="Sheet2"/>
      <sheetName val="Originating Station"/>
      <sheetName val="Particulars"/>
      <sheetName val="EMC BOM"/>
      <sheetName val="Lists"/>
    </sheetNames>
    <sheetDataSet>
      <sheetData sheetId="0"/>
      <sheetData sheetId="1" refreshError="1">
        <row r="33">
          <cell r="A33">
            <v>2.5</v>
          </cell>
          <cell r="B33">
            <v>0</v>
          </cell>
          <cell r="C33">
            <v>0</v>
          </cell>
          <cell r="D33">
            <v>0</v>
          </cell>
          <cell r="E33">
            <v>2.5</v>
          </cell>
          <cell r="F33" t="str">
            <v>-</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DATA"/>
      <sheetName val="      "/>
      <sheetName val="VD FOR LIGHTING"/>
      <sheetName val="Sheet1"/>
      <sheetName val="Cable-data"/>
      <sheetName val="R20_R30_work"/>
      <sheetName val="Formulas"/>
      <sheetName val="Rates_PVC"/>
      <sheetName val="PRSH"/>
      <sheetName val="BOQ "/>
      <sheetName val="Flooring"/>
      <sheetName val="ELEC_BOQ"/>
      <sheetName val="______"/>
      <sheetName val="VD_FOR_LIGHTING"/>
      <sheetName val="CABLE_DATA"/>
      <sheetName val="______1"/>
      <sheetName val="VD_FOR_LIGHTING1"/>
      <sheetName val="CABLE_DATA1"/>
      <sheetName val="Basement Budget"/>
      <sheetName val="Sheet2"/>
      <sheetName val="horizontal"/>
      <sheetName val="Footings"/>
      <sheetName val="Originating Station"/>
    </sheetNames>
    <sheetDataSet>
      <sheetData sheetId="0"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Config"/>
    </sheetNames>
    <sheetDataSet>
      <sheetData sheetId="0"/>
      <sheetData sheetId="1"/>
      <sheetData sheetId="2"/>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Lists"/>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ow r="4">
          <cell r="I4" t="str">
            <v>Program Manager / Director</v>
          </cell>
        </row>
      </sheetData>
      <sheetData sheetId="23"/>
      <sheetData sheetId="24"/>
      <sheetData sheetId="25"/>
      <sheetData sheetId="26"/>
      <sheetData sheetId="27"/>
      <sheetData sheetId="28">
        <row r="4">
          <cell r="I4" t="str">
            <v>Program Manager / Director</v>
          </cell>
        </row>
      </sheetData>
      <sheetData sheetId="29">
        <row r="4">
          <cell r="I4" t="str">
            <v>Program Manager / Director</v>
          </cell>
        </row>
      </sheetData>
      <sheetData sheetId="30"/>
      <sheetData sheetId="31"/>
      <sheetData sheetId="32"/>
      <sheetData sheetId="33"/>
      <sheetData sheetId="34"/>
      <sheetData sheetId="35"/>
      <sheetData sheetId="36"/>
      <sheetData sheetId="37"/>
      <sheetData sheetId="3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 val="staff acco."/>
      <sheetName val="cost"/>
      <sheetName val="storage"/>
      <sheetName val="Capacity Inpu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d-safe DELUXE"/>
      <sheetName val="SPT vs PHI"/>
      <sheetName val="Final Bill of Material"/>
      <sheetName val="계정"/>
      <sheetName val="Storage"/>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Inputs &amp; Assumptions(DC)"/>
      <sheetName val="Inter unit set off"/>
      <sheetName val="Lists &amp; Looku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tbason15.4"/>
      <sheetName val="Trialbal"/>
      <sheetName val="Sheet1"/>
      <sheetName val="BS"/>
      <sheetName val="PL"/>
      <sheetName val="Cash flow"/>
      <sheetName val="Sch1"/>
      <sheetName val="Sch 2"/>
      <sheetName val="Sch 3,4,5"/>
      <sheetName val="Sch 6"/>
      <sheetName val="Sch 7"/>
      <sheetName val="Sch8,9&amp;10"/>
      <sheetName val="sch11"/>
      <sheetName val=" Tax provision "/>
      <sheetName val="EPS"/>
      <sheetName val="Abstract "/>
      <sheetName val="Grouping P&amp;L"/>
      <sheetName val="Grouping BS"/>
      <sheetName val="Cost breakup"/>
      <sheetName val="Assets &amp; Liab"/>
      <sheetName val="TB050204Final"/>
      <sheetName val="Abstract"/>
      <sheetName val="sch3&amp;9grp"/>
      <sheetName val="sch3&amp;9gr"/>
      <sheetName val="sch7grp"/>
      <sheetName val="sch10grp"/>
      <sheetName val="sch11grp"/>
      <sheetName val="sch12grup"/>
      <sheetName val="Sch14grp"/>
      <sheetName val="staffsch14grp"/>
      <sheetName val="sch15grp"/>
      <sheetName val="FA GRP"/>
      <sheetName val="CF final"/>
      <sheetName val="Inter unit set off"/>
      <sheetName val="d-safe specs"/>
      <sheetName val="Cost sheet - Summary "/>
    </sheetNames>
    <sheetDataSet>
      <sheetData sheetId="0" refreshError="1"/>
      <sheetData sheetId="1" refreshError="1"/>
      <sheetData sheetId="2" refreshError="1"/>
      <sheetData sheetId="3" refreshError="1"/>
      <sheetData sheetId="4" refreshError="1"/>
      <sheetData sheetId="5" refreshError="1">
        <row r="11">
          <cell r="L11">
            <v>5705431.1299999999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refreshError="1"/>
      <sheetData sheetId="1">
        <row r="21">
          <cell r="H21" t="b">
            <v>1</v>
          </cell>
        </row>
      </sheetData>
      <sheetData sheetId="2" refreshError="1"/>
      <sheetData sheetId="3">
        <row r="16">
          <cell r="H16" t="str">
            <v>Ubuntu 20.04</v>
          </cell>
        </row>
        <row r="203">
          <cell r="H203">
            <v>4</v>
          </cell>
        </row>
        <row r="204">
          <cell r="H204">
            <v>8</v>
          </cell>
        </row>
        <row r="205">
          <cell r="H205">
            <v>129</v>
          </cell>
        </row>
        <row r="206">
          <cell r="H206" t="str">
            <v>-</v>
          </cell>
        </row>
        <row r="207">
          <cell r="H207" t="str">
            <v>-</v>
          </cell>
        </row>
      </sheetData>
      <sheetData sheetId="4" refreshError="1"/>
      <sheetData sheetId="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s"/>
      <sheetName val="Summary Sheet"/>
      <sheetName val="Factors"/>
      <sheetName val="Desktop MA"/>
      <sheetName val="EML Routers"/>
      <sheetName val="EML LTO &amp; SAN"/>
      <sheetName val="EML Switches"/>
      <sheetName val="EMLHubs"/>
      <sheetName val="EMLServers"/>
      <sheetName val="EMLWorkstations"/>
      <sheetName val="EMLLaptop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s>
    <sheetDataSet>
      <sheetData sheetId="0"/>
      <sheetData sheetId="1"/>
      <sheetData sheetId="2"/>
      <sheetData sheetId="3"/>
      <sheetData sheetId="4"/>
      <sheetData sheetId="5"/>
      <sheetData sheetId="6"/>
      <sheetData sheetId="7"/>
      <sheetData sheetId="8"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9"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10"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 val="Cost sheet - Summary "/>
    </sheetNames>
    <sheetDataSet>
      <sheetData sheetId="0"/>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 val="cctv_est1"/>
      <sheetName val="validations"/>
      <sheetName val="Master data"/>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306"/>
      <sheetName val="Civil Boq"/>
      <sheetName val="moments-table(tri)"/>
      <sheetName val="Legal Risk Analysis"/>
      <sheetName val="ACS(1)"/>
      <sheetName val="FAS-C(4)"/>
      <sheetName val="CCTV(old)"/>
      <sheetName val="Technology Assessment"/>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Consolidated"/>
      <sheetName val="1-8"/>
      <sheetName val="mdd &amp; co Fdr jan.02 "/>
      <sheetName val="Technology Assessment"/>
      <sheetName val="Ref"/>
      <sheetName val="Maintenance Work Order"/>
      <sheetName val="xSeries306"/>
      <sheetName val="Sizing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zoomScaleNormal="100" workbookViewId="0">
      <selection activeCell="E29" sqref="E29"/>
    </sheetView>
  </sheetViews>
  <sheetFormatPr defaultRowHeight="14.5" x14ac:dyDescent="0.35"/>
  <cols>
    <col min="2" max="2" width="74.90625" bestFit="1" customWidth="1"/>
    <col min="3" max="3" width="21.54296875" bestFit="1" customWidth="1"/>
    <col min="4" max="4" width="12" bestFit="1" customWidth="1"/>
    <col min="5" max="5" width="21" bestFit="1" customWidth="1"/>
    <col min="6" max="6" width="22.453125" bestFit="1" customWidth="1"/>
    <col min="7" max="7" width="16.90625" bestFit="1" customWidth="1"/>
    <col min="8" max="8" width="18" bestFit="1" customWidth="1"/>
    <col min="9" max="9" width="5.08984375" bestFit="1" customWidth="1"/>
    <col min="10" max="10" width="11.6328125" bestFit="1" customWidth="1"/>
  </cols>
  <sheetData>
    <row r="1" spans="1:18" x14ac:dyDescent="0.35">
      <c r="A1" s="160">
        <f>F10-F23</f>
        <v>-7635914.5999999996</v>
      </c>
      <c r="G1" t="s">
        <v>49</v>
      </c>
      <c r="H1" s="47">
        <v>45728</v>
      </c>
    </row>
    <row r="3" spans="1:18" x14ac:dyDescent="0.35">
      <c r="C3" t="s">
        <v>474</v>
      </c>
    </row>
    <row r="5" spans="1:18" s="37" customFormat="1" ht="15.75" customHeight="1" x14ac:dyDescent="0.35">
      <c r="B5" s="212" t="s">
        <v>441</v>
      </c>
      <c r="C5" s="213"/>
      <c r="D5" s="213"/>
      <c r="E5" s="213"/>
      <c r="F5" s="214"/>
      <c r="G5" s="40"/>
      <c r="H5" s="40"/>
      <c r="I5" s="40"/>
      <c r="J5" s="40"/>
      <c r="K5" s="40"/>
      <c r="L5" s="40"/>
      <c r="M5" s="40"/>
      <c r="N5" s="40"/>
      <c r="O5" s="40"/>
      <c r="P5" s="40"/>
      <c r="Q5" s="40"/>
      <c r="R5" s="40"/>
    </row>
    <row r="6" spans="1:18" s="37" customFormat="1" ht="15.75" customHeight="1" x14ac:dyDescent="0.35">
      <c r="B6" s="42" t="s">
        <v>42</v>
      </c>
      <c r="C6" s="38" t="s">
        <v>43</v>
      </c>
      <c r="D6" s="39" t="s">
        <v>44</v>
      </c>
      <c r="E6" s="39" t="s">
        <v>47</v>
      </c>
      <c r="F6" s="39" t="s">
        <v>45</v>
      </c>
      <c r="G6" s="40"/>
      <c r="H6" s="40"/>
      <c r="I6" s="40"/>
      <c r="J6" s="40"/>
      <c r="K6" s="40"/>
      <c r="L6" s="40"/>
      <c r="M6" s="40"/>
      <c r="N6" s="40"/>
      <c r="O6" s="40"/>
      <c r="P6" s="40"/>
      <c r="Q6" s="40"/>
      <c r="R6" s="40"/>
    </row>
    <row r="7" spans="1:18" s="37" customFormat="1" ht="15.75" customHeight="1" x14ac:dyDescent="0.35">
      <c r="B7" s="54" t="s">
        <v>46</v>
      </c>
      <c r="C7" s="55">
        <f>'ESDS DC'!F48</f>
        <v>331049.40000000008</v>
      </c>
      <c r="D7" s="56">
        <v>5</v>
      </c>
      <c r="E7" s="57">
        <f>C7*D7</f>
        <v>1655247.0000000005</v>
      </c>
      <c r="F7" s="57">
        <f>'ESDS DC'!G48</f>
        <v>0</v>
      </c>
      <c r="G7" s="41"/>
      <c r="H7" s="40"/>
      <c r="I7" s="40"/>
      <c r="J7" s="40"/>
      <c r="K7" s="40"/>
      <c r="L7" s="40"/>
      <c r="M7" s="40"/>
      <c r="N7" s="40"/>
      <c r="O7" s="40"/>
      <c r="P7" s="40"/>
      <c r="Q7" s="40"/>
      <c r="R7" s="40"/>
    </row>
    <row r="8" spans="1:18" s="37" customFormat="1" ht="15.75" hidden="1" customHeight="1" x14ac:dyDescent="0.35">
      <c r="B8" s="54" t="s">
        <v>439</v>
      </c>
      <c r="C8" s="55"/>
      <c r="D8" s="56">
        <v>1</v>
      </c>
      <c r="E8" s="57">
        <f>C8*D8</f>
        <v>0</v>
      </c>
      <c r="F8" s="57"/>
      <c r="G8" s="41"/>
      <c r="H8" s="40"/>
      <c r="I8" s="40"/>
      <c r="J8" s="40"/>
      <c r="K8" s="40"/>
      <c r="L8" s="40"/>
      <c r="M8" s="40"/>
      <c r="N8" s="40"/>
      <c r="O8" s="40"/>
      <c r="P8" s="40"/>
      <c r="Q8" s="40"/>
      <c r="R8" s="40"/>
    </row>
    <row r="9" spans="1:18" s="37" customFormat="1" ht="15.75" customHeight="1" thickBot="1" x14ac:dyDescent="0.4">
      <c r="B9" s="215" t="s">
        <v>48</v>
      </c>
      <c r="C9" s="216"/>
      <c r="D9" s="217"/>
      <c r="E9" s="57">
        <f>SUM(E7:E8)</f>
        <v>1655247.0000000005</v>
      </c>
      <c r="F9" s="57">
        <f>SUM(F7:F8)</f>
        <v>0</v>
      </c>
      <c r="G9" s="41"/>
      <c r="H9" s="40"/>
      <c r="I9" s="40"/>
      <c r="J9" s="40"/>
      <c r="K9" s="40"/>
      <c r="L9" s="40"/>
      <c r="M9" s="40"/>
      <c r="N9" s="40"/>
      <c r="O9" s="40"/>
      <c r="P9" s="40"/>
      <c r="Q9" s="40"/>
      <c r="R9" s="40"/>
    </row>
    <row r="10" spans="1:18" ht="19" thickBot="1" x14ac:dyDescent="0.5">
      <c r="B10" s="209" t="s">
        <v>445</v>
      </c>
      <c r="C10" s="210"/>
      <c r="D10" s="210"/>
      <c r="E10" s="211"/>
      <c r="F10" s="58">
        <f>E9+F9</f>
        <v>1655247.0000000005</v>
      </c>
      <c r="G10" s="48"/>
      <c r="H10" s="59"/>
    </row>
    <row r="11" spans="1:18" hidden="1" x14ac:dyDescent="0.35">
      <c r="H11" s="59"/>
    </row>
    <row r="12" spans="1:18" s="37" customFormat="1" ht="15.75" hidden="1" customHeight="1" x14ac:dyDescent="0.35">
      <c r="B12" s="212" t="s">
        <v>65</v>
      </c>
      <c r="C12" s="213"/>
      <c r="D12" s="213"/>
      <c r="E12" s="213"/>
      <c r="F12" s="214"/>
      <c r="G12" s="40"/>
      <c r="H12" s="40"/>
      <c r="I12" s="40"/>
      <c r="J12" s="40"/>
      <c r="K12" s="40"/>
      <c r="L12" s="40"/>
      <c r="M12" s="40"/>
      <c r="N12" s="40"/>
      <c r="O12" s="40"/>
      <c r="P12" s="40"/>
      <c r="Q12" s="40"/>
      <c r="R12" s="40"/>
    </row>
    <row r="13" spans="1:18" ht="15.5" hidden="1" x14ac:dyDescent="0.35">
      <c r="B13" s="42" t="s">
        <v>42</v>
      </c>
      <c r="C13" s="38" t="s">
        <v>43</v>
      </c>
      <c r="D13" s="39" t="s">
        <v>44</v>
      </c>
      <c r="E13" s="39" t="s">
        <v>47</v>
      </c>
      <c r="F13" s="39" t="s">
        <v>45</v>
      </c>
      <c r="H13" s="59"/>
    </row>
    <row r="14" spans="1:18" ht="15.5" hidden="1" x14ac:dyDescent="0.35">
      <c r="B14" s="54" t="s">
        <v>46</v>
      </c>
      <c r="C14" s="55" t="e">
        <f>'ESDS DC NON HA'!F43</f>
        <v>#REF!</v>
      </c>
      <c r="D14" s="56">
        <v>12</v>
      </c>
      <c r="E14" s="57" t="e">
        <f>C14*D14</f>
        <v>#REF!</v>
      </c>
      <c r="F14" s="57">
        <f>'ESDS DC'!G54</f>
        <v>0</v>
      </c>
      <c r="H14" s="59"/>
    </row>
    <row r="15" spans="1:18" ht="15.5" hidden="1" x14ac:dyDescent="0.35">
      <c r="B15" s="215" t="s">
        <v>48</v>
      </c>
      <c r="C15" s="216"/>
      <c r="D15" s="217"/>
      <c r="E15" s="57" t="e">
        <f>SUM(E14:E14)</f>
        <v>#REF!</v>
      </c>
      <c r="F15" s="57">
        <f>SUM(F14:F14)</f>
        <v>0</v>
      </c>
      <c r="H15" s="59"/>
    </row>
    <row r="16" spans="1:18" ht="15" hidden="1" thickBot="1" x14ac:dyDescent="0.4">
      <c r="H16" s="59"/>
    </row>
    <row r="17" spans="2:8" ht="19" hidden="1" thickBot="1" x14ac:dyDescent="0.5">
      <c r="B17" s="209" t="s">
        <v>60</v>
      </c>
      <c r="C17" s="210"/>
      <c r="D17" s="210"/>
      <c r="E17" s="211"/>
      <c r="F17" s="58" t="e">
        <f>E15+F15</f>
        <v>#REF!</v>
      </c>
      <c r="H17" s="59"/>
    </row>
    <row r="18" spans="2:8" hidden="1" x14ac:dyDescent="0.35">
      <c r="H18" s="59"/>
    </row>
    <row r="19" spans="2:8" hidden="1" x14ac:dyDescent="0.35">
      <c r="H19" s="59"/>
    </row>
    <row r="20" spans="2:8" hidden="1" x14ac:dyDescent="0.35">
      <c r="H20" s="59"/>
    </row>
    <row r="21" spans="2:8" hidden="1" x14ac:dyDescent="0.35">
      <c r="H21" s="59"/>
    </row>
    <row r="23" spans="2:8" x14ac:dyDescent="0.35">
      <c r="F23" s="160">
        <v>9291161.5999999996</v>
      </c>
      <c r="G23" s="161"/>
    </row>
    <row r="24" spans="2:8" x14ac:dyDescent="0.35">
      <c r="G24" s="161"/>
    </row>
    <row r="25" spans="2:8" x14ac:dyDescent="0.35">
      <c r="B25" s="62" t="s">
        <v>64</v>
      </c>
      <c r="D25" s="63"/>
      <c r="F25" s="179"/>
      <c r="G25" s="161"/>
    </row>
    <row r="26" spans="2:8" ht="15.5" x14ac:dyDescent="0.35">
      <c r="B26" s="64" t="s">
        <v>73</v>
      </c>
      <c r="C26" s="65"/>
      <c r="D26" s="65"/>
    </row>
    <row r="27" spans="2:8" x14ac:dyDescent="0.35">
      <c r="B27" s="64" t="s">
        <v>448</v>
      </c>
    </row>
    <row r="28" spans="2:8" x14ac:dyDescent="0.35">
      <c r="B28" s="64"/>
    </row>
  </sheetData>
  <mergeCells count="6">
    <mergeCell ref="B17:E17"/>
    <mergeCell ref="B5:F5"/>
    <mergeCell ref="B12:F12"/>
    <mergeCell ref="B9:D9"/>
    <mergeCell ref="B10:E10"/>
    <mergeCell ref="B15:D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Y97"/>
  <sheetViews>
    <sheetView tabSelected="1" zoomScale="70" zoomScaleNormal="70" workbookViewId="0">
      <selection activeCell="D11" sqref="D11"/>
    </sheetView>
  </sheetViews>
  <sheetFormatPr defaultColWidth="14.453125" defaultRowHeight="14.5" x14ac:dyDescent="0.35"/>
  <cols>
    <col min="1" max="1" width="6.36328125" style="5" customWidth="1"/>
    <col min="2" max="2" width="40.54296875" style="5" bestFit="1" customWidth="1"/>
    <col min="3" max="3" width="73.90625" style="20" customWidth="1"/>
    <col min="4" max="4" width="18.36328125" style="5" bestFit="1" customWidth="1"/>
    <col min="5" max="7" width="18.36328125" style="5" customWidth="1"/>
    <col min="8" max="8" width="43" style="5" bestFit="1" customWidth="1"/>
    <col min="9" max="9" width="21.90625" style="5" customWidth="1"/>
    <col min="10" max="10" width="9.54296875" style="5" bestFit="1" customWidth="1"/>
    <col min="11" max="11" width="8.54296875" style="5" bestFit="1" customWidth="1"/>
    <col min="12" max="12" width="10" style="5" bestFit="1" customWidth="1"/>
    <col min="13" max="13" width="18.08984375" style="5" customWidth="1"/>
    <col min="14" max="14" width="14.453125" style="5" bestFit="1" customWidth="1"/>
    <col min="15" max="15" width="7.90625" style="1" bestFit="1" customWidth="1"/>
    <col min="16" max="16" width="9.54296875" style="1" bestFit="1" customWidth="1"/>
    <col min="17" max="17" width="9.54296875" style="5" bestFit="1" customWidth="1"/>
    <col min="18" max="18" width="7.453125" style="5" bestFit="1" customWidth="1"/>
    <col min="19" max="19" width="8.6328125" style="5" bestFit="1" customWidth="1"/>
    <col min="20" max="20" width="11" style="5" customWidth="1"/>
    <col min="21" max="21" width="9.54296875" style="5" bestFit="1" customWidth="1"/>
    <col min="22" max="22" width="7.36328125" style="5" bestFit="1" customWidth="1"/>
    <col min="23" max="23" width="10" style="5" bestFit="1" customWidth="1"/>
    <col min="24" max="16384" width="14.453125" style="5"/>
  </cols>
  <sheetData>
    <row r="1" spans="1:25" x14ac:dyDescent="0.35">
      <c r="A1" s="1"/>
      <c r="B1" s="1"/>
      <c r="C1" s="2"/>
      <c r="D1" s="1"/>
      <c r="E1" s="1"/>
      <c r="F1" s="1"/>
      <c r="G1" s="1"/>
      <c r="H1" s="3"/>
      <c r="I1" s="4"/>
      <c r="J1" s="4"/>
      <c r="K1" s="4"/>
      <c r="L1" s="4"/>
      <c r="M1" s="4"/>
      <c r="N1" s="4"/>
      <c r="R1" s="22" t="s">
        <v>18</v>
      </c>
      <c r="S1" s="152">
        <f>U14</f>
        <v>0</v>
      </c>
    </row>
    <row r="2" spans="1:25" x14ac:dyDescent="0.35">
      <c r="A2" s="1"/>
      <c r="B2" s="1"/>
      <c r="C2" s="2"/>
      <c r="D2" s="1"/>
      <c r="E2" s="1"/>
      <c r="F2" s="1"/>
      <c r="G2" s="1"/>
      <c r="H2" s="3"/>
      <c r="I2" s="4"/>
      <c r="J2" s="4"/>
      <c r="K2" s="4"/>
      <c r="L2" s="4"/>
      <c r="M2" s="4"/>
      <c r="N2" s="4"/>
      <c r="R2" s="22" t="s">
        <v>19</v>
      </c>
      <c r="S2" s="152">
        <f>V14</f>
        <v>0</v>
      </c>
      <c r="T2" s="5" t="s">
        <v>449</v>
      </c>
      <c r="U2" s="5" t="s">
        <v>469</v>
      </c>
      <c r="W2" s="5" t="s">
        <v>48</v>
      </c>
    </row>
    <row r="3" spans="1:25" x14ac:dyDescent="0.35">
      <c r="A3" s="1"/>
      <c r="B3" s="1"/>
      <c r="C3" s="2"/>
      <c r="D3" s="1"/>
      <c r="E3" s="1"/>
      <c r="F3" s="1"/>
      <c r="G3" s="1"/>
      <c r="H3" s="3"/>
      <c r="I3" s="4"/>
      <c r="J3" s="4"/>
      <c r="K3" s="4"/>
      <c r="L3" s="4"/>
      <c r="M3" s="4"/>
      <c r="N3" s="4"/>
      <c r="R3" s="22" t="s">
        <v>57</v>
      </c>
      <c r="S3" s="177">
        <f>W14</f>
        <v>1600</v>
      </c>
      <c r="T3" s="5">
        <f>SUM(S10:S13)</f>
        <v>400</v>
      </c>
      <c r="U3" s="5">
        <v>500</v>
      </c>
      <c r="W3" s="5">
        <f>SUM(S3:V3)</f>
        <v>2500</v>
      </c>
    </row>
    <row r="4" spans="1:25" x14ac:dyDescent="0.35">
      <c r="A4" s="1"/>
      <c r="B4" s="1"/>
      <c r="C4" s="2"/>
      <c r="D4" s="1"/>
      <c r="E4" s="1"/>
      <c r="F4" s="1"/>
      <c r="G4" s="1"/>
      <c r="H4" s="3"/>
      <c r="I4" s="4"/>
      <c r="J4" s="4"/>
      <c r="K4" s="4"/>
      <c r="L4" s="4"/>
      <c r="M4" s="4"/>
      <c r="N4" s="4"/>
      <c r="R4" s="22" t="s">
        <v>57</v>
      </c>
      <c r="S4" s="152">
        <f>W15</f>
        <v>0</v>
      </c>
    </row>
    <row r="5" spans="1:25" ht="15" thickBot="1" x14ac:dyDescent="0.4">
      <c r="A5" s="1"/>
      <c r="B5" s="1"/>
      <c r="C5" s="2"/>
      <c r="D5" s="1"/>
      <c r="E5" s="1"/>
      <c r="F5" s="1"/>
      <c r="G5" s="1"/>
      <c r="H5" s="3"/>
      <c r="I5" s="4"/>
      <c r="J5" s="4"/>
      <c r="K5" s="4"/>
      <c r="L5" s="4"/>
      <c r="M5" s="4"/>
      <c r="N5" s="4"/>
    </row>
    <row r="6" spans="1:25" x14ac:dyDescent="0.35">
      <c r="A6" s="1"/>
      <c r="B6" s="228" t="s">
        <v>38</v>
      </c>
      <c r="C6" s="229"/>
      <c r="D6" s="229"/>
      <c r="E6" s="229"/>
      <c r="F6" s="229"/>
      <c r="G6" s="229"/>
      <c r="H6" s="230"/>
      <c r="I6" s="4"/>
      <c r="J6" s="219" t="s">
        <v>428</v>
      </c>
      <c r="K6" s="220"/>
      <c r="L6" s="220"/>
      <c r="M6" s="220"/>
      <c r="N6" s="221"/>
    </row>
    <row r="7" spans="1:25" hidden="1" x14ac:dyDescent="0.35">
      <c r="A7" s="1"/>
      <c r="B7" s="231" t="s">
        <v>10</v>
      </c>
      <c r="C7" s="223"/>
      <c r="D7" s="223"/>
      <c r="E7" s="223"/>
      <c r="F7" s="223"/>
      <c r="G7" s="223"/>
      <c r="H7" s="232"/>
      <c r="I7" s="4"/>
      <c r="J7" s="80"/>
      <c r="K7" s="21"/>
      <c r="L7" s="21">
        <f>'MRSAC Rate Card'!E106</f>
        <v>4.4000000000000004</v>
      </c>
      <c r="M7" s="21"/>
      <c r="N7" s="28"/>
      <c r="Q7" s="218" t="s">
        <v>429</v>
      </c>
      <c r="R7" s="218"/>
      <c r="S7" s="218"/>
      <c r="U7" s="218" t="s">
        <v>430</v>
      </c>
      <c r="V7" s="218"/>
      <c r="W7" s="218"/>
    </row>
    <row r="8" spans="1:25" x14ac:dyDescent="0.35">
      <c r="A8" s="1"/>
      <c r="B8" s="66" t="s">
        <v>11</v>
      </c>
      <c r="C8" s="6" t="s">
        <v>12</v>
      </c>
      <c r="D8" s="6" t="s">
        <v>13</v>
      </c>
      <c r="E8" s="6" t="s">
        <v>14</v>
      </c>
      <c r="F8" s="6" t="s">
        <v>15</v>
      </c>
      <c r="G8" s="6" t="s">
        <v>16</v>
      </c>
      <c r="H8" s="67" t="s">
        <v>17</v>
      </c>
      <c r="I8" s="4"/>
      <c r="J8" s="29" t="s">
        <v>18</v>
      </c>
      <c r="K8" s="22" t="s">
        <v>19</v>
      </c>
      <c r="L8" s="22" t="s">
        <v>57</v>
      </c>
      <c r="M8" s="22" t="s">
        <v>3</v>
      </c>
      <c r="N8" s="30" t="s">
        <v>5</v>
      </c>
      <c r="Q8" s="29" t="s">
        <v>18</v>
      </c>
      <c r="R8" s="22" t="s">
        <v>19</v>
      </c>
      <c r="S8" s="22" t="s">
        <v>57</v>
      </c>
      <c r="U8" s="29" t="s">
        <v>18</v>
      </c>
      <c r="V8" s="22" t="s">
        <v>19</v>
      </c>
      <c r="W8" s="22" t="s">
        <v>57</v>
      </c>
    </row>
    <row r="9" spans="1:25" x14ac:dyDescent="0.35">
      <c r="A9" s="1"/>
      <c r="B9" s="68"/>
      <c r="C9" s="7"/>
      <c r="D9" s="7"/>
      <c r="E9" s="7"/>
      <c r="F9" s="7"/>
      <c r="G9" s="7"/>
      <c r="H9" s="69"/>
      <c r="I9" s="4"/>
      <c r="J9" s="31" t="s">
        <v>20</v>
      </c>
      <c r="K9" s="23" t="s">
        <v>8</v>
      </c>
      <c r="L9" s="23" t="s">
        <v>8</v>
      </c>
      <c r="M9" s="24"/>
      <c r="N9" s="32"/>
      <c r="Q9" s="31" t="s">
        <v>20</v>
      </c>
      <c r="R9" s="23" t="s">
        <v>8</v>
      </c>
      <c r="S9" s="23" t="s">
        <v>8</v>
      </c>
      <c r="U9" s="31" t="s">
        <v>20</v>
      </c>
      <c r="V9" s="23" t="s">
        <v>8</v>
      </c>
      <c r="W9" s="23" t="s">
        <v>8</v>
      </c>
    </row>
    <row r="10" spans="1:25" ht="29" x14ac:dyDescent="0.35">
      <c r="A10" s="1"/>
      <c r="B10" s="70" t="str">
        <f>'Server Sizing'!C8</f>
        <v>Web server (IIS) + Web adaptor</v>
      </c>
      <c r="C10" s="8" t="str">
        <f>'MRSAC Rate Card'!H35</f>
        <v>L6 Plan: 32 vCPU  64  GB RAM 100 GB HDD 1000 IOPS, 100 GB data transfer / Month, OS: Linux OS with 1 Public IPV6 address</v>
      </c>
      <c r="D10" s="9">
        <v>1</v>
      </c>
      <c r="E10" s="10">
        <f>'MRSAC Rate Card'!J35</f>
        <v>14604.7</v>
      </c>
      <c r="F10" s="11">
        <f>D10*E10</f>
        <v>14604.7</v>
      </c>
      <c r="G10" s="10">
        <v>0</v>
      </c>
      <c r="H10" s="71" t="s">
        <v>442</v>
      </c>
      <c r="I10" s="172" t="s">
        <v>452</v>
      </c>
      <c r="J10" s="33">
        <v>32</v>
      </c>
      <c r="K10" s="33">
        <v>64</v>
      </c>
      <c r="L10" s="173">
        <v>500</v>
      </c>
      <c r="M10" s="33" t="s">
        <v>446</v>
      </c>
      <c r="N10" s="34"/>
      <c r="O10" s="36">
        <f>D10*J10</f>
        <v>32</v>
      </c>
      <c r="P10" s="158"/>
      <c r="Q10" s="33">
        <v>32</v>
      </c>
      <c r="R10" s="33">
        <v>64</v>
      </c>
      <c r="S10" s="33">
        <v>100</v>
      </c>
      <c r="U10" s="155">
        <f t="shared" ref="U10:V13" si="0">(J10-Q10)*$D10</f>
        <v>0</v>
      </c>
      <c r="V10" s="155">
        <f t="shared" si="0"/>
        <v>0</v>
      </c>
      <c r="W10" s="155">
        <f>(L10-S10)*$D10</f>
        <v>400</v>
      </c>
      <c r="Y10" s="52">
        <f>L10*D10</f>
        <v>500</v>
      </c>
    </row>
    <row r="11" spans="1:25" ht="29" x14ac:dyDescent="0.35">
      <c r="A11" s="1"/>
      <c r="B11" s="70" t="s">
        <v>463</v>
      </c>
      <c r="C11" s="8" t="str">
        <f>'MRSAC Rate Card'!H35</f>
        <v>L6 Plan: 32 vCPU  64  GB RAM 100 GB HDD 1000 IOPS, 100 GB data transfer / Month, OS: Linux OS with 1 Public IPV6 address</v>
      </c>
      <c r="D11" s="9">
        <v>1</v>
      </c>
      <c r="E11" s="10">
        <f>'MRSAC Rate Card'!J35</f>
        <v>14604.7</v>
      </c>
      <c r="F11" s="11">
        <f>D11*E11</f>
        <v>14604.7</v>
      </c>
      <c r="G11" s="10">
        <v>0</v>
      </c>
      <c r="H11" s="71" t="s">
        <v>442</v>
      </c>
      <c r="I11" s="172" t="s">
        <v>452</v>
      </c>
      <c r="J11" s="33">
        <v>32</v>
      </c>
      <c r="K11" s="33">
        <v>64</v>
      </c>
      <c r="L11" s="173">
        <v>500</v>
      </c>
      <c r="M11" s="33" t="s">
        <v>446</v>
      </c>
      <c r="N11" s="34"/>
      <c r="O11" s="36">
        <f>D11*J11</f>
        <v>32</v>
      </c>
      <c r="P11" s="158"/>
      <c r="Q11" s="33">
        <v>32</v>
      </c>
      <c r="R11" s="33">
        <v>64</v>
      </c>
      <c r="S11" s="33">
        <v>100</v>
      </c>
      <c r="U11" s="155">
        <f t="shared" ref="U11" si="1">(J11-Q11)*$D11</f>
        <v>0</v>
      </c>
      <c r="V11" s="155">
        <f t="shared" ref="V11" si="2">(K11-R11)*$D11</f>
        <v>0</v>
      </c>
      <c r="W11" s="155">
        <f>(L11-S11)*$D11</f>
        <v>400</v>
      </c>
      <c r="Y11" s="52">
        <f>L11*D11</f>
        <v>500</v>
      </c>
    </row>
    <row r="12" spans="1:25" ht="29" x14ac:dyDescent="0.35">
      <c r="A12" s="1"/>
      <c r="B12" s="70" t="s">
        <v>464</v>
      </c>
      <c r="C12" s="8" t="str">
        <f>'MRSAC Rate Card'!H35</f>
        <v>L6 Plan: 32 vCPU  64  GB RAM 100 GB HDD 1000 IOPS, 100 GB data transfer / Month, OS: Linux OS with 1 Public IPV6 address</v>
      </c>
      <c r="D12" s="9">
        <v>1</v>
      </c>
      <c r="E12" s="10">
        <f>'MRSAC Rate Card'!E35</f>
        <v>31193.800000000003</v>
      </c>
      <c r="F12" s="11">
        <f>D12*E12</f>
        <v>31193.800000000003</v>
      </c>
      <c r="G12" s="10">
        <v>0</v>
      </c>
      <c r="H12" s="71" t="s">
        <v>442</v>
      </c>
      <c r="I12" s="172" t="s">
        <v>452</v>
      </c>
      <c r="J12" s="33">
        <v>32</v>
      </c>
      <c r="K12" s="33">
        <v>64</v>
      </c>
      <c r="L12" s="173">
        <v>500</v>
      </c>
      <c r="M12" s="33" t="s">
        <v>446</v>
      </c>
      <c r="N12" s="34"/>
      <c r="O12" s="36">
        <f>D12*J12</f>
        <v>32</v>
      </c>
      <c r="P12" s="158"/>
      <c r="Q12" s="33">
        <v>32</v>
      </c>
      <c r="R12" s="33">
        <v>64</v>
      </c>
      <c r="S12" s="33">
        <v>100</v>
      </c>
      <c r="U12" s="155">
        <f t="shared" ref="U12" si="3">(J12-Q12)*$D12</f>
        <v>0</v>
      </c>
      <c r="V12" s="155">
        <f t="shared" ref="V12" si="4">(K12-R12)*$D12</f>
        <v>0</v>
      </c>
      <c r="W12" s="155">
        <f>(L12-S12)*$D12</f>
        <v>400</v>
      </c>
      <c r="Y12" s="52">
        <f>L12*D12</f>
        <v>500</v>
      </c>
    </row>
    <row r="13" spans="1:25" ht="29" x14ac:dyDescent="0.35">
      <c r="A13" s="1"/>
      <c r="B13" s="70" t="s">
        <v>69</v>
      </c>
      <c r="C13" s="8" t="str">
        <f>'MRSAC Rate Card'!H36</f>
        <v>L7 Plan: 32 vCPU 128  GB RAM 100 GB HDD 1000 IOPS, 100 GB data transfer / Month, OS: Linux OS with 1 Public IPV6 address</v>
      </c>
      <c r="D13" s="9">
        <v>1</v>
      </c>
      <c r="E13" s="10">
        <f>'MRSAC Rate Card'!J36</f>
        <v>21498.400000000001</v>
      </c>
      <c r="F13" s="11">
        <f>D13*E13</f>
        <v>21498.400000000001</v>
      </c>
      <c r="G13" s="10">
        <v>0</v>
      </c>
      <c r="H13" s="71" t="s">
        <v>443</v>
      </c>
      <c r="I13" s="172" t="s">
        <v>435</v>
      </c>
      <c r="J13" s="33">
        <v>32</v>
      </c>
      <c r="K13" s="33">
        <v>128</v>
      </c>
      <c r="L13" s="173">
        <v>500</v>
      </c>
      <c r="M13" s="33" t="s">
        <v>446</v>
      </c>
      <c r="N13" s="34" t="s">
        <v>444</v>
      </c>
      <c r="O13" s="36">
        <f>D13*J13</f>
        <v>32</v>
      </c>
      <c r="P13" s="158"/>
      <c r="Q13" s="33">
        <v>32</v>
      </c>
      <c r="R13" s="33">
        <v>128</v>
      </c>
      <c r="S13" s="33">
        <v>100</v>
      </c>
      <c r="U13" s="155">
        <f t="shared" si="0"/>
        <v>0</v>
      </c>
      <c r="V13" s="155">
        <f t="shared" si="0"/>
        <v>0</v>
      </c>
      <c r="W13" s="155">
        <f>(L13-S13)*$D13</f>
        <v>400</v>
      </c>
      <c r="Y13" s="52">
        <f>L13*D13</f>
        <v>500</v>
      </c>
    </row>
    <row r="14" spans="1:25" x14ac:dyDescent="0.35">
      <c r="A14" s="1"/>
      <c r="B14" s="72"/>
      <c r="C14" s="8"/>
      <c r="D14" s="9"/>
      <c r="E14" s="10"/>
      <c r="F14" s="11"/>
      <c r="G14" s="10"/>
      <c r="H14" s="71"/>
      <c r="I14" s="4"/>
      <c r="J14" s="52">
        <f>SUM(J10:J13)</f>
        <v>128</v>
      </c>
      <c r="K14" s="52">
        <f>SUM(K10:K13)</f>
        <v>320</v>
      </c>
      <c r="L14" s="52">
        <f>SUM(L10:L13)</f>
        <v>2000</v>
      </c>
      <c r="M14" s="1"/>
      <c r="N14" s="1"/>
      <c r="O14" s="5"/>
      <c r="P14" s="5"/>
      <c r="Q14" s="52">
        <f>SUM(Q10:Q13)</f>
        <v>128</v>
      </c>
      <c r="R14" s="52">
        <f>SUM(R10:R13)</f>
        <v>320</v>
      </c>
      <c r="S14" s="52">
        <f>SUM(S10:S13)</f>
        <v>400</v>
      </c>
      <c r="U14" s="52">
        <f>SUM(U10:U13)</f>
        <v>0</v>
      </c>
      <c r="V14" s="52">
        <f>SUM(V10:V13)</f>
        <v>0</v>
      </c>
      <c r="W14" s="52">
        <f>SUM(W10:W13)</f>
        <v>1600</v>
      </c>
    </row>
    <row r="15" spans="1:25" x14ac:dyDescent="0.35">
      <c r="A15" s="1"/>
      <c r="B15" s="66"/>
      <c r="C15" s="6" t="s">
        <v>22</v>
      </c>
      <c r="D15" s="6" t="s">
        <v>13</v>
      </c>
      <c r="E15" s="6" t="s">
        <v>14</v>
      </c>
      <c r="F15" s="6" t="s">
        <v>15</v>
      </c>
      <c r="G15" s="6" t="s">
        <v>16</v>
      </c>
      <c r="H15" s="67" t="s">
        <v>17</v>
      </c>
      <c r="I15" s="4"/>
      <c r="J15" s="1"/>
      <c r="K15" s="1"/>
      <c r="L15" s="1"/>
      <c r="M15" s="1"/>
      <c r="N15" s="4"/>
    </row>
    <row r="16" spans="1:25" x14ac:dyDescent="0.35">
      <c r="A16" s="1"/>
      <c r="B16" s="72" t="s">
        <v>3</v>
      </c>
      <c r="C16" s="13" t="str">
        <f>'MRSAC Rate Card'!C56</f>
        <v>OS :Windows 2019 or Latest std Edition per 2 core lic</v>
      </c>
      <c r="D16" s="9">
        <f>SUMIFS(O10:O13,M10:M13,M10)/2</f>
        <v>64</v>
      </c>
      <c r="E16" s="10">
        <f>'MRSAC Rate Card'!E56</f>
        <v>583</v>
      </c>
      <c r="F16" s="11">
        <f>D16*E16</f>
        <v>37312</v>
      </c>
      <c r="G16" s="10">
        <v>0</v>
      </c>
      <c r="H16" s="71" t="s">
        <v>41</v>
      </c>
      <c r="I16" s="4"/>
      <c r="J16" s="1"/>
      <c r="K16" s="1"/>
      <c r="L16" s="1"/>
      <c r="N16" s="4"/>
      <c r="P16" s="5"/>
    </row>
    <row r="17" spans="1:16" x14ac:dyDescent="0.35">
      <c r="A17" s="1"/>
      <c r="B17" s="72" t="s">
        <v>5</v>
      </c>
      <c r="C17" s="43" t="str">
        <f>'MRSAC Rate Card'!C70</f>
        <v>PostgreSQL Community Edition Latest (Free Version)- Per Instance</v>
      </c>
      <c r="D17" s="44" t="str">
        <f>'MRSAC Rate Card'!$E$70</f>
        <v>Community Edition</v>
      </c>
      <c r="E17" s="44" t="str">
        <f>'MRSAC Rate Card'!$E$70</f>
        <v>Community Edition</v>
      </c>
      <c r="F17" s="44" t="str">
        <f>'MRSAC Rate Card'!$E$70</f>
        <v>Community Edition</v>
      </c>
      <c r="G17" s="44" t="str">
        <f>'MRSAC Rate Card'!$E$70</f>
        <v>Community Edition</v>
      </c>
      <c r="H17" s="163" t="s">
        <v>470</v>
      </c>
      <c r="I17" s="4"/>
      <c r="J17" s="1"/>
      <c r="K17" s="1"/>
      <c r="L17" s="1"/>
      <c r="N17" s="4"/>
      <c r="P17" s="5"/>
    </row>
    <row r="18" spans="1:16" ht="14.25" customHeight="1" x14ac:dyDescent="0.35">
      <c r="A18" s="1"/>
      <c r="B18" s="72" t="s">
        <v>23</v>
      </c>
      <c r="C18" s="13" t="str">
        <f>'MRSAC Rate Card'!C154</f>
        <v>Antivirus + HIPS</v>
      </c>
      <c r="D18" s="44">
        <f>SUM(D10:D13)</f>
        <v>4</v>
      </c>
      <c r="E18" s="10">
        <f>'MRSAC Rate Card'!E154</f>
        <v>1346.4</v>
      </c>
      <c r="F18" s="11">
        <f>D18*E18</f>
        <v>5385.6</v>
      </c>
      <c r="G18" s="10">
        <v>0</v>
      </c>
      <c r="H18" s="71" t="s">
        <v>41</v>
      </c>
      <c r="I18" s="4"/>
      <c r="J18" s="1"/>
      <c r="K18" s="1"/>
      <c r="L18" s="1"/>
      <c r="N18" s="4"/>
      <c r="P18" s="5"/>
    </row>
    <row r="19" spans="1:16" x14ac:dyDescent="0.35">
      <c r="A19" s="1"/>
      <c r="B19" s="72"/>
      <c r="C19" s="13"/>
      <c r="D19" s="9"/>
      <c r="E19" s="10"/>
      <c r="F19" s="11"/>
      <c r="G19" s="11"/>
      <c r="H19" s="71"/>
      <c r="I19" s="4"/>
      <c r="J19" s="1"/>
      <c r="K19" s="1"/>
      <c r="L19" s="1"/>
      <c r="N19" s="4"/>
    </row>
    <row r="20" spans="1:16" x14ac:dyDescent="0.35">
      <c r="A20" s="1"/>
      <c r="B20" s="66" t="s">
        <v>24</v>
      </c>
      <c r="C20" s="6" t="s">
        <v>59</v>
      </c>
      <c r="D20" s="6" t="s">
        <v>13</v>
      </c>
      <c r="E20" s="6" t="s">
        <v>14</v>
      </c>
      <c r="F20" s="6" t="s">
        <v>15</v>
      </c>
      <c r="G20" s="6" t="s">
        <v>16</v>
      </c>
      <c r="H20" s="67" t="s">
        <v>17</v>
      </c>
      <c r="I20" s="4"/>
      <c r="J20" s="1"/>
      <c r="K20" s="1"/>
      <c r="L20" s="1"/>
      <c r="N20" s="4"/>
    </row>
    <row r="21" spans="1:16" hidden="1" x14ac:dyDescent="0.35">
      <c r="A21" s="1"/>
      <c r="B21" s="237" t="s">
        <v>59</v>
      </c>
      <c r="C21" s="13" t="s">
        <v>431</v>
      </c>
      <c r="D21" s="44">
        <f>S1</f>
        <v>0</v>
      </c>
      <c r="E21" s="45">
        <f>'MRSAC Rate Card'!E52</f>
        <v>140.80000000000001</v>
      </c>
      <c r="F21" s="11">
        <f t="shared" ref="F21:F25" si="5">D21*E21</f>
        <v>0</v>
      </c>
      <c r="G21" s="10">
        <v>0</v>
      </c>
      <c r="H21" s="71" t="s">
        <v>53</v>
      </c>
      <c r="I21" s="4"/>
      <c r="J21" s="1"/>
      <c r="K21" s="1"/>
      <c r="L21" s="1"/>
      <c r="M21" s="1"/>
      <c r="N21" s="4"/>
    </row>
    <row r="22" spans="1:16" hidden="1" x14ac:dyDescent="0.35">
      <c r="A22" s="1"/>
      <c r="B22" s="238"/>
      <c r="C22" s="13" t="s">
        <v>432</v>
      </c>
      <c r="D22" s="61">
        <f>S2</f>
        <v>0</v>
      </c>
      <c r="E22" s="45">
        <f>'MRSAC Rate Card'!E55</f>
        <v>234.3</v>
      </c>
      <c r="F22" s="11">
        <f t="shared" si="5"/>
        <v>0</v>
      </c>
      <c r="G22" s="10">
        <v>0</v>
      </c>
      <c r="H22" s="71" t="s">
        <v>53</v>
      </c>
      <c r="I22" s="4"/>
      <c r="J22" s="1"/>
      <c r="K22" s="1"/>
      <c r="L22" s="1"/>
      <c r="M22" s="1"/>
      <c r="N22" s="4"/>
    </row>
    <row r="23" spans="1:16" x14ac:dyDescent="0.35">
      <c r="A23" s="1"/>
      <c r="B23" s="238"/>
      <c r="C23" s="13" t="s">
        <v>433</v>
      </c>
      <c r="D23" s="44">
        <f>W14/100</f>
        <v>16</v>
      </c>
      <c r="E23" s="45">
        <f>'MRSAC Rate Card'!E100</f>
        <v>707.30000000000007</v>
      </c>
      <c r="F23" s="11">
        <f t="shared" si="5"/>
        <v>11316.800000000001</v>
      </c>
      <c r="G23" s="10">
        <v>0</v>
      </c>
      <c r="H23" s="71" t="s">
        <v>53</v>
      </c>
      <c r="I23" s="4"/>
      <c r="J23" s="1"/>
      <c r="K23" s="1"/>
      <c r="L23" s="1"/>
      <c r="M23" s="1"/>
      <c r="N23" s="4"/>
    </row>
    <row r="24" spans="1:16" x14ac:dyDescent="0.35">
      <c r="A24" s="1"/>
      <c r="B24" s="238"/>
      <c r="C24" s="13" t="str">
        <f>'MRSAC Rate Card'!C101</f>
        <v>500 GB Storage on SSD with IOPS 3000/TB</v>
      </c>
      <c r="D24" s="44">
        <v>1</v>
      </c>
      <c r="E24" s="45">
        <f>'MRSAC Rate Card'!E101</f>
        <v>4039.2000000000003</v>
      </c>
      <c r="F24" s="11">
        <f t="shared" si="5"/>
        <v>4039.2000000000003</v>
      </c>
      <c r="G24" s="10">
        <v>0</v>
      </c>
      <c r="H24" s="71" t="s">
        <v>53</v>
      </c>
      <c r="I24" s="4"/>
      <c r="J24" s="1"/>
      <c r="K24" s="1"/>
      <c r="L24" s="1"/>
      <c r="M24" s="1"/>
      <c r="N24" s="4"/>
    </row>
    <row r="25" spans="1:16" x14ac:dyDescent="0.35">
      <c r="A25" s="1"/>
      <c r="B25" s="239"/>
      <c r="C25" s="13" t="s">
        <v>450</v>
      </c>
      <c r="D25" s="44">
        <f>ROUNDUP((W3*1.75/500),0)</f>
        <v>9</v>
      </c>
      <c r="E25" s="10">
        <f>'MRSAC Rate Card'!E120</f>
        <v>3366.0000000000005</v>
      </c>
      <c r="F25" s="11">
        <f t="shared" si="5"/>
        <v>30294.000000000004</v>
      </c>
      <c r="G25" s="10">
        <v>0</v>
      </c>
      <c r="H25" s="71" t="s">
        <v>53</v>
      </c>
      <c r="I25" s="4"/>
      <c r="J25" s="1"/>
      <c r="K25" s="1"/>
      <c r="L25" s="1"/>
      <c r="M25" s="1"/>
      <c r="N25" s="4"/>
    </row>
    <row r="26" spans="1:16" x14ac:dyDescent="0.35">
      <c r="A26" s="1"/>
      <c r="B26" s="72"/>
      <c r="C26" s="13"/>
      <c r="D26" s="53"/>
      <c r="E26" s="10"/>
      <c r="F26" s="11"/>
      <c r="G26" s="10"/>
      <c r="H26" s="73"/>
      <c r="I26" s="4"/>
      <c r="J26" s="1"/>
      <c r="K26" s="1"/>
      <c r="L26" s="1"/>
      <c r="M26" s="1"/>
      <c r="N26" s="4"/>
    </row>
    <row r="27" spans="1:16" x14ac:dyDescent="0.35">
      <c r="A27" s="1"/>
      <c r="B27" s="66" t="s">
        <v>25</v>
      </c>
      <c r="C27" s="6" t="s">
        <v>26</v>
      </c>
      <c r="D27" s="6" t="s">
        <v>13</v>
      </c>
      <c r="E27" s="6" t="s">
        <v>14</v>
      </c>
      <c r="F27" s="6" t="s">
        <v>15</v>
      </c>
      <c r="G27" s="6" t="s">
        <v>16</v>
      </c>
      <c r="H27" s="67" t="s">
        <v>17</v>
      </c>
      <c r="I27" s="4"/>
      <c r="J27" s="1"/>
      <c r="K27" s="1"/>
      <c r="L27" s="1"/>
      <c r="M27" s="1"/>
      <c r="N27" s="4"/>
    </row>
    <row r="28" spans="1:16" x14ac:dyDescent="0.35">
      <c r="A28" s="1"/>
      <c r="B28" s="162" t="s">
        <v>6</v>
      </c>
      <c r="C28" s="43" t="str">
        <f>'MRSAC Rate Card'!C177</f>
        <v>Speed Based-Internet Bandwidth - Connectivity- 1 Mbps</v>
      </c>
      <c r="D28" s="60" t="s">
        <v>468</v>
      </c>
      <c r="E28" s="60" t="s">
        <v>468</v>
      </c>
      <c r="F28" s="60" t="s">
        <v>468</v>
      </c>
      <c r="G28" s="60" t="s">
        <v>468</v>
      </c>
      <c r="H28" s="71"/>
      <c r="I28" s="4"/>
      <c r="J28" s="1"/>
      <c r="K28" s="1"/>
      <c r="L28" s="1"/>
      <c r="M28" s="1"/>
      <c r="N28" s="4"/>
    </row>
    <row r="29" spans="1:16" x14ac:dyDescent="0.35">
      <c r="A29" s="1"/>
      <c r="B29" s="162" t="s">
        <v>6</v>
      </c>
      <c r="C29" s="43" t="str">
        <f>'MRSAC Rate Card'!C171</f>
        <v>CITRIX - Virtual Load Balancer - 1 Gbps</v>
      </c>
      <c r="D29" s="60" t="s">
        <v>468</v>
      </c>
      <c r="E29" s="60" t="s">
        <v>468</v>
      </c>
      <c r="F29" s="60" t="s">
        <v>468</v>
      </c>
      <c r="G29" s="60" t="s">
        <v>468</v>
      </c>
      <c r="H29" s="71"/>
      <c r="I29" s="4"/>
      <c r="J29" s="1"/>
      <c r="K29" s="1"/>
      <c r="L29" s="1"/>
      <c r="M29" s="1"/>
      <c r="N29" s="4"/>
    </row>
    <row r="30" spans="1:16" x14ac:dyDescent="0.35">
      <c r="A30" s="1"/>
      <c r="B30" s="162" t="s">
        <v>6</v>
      </c>
      <c r="C30" s="43" t="str">
        <f>'MRSAC Rate Card'!C173</f>
        <v>IPv4- Public IP -  Internal Network</v>
      </c>
      <c r="D30" s="45" t="s">
        <v>447</v>
      </c>
      <c r="E30" s="45" t="s">
        <v>447</v>
      </c>
      <c r="F30" s="45" t="s">
        <v>447</v>
      </c>
      <c r="G30" s="45"/>
      <c r="H30" s="71" t="s">
        <v>53</v>
      </c>
      <c r="I30" s="4"/>
      <c r="J30" s="1"/>
      <c r="K30" s="1"/>
      <c r="L30" s="1"/>
      <c r="M30" s="1"/>
      <c r="N30" s="4"/>
    </row>
    <row r="31" spans="1:16" x14ac:dyDescent="0.35">
      <c r="A31" s="1"/>
      <c r="B31" s="74"/>
      <c r="C31" s="13"/>
      <c r="D31" s="9"/>
      <c r="E31" s="10"/>
      <c r="F31" s="11"/>
      <c r="G31" s="10"/>
      <c r="H31" s="73"/>
      <c r="I31" s="4"/>
      <c r="J31" s="1"/>
      <c r="K31" s="1"/>
      <c r="L31" s="1"/>
      <c r="M31" s="1"/>
      <c r="N31" s="4"/>
    </row>
    <row r="32" spans="1:16" x14ac:dyDescent="0.35">
      <c r="A32" s="1"/>
      <c r="B32" s="66" t="s">
        <v>28</v>
      </c>
      <c r="C32" s="6" t="s">
        <v>29</v>
      </c>
      <c r="D32" s="6" t="s">
        <v>13</v>
      </c>
      <c r="E32" s="6" t="s">
        <v>14</v>
      </c>
      <c r="F32" s="6" t="s">
        <v>15</v>
      </c>
      <c r="G32" s="6" t="s">
        <v>16</v>
      </c>
      <c r="H32" s="67" t="s">
        <v>17</v>
      </c>
      <c r="I32" s="4"/>
      <c r="J32" s="1"/>
      <c r="K32" s="1"/>
      <c r="L32" s="1"/>
      <c r="M32" s="1"/>
      <c r="N32" s="4"/>
    </row>
    <row r="33" spans="1:14" x14ac:dyDescent="0.35">
      <c r="A33" s="1"/>
      <c r="B33" s="233"/>
      <c r="C33" s="13" t="str">
        <f>'MRSAC Rate Card'!C152</f>
        <v>vUTM 1 Gbps throughput</v>
      </c>
      <c r="D33" s="60" t="s">
        <v>468</v>
      </c>
      <c r="E33" s="60" t="s">
        <v>468</v>
      </c>
      <c r="F33" s="60" t="s">
        <v>468</v>
      </c>
      <c r="G33" s="60" t="s">
        <v>468</v>
      </c>
      <c r="H33" s="75" t="s">
        <v>468</v>
      </c>
      <c r="I33" s="4"/>
      <c r="J33" s="1"/>
      <c r="K33" s="1"/>
      <c r="L33" s="1"/>
      <c r="M33" s="1"/>
      <c r="N33" s="4"/>
    </row>
    <row r="34" spans="1:14" x14ac:dyDescent="0.35">
      <c r="A34" s="1"/>
      <c r="B34" s="233"/>
      <c r="C34" s="13" t="str">
        <f>'SOC Services'!B24</f>
        <v xml:space="preserve">VAPT Services </v>
      </c>
      <c r="D34" s="9">
        <f>SUM(D10:D13,D33,D30)+12+2+2</f>
        <v>20</v>
      </c>
      <c r="E34" s="10">
        <f>'SOC Services'!E24</f>
        <v>6732.0000000000009</v>
      </c>
      <c r="F34" s="11">
        <f>D34*E34</f>
        <v>134640.00000000003</v>
      </c>
      <c r="G34" s="10">
        <v>0</v>
      </c>
      <c r="H34" s="71" t="s">
        <v>451</v>
      </c>
      <c r="I34" s="4"/>
      <c r="J34" s="1"/>
      <c r="K34" s="1"/>
      <c r="L34" s="1"/>
      <c r="M34" s="1"/>
      <c r="N34" s="4"/>
    </row>
    <row r="35" spans="1:14" ht="29" x14ac:dyDescent="0.35">
      <c r="A35" s="1"/>
      <c r="B35" s="233"/>
      <c r="C35" s="43" t="str">
        <f>'MRSAC Rate Card'!C158</f>
        <v>SIEM as a service - Per Instance Or Per device (up to 100 devices &amp; 500 EPS, Log retention for 6 Months)</v>
      </c>
      <c r="D35" s="9">
        <f>SUM(D10:D13,D33:D33)</f>
        <v>4</v>
      </c>
      <c r="E35" s="10">
        <f>'SOC Services'!E4</f>
        <v>3594.8</v>
      </c>
      <c r="F35" s="11">
        <f t="shared" ref="F35" si="6">D35*E35</f>
        <v>14379.2</v>
      </c>
      <c r="G35" s="10">
        <v>0</v>
      </c>
      <c r="H35" s="71" t="s">
        <v>53</v>
      </c>
      <c r="I35" s="4"/>
      <c r="J35" s="1"/>
      <c r="K35" s="1"/>
      <c r="L35" s="1"/>
      <c r="M35" s="1"/>
      <c r="N35" s="4"/>
    </row>
    <row r="36" spans="1:14" x14ac:dyDescent="0.35">
      <c r="A36" s="1"/>
      <c r="B36" s="66" t="s">
        <v>40</v>
      </c>
      <c r="C36" s="6" t="s">
        <v>32</v>
      </c>
      <c r="D36" s="6" t="s">
        <v>13</v>
      </c>
      <c r="E36" s="6" t="s">
        <v>14</v>
      </c>
      <c r="F36" s="6" t="s">
        <v>15</v>
      </c>
      <c r="G36" s="6" t="s">
        <v>16</v>
      </c>
      <c r="H36" s="67" t="s">
        <v>17</v>
      </c>
      <c r="I36" s="4"/>
      <c r="J36" s="1"/>
      <c r="K36" s="1"/>
      <c r="L36" s="1"/>
      <c r="M36" s="1"/>
      <c r="N36" s="4"/>
    </row>
    <row r="37" spans="1:14" x14ac:dyDescent="0.35">
      <c r="A37" s="1"/>
      <c r="B37" s="233"/>
      <c r="C37" s="13" t="str">
        <f>'MRSAC Rate Card'!C182</f>
        <v>Operating System Management Service Per VM</v>
      </c>
      <c r="D37" s="9">
        <f>D18</f>
        <v>4</v>
      </c>
      <c r="E37" s="10">
        <f>'MRSAC Rate Card'!E182</f>
        <v>1683.0000000000002</v>
      </c>
      <c r="F37" s="11">
        <f t="shared" ref="F37:F44" si="7">D37*E37</f>
        <v>6732.0000000000009</v>
      </c>
      <c r="G37" s="10">
        <v>0</v>
      </c>
      <c r="H37" s="71"/>
      <c r="I37" s="4"/>
      <c r="J37" s="1"/>
      <c r="K37" s="1"/>
      <c r="L37" s="1"/>
      <c r="M37" s="1"/>
      <c r="N37" s="4"/>
    </row>
    <row r="38" spans="1:14" x14ac:dyDescent="0.35">
      <c r="A38" s="1"/>
      <c r="B38" s="233"/>
      <c r="C38" s="43" t="str">
        <f>'MRSAC Rate Card'!C199</f>
        <v>PostgresSQL Database Managed Services (Up to 100 GB)</v>
      </c>
      <c r="D38" s="44" t="s">
        <v>440</v>
      </c>
      <c r="E38" s="44" t="s">
        <v>440</v>
      </c>
      <c r="F38" s="44" t="s">
        <v>440</v>
      </c>
      <c r="G38" s="44" t="s">
        <v>440</v>
      </c>
      <c r="H38" s="71"/>
      <c r="I38" s="4"/>
      <c r="J38" s="1"/>
      <c r="K38" s="1"/>
      <c r="L38" s="1"/>
      <c r="M38" s="1"/>
      <c r="N38" s="4"/>
    </row>
    <row r="39" spans="1:14" x14ac:dyDescent="0.35">
      <c r="A39" s="1"/>
      <c r="B39" s="233"/>
      <c r="C39" s="13" t="str">
        <f>'MRSAC Rate Card'!C184</f>
        <v>Antivirus Management Service Per VM</v>
      </c>
      <c r="D39" s="9">
        <f>SUM(D10:D13)</f>
        <v>4</v>
      </c>
      <c r="E39" s="10">
        <f>'MRSAC Rate Card'!E184</f>
        <v>112.2</v>
      </c>
      <c r="F39" s="11">
        <f t="shared" ref="F39" si="8">D39*E39</f>
        <v>448.8</v>
      </c>
      <c r="G39" s="10">
        <v>0</v>
      </c>
      <c r="H39" s="71"/>
      <c r="I39" s="4"/>
      <c r="J39" s="1"/>
      <c r="K39" s="1"/>
      <c r="L39" s="1"/>
      <c r="M39" s="1"/>
      <c r="N39" s="4"/>
    </row>
    <row r="40" spans="1:14" x14ac:dyDescent="0.35">
      <c r="A40" s="1"/>
      <c r="B40" s="233"/>
      <c r="C40" s="13" t="str">
        <f>'MRSAC Rate Card'!C205</f>
        <v xml:space="preserve">Storage Management Service </v>
      </c>
      <c r="D40" s="9">
        <v>1</v>
      </c>
      <c r="E40" s="10">
        <f>'MRSAC Rate Card'!E183</f>
        <v>1683.0000000000002</v>
      </c>
      <c r="F40" s="11">
        <f t="shared" si="7"/>
        <v>1683.0000000000002</v>
      </c>
      <c r="G40" s="10">
        <v>0</v>
      </c>
      <c r="H40" s="71"/>
      <c r="I40" s="4"/>
      <c r="J40" s="1"/>
      <c r="K40" s="1"/>
      <c r="L40" s="1"/>
      <c r="M40" s="1"/>
      <c r="N40" s="4"/>
    </row>
    <row r="41" spans="1:14" x14ac:dyDescent="0.35">
      <c r="A41" s="1"/>
      <c r="B41" s="233"/>
      <c r="C41" s="13" t="str">
        <f>'MRSAC Rate Card'!C181</f>
        <v>Backup Management Per VM</v>
      </c>
      <c r="D41" s="9">
        <f>SUM(D10:D13)</f>
        <v>4</v>
      </c>
      <c r="E41" s="10">
        <f>'MRSAC Rate Card'!E181</f>
        <v>336.6</v>
      </c>
      <c r="F41" s="11">
        <f t="shared" si="7"/>
        <v>1346.4</v>
      </c>
      <c r="G41" s="10">
        <v>0</v>
      </c>
      <c r="H41" s="71"/>
      <c r="I41" s="4"/>
      <c r="J41" s="1"/>
      <c r="K41" s="1"/>
      <c r="L41" s="1"/>
      <c r="M41" s="1"/>
      <c r="N41" s="4"/>
    </row>
    <row r="42" spans="1:14" x14ac:dyDescent="0.35">
      <c r="A42" s="1"/>
      <c r="B42" s="233"/>
      <c r="C42" s="13" t="str">
        <f>'MRSAC Rate Card'!C210</f>
        <v>Virtual Load Balancer Managed Services</v>
      </c>
      <c r="D42" s="60" t="s">
        <v>468</v>
      </c>
      <c r="E42" s="60" t="s">
        <v>468</v>
      </c>
      <c r="F42" s="60" t="s">
        <v>468</v>
      </c>
      <c r="G42" s="60" t="s">
        <v>468</v>
      </c>
      <c r="H42" s="75" t="s">
        <v>468</v>
      </c>
      <c r="I42" s="4"/>
      <c r="J42" s="1"/>
      <c r="K42" s="1"/>
      <c r="L42" s="1"/>
      <c r="M42" s="1"/>
      <c r="N42" s="4"/>
    </row>
    <row r="43" spans="1:14" x14ac:dyDescent="0.35">
      <c r="A43" s="1"/>
      <c r="B43" s="233"/>
      <c r="C43" s="13" t="str">
        <f>'MRSAC Rate Card'!C211</f>
        <v>vUTM Firewall Managed Services</v>
      </c>
      <c r="D43" s="60" t="s">
        <v>468</v>
      </c>
      <c r="E43" s="60" t="s">
        <v>468</v>
      </c>
      <c r="F43" s="60" t="s">
        <v>468</v>
      </c>
      <c r="G43" s="60" t="s">
        <v>468</v>
      </c>
      <c r="H43" s="75" t="s">
        <v>468</v>
      </c>
      <c r="I43" s="4"/>
      <c r="J43" s="1"/>
      <c r="K43" s="1"/>
      <c r="L43" s="1"/>
      <c r="M43" s="1"/>
      <c r="N43" s="4"/>
    </row>
    <row r="44" spans="1:14" x14ac:dyDescent="0.35">
      <c r="A44" s="1"/>
      <c r="B44" s="234"/>
      <c r="C44" s="13" t="str">
        <f>'MRSAC Rate Card'!C81</f>
        <v>Cloud Monitoring-Advance Module-Upto25</v>
      </c>
      <c r="D44" s="9">
        <f>SUM(D37,D43:D43)</f>
        <v>4</v>
      </c>
      <c r="E44" s="10">
        <f>'MRSAC Rate Card'!E81</f>
        <v>392.70000000000005</v>
      </c>
      <c r="F44" s="11">
        <f t="shared" si="7"/>
        <v>1570.8000000000002</v>
      </c>
      <c r="G44" s="10">
        <v>0</v>
      </c>
      <c r="H44" s="71"/>
      <c r="I44" s="4"/>
      <c r="J44" s="1"/>
      <c r="K44" s="1"/>
      <c r="L44" s="1"/>
      <c r="M44" s="1"/>
      <c r="N44" s="4"/>
    </row>
    <row r="45" spans="1:14" ht="15" thickBot="1" x14ac:dyDescent="0.4">
      <c r="A45" s="1"/>
      <c r="B45" s="166"/>
      <c r="C45" s="167"/>
      <c r="D45" s="168"/>
      <c r="E45" s="169"/>
      <c r="F45" s="170"/>
      <c r="G45" s="169"/>
      <c r="H45" s="171"/>
      <c r="I45" s="4"/>
      <c r="J45" s="1"/>
      <c r="K45" s="1"/>
      <c r="L45" s="1"/>
      <c r="M45" s="1"/>
      <c r="N45" s="4"/>
    </row>
    <row r="46" spans="1:14" x14ac:dyDescent="0.35">
      <c r="A46" s="1"/>
      <c r="B46" s="235" t="s">
        <v>50</v>
      </c>
      <c r="C46" s="229"/>
      <c r="D46" s="229"/>
      <c r="E46" s="236"/>
      <c r="F46" s="164">
        <f>SUM(F10:F35)</f>
        <v>319268.40000000008</v>
      </c>
      <c r="G46" s="164">
        <f>SUM(G10:G35)</f>
        <v>0</v>
      </c>
      <c r="H46" s="165"/>
      <c r="I46" s="4"/>
      <c r="J46" s="1"/>
      <c r="K46" s="1"/>
      <c r="L46" s="1"/>
      <c r="M46" s="1"/>
      <c r="N46" s="4"/>
    </row>
    <row r="47" spans="1:14" x14ac:dyDescent="0.35">
      <c r="A47" s="1"/>
      <c r="B47" s="222" t="s">
        <v>51</v>
      </c>
      <c r="C47" s="223"/>
      <c r="D47" s="223"/>
      <c r="E47" s="224"/>
      <c r="F47" s="15">
        <f>SUM(F37:F45)</f>
        <v>11781</v>
      </c>
      <c r="G47" s="15">
        <f>SUM(G37:G44)</f>
        <v>0</v>
      </c>
      <c r="H47" s="77"/>
      <c r="I47" s="4"/>
      <c r="J47" s="16"/>
      <c r="K47" s="4"/>
      <c r="L47" s="4"/>
      <c r="M47" s="4"/>
      <c r="N47" s="4"/>
    </row>
    <row r="48" spans="1:14" ht="15" thickBot="1" x14ac:dyDescent="0.4">
      <c r="A48" s="1"/>
      <c r="B48" s="225" t="s">
        <v>37</v>
      </c>
      <c r="C48" s="226"/>
      <c r="D48" s="226"/>
      <c r="E48" s="227"/>
      <c r="F48" s="78">
        <f>SUM(F46+F47)</f>
        <v>331049.40000000008</v>
      </c>
      <c r="G48" s="78">
        <f>SUM(G46+G47)</f>
        <v>0</v>
      </c>
      <c r="H48" s="79"/>
      <c r="I48" s="4"/>
      <c r="J48" s="4"/>
      <c r="K48" s="4"/>
      <c r="L48" s="4"/>
      <c r="M48" s="4"/>
      <c r="N48" s="4"/>
    </row>
    <row r="49" spans="1:14" x14ac:dyDescent="0.35">
      <c r="A49" s="1"/>
      <c r="B49" s="1"/>
      <c r="C49" s="2"/>
      <c r="D49" s="1"/>
      <c r="E49" s="1"/>
      <c r="F49" s="49"/>
      <c r="G49" s="1"/>
      <c r="H49" s="3"/>
      <c r="I49" s="4"/>
      <c r="J49" s="4"/>
      <c r="K49" s="4"/>
      <c r="L49" s="4"/>
      <c r="M49" s="4"/>
      <c r="N49" s="4"/>
    </row>
    <row r="50" spans="1:14" x14ac:dyDescent="0.35">
      <c r="A50" s="4"/>
      <c r="B50" s="17"/>
      <c r="C50" s="5"/>
      <c r="D50" s="4"/>
      <c r="E50" s="4"/>
      <c r="F50" s="35"/>
      <c r="G50" s="4"/>
      <c r="H50" s="19"/>
      <c r="I50" s="4"/>
      <c r="J50" s="4"/>
      <c r="K50" s="4"/>
      <c r="L50" s="4"/>
      <c r="M50" s="4"/>
      <c r="N50" s="4"/>
    </row>
    <row r="51" spans="1:14" x14ac:dyDescent="0.35">
      <c r="A51" s="4"/>
      <c r="B51" s="4"/>
      <c r="C51" s="18"/>
      <c r="D51" s="4"/>
      <c r="E51" s="4"/>
      <c r="F51" s="50"/>
      <c r="G51" s="4"/>
      <c r="H51" s="19"/>
      <c r="I51" s="4"/>
      <c r="J51" s="4"/>
      <c r="K51" s="4"/>
      <c r="L51" s="4"/>
      <c r="M51" s="4"/>
      <c r="N51" s="4"/>
    </row>
    <row r="52" spans="1:14" x14ac:dyDescent="0.35">
      <c r="A52" s="4"/>
      <c r="B52" s="4"/>
      <c r="C52" s="18"/>
      <c r="D52" s="4"/>
      <c r="E52" s="4"/>
      <c r="F52" s="4"/>
      <c r="G52" s="4"/>
      <c r="H52" s="19"/>
      <c r="I52" s="4"/>
      <c r="J52" s="4"/>
      <c r="K52" s="4"/>
      <c r="L52" s="4"/>
      <c r="M52" s="4"/>
      <c r="N52" s="4"/>
    </row>
    <row r="53" spans="1:14" x14ac:dyDescent="0.35">
      <c r="A53" s="4"/>
      <c r="B53" s="4"/>
      <c r="C53" s="18"/>
      <c r="D53" s="4"/>
      <c r="E53" s="4"/>
      <c r="F53" s="51"/>
      <c r="G53" s="4"/>
      <c r="H53" s="4"/>
      <c r="I53" s="4"/>
      <c r="J53" s="4"/>
      <c r="K53" s="4"/>
      <c r="L53" s="4"/>
      <c r="M53" s="4"/>
      <c r="N53" s="4"/>
    </row>
    <row r="54" spans="1:14" x14ac:dyDescent="0.35">
      <c r="A54" s="4"/>
      <c r="B54" s="4"/>
      <c r="C54" s="18"/>
      <c r="D54" s="4"/>
      <c r="E54" s="4"/>
      <c r="F54" s="4"/>
      <c r="G54" s="4"/>
      <c r="H54" s="19"/>
      <c r="I54" s="4"/>
      <c r="J54" s="4"/>
      <c r="K54" s="4"/>
      <c r="L54" s="4"/>
      <c r="M54" s="4"/>
      <c r="N54" s="4"/>
    </row>
    <row r="55" spans="1:14" x14ac:dyDescent="0.35">
      <c r="A55" s="4"/>
      <c r="B55" s="4"/>
      <c r="C55" s="18"/>
      <c r="D55" s="4"/>
      <c r="E55" s="4"/>
      <c r="F55" s="4"/>
      <c r="G55" s="4"/>
      <c r="H55" s="19"/>
      <c r="I55" s="4"/>
      <c r="J55" s="4"/>
      <c r="K55" s="4"/>
      <c r="L55" s="4"/>
      <c r="M55" s="4"/>
      <c r="N55" s="4"/>
    </row>
    <row r="56" spans="1:14" x14ac:dyDescent="0.35">
      <c r="A56" s="4"/>
      <c r="B56" s="4"/>
      <c r="C56" s="18"/>
      <c r="D56" s="4"/>
      <c r="E56" s="4"/>
      <c r="F56" s="4"/>
      <c r="G56" s="4"/>
      <c r="H56" s="19"/>
      <c r="I56" s="4"/>
      <c r="J56" s="4"/>
      <c r="K56" s="4"/>
      <c r="L56" s="4"/>
      <c r="M56" s="4"/>
      <c r="N56" s="4"/>
    </row>
    <row r="57" spans="1:14" x14ac:dyDescent="0.35">
      <c r="A57" s="4"/>
      <c r="B57" s="4"/>
      <c r="C57" s="18"/>
      <c r="D57" s="4"/>
      <c r="E57" s="4"/>
      <c r="F57" s="4"/>
      <c r="G57" s="4"/>
      <c r="H57" s="19"/>
      <c r="I57" s="4"/>
      <c r="J57" s="4"/>
      <c r="K57" s="4"/>
      <c r="L57" s="4"/>
      <c r="M57" s="4"/>
      <c r="N57" s="4"/>
    </row>
    <row r="58" spans="1:14" x14ac:dyDescent="0.35">
      <c r="A58" s="4"/>
      <c r="B58" s="4"/>
      <c r="C58" s="18"/>
      <c r="D58" s="4"/>
      <c r="E58" s="4"/>
      <c r="F58" s="4"/>
      <c r="G58" s="4"/>
      <c r="H58" s="19"/>
      <c r="I58" s="4"/>
      <c r="J58" s="4"/>
      <c r="K58" s="4"/>
      <c r="L58" s="4"/>
      <c r="M58" s="4"/>
      <c r="N58" s="4"/>
    </row>
    <row r="59" spans="1:14" x14ac:dyDescent="0.35">
      <c r="A59" s="4"/>
      <c r="B59" s="4"/>
      <c r="C59" s="18"/>
      <c r="D59" s="4"/>
      <c r="E59" s="4"/>
      <c r="F59" s="4"/>
      <c r="G59" s="4"/>
      <c r="H59" s="19"/>
      <c r="I59" s="4"/>
      <c r="J59" s="4"/>
      <c r="K59" s="4"/>
      <c r="L59" s="4"/>
      <c r="M59" s="4"/>
      <c r="N59" s="4"/>
    </row>
    <row r="60" spans="1:14" x14ac:dyDescent="0.35">
      <c r="A60" s="4"/>
      <c r="B60" s="4"/>
      <c r="C60" s="18"/>
      <c r="D60" s="4"/>
      <c r="E60" s="4"/>
      <c r="F60" s="4"/>
      <c r="G60" s="4"/>
      <c r="H60" s="19"/>
      <c r="I60" s="4"/>
      <c r="J60" s="4"/>
      <c r="K60" s="4"/>
      <c r="L60" s="4"/>
      <c r="M60" s="4"/>
      <c r="N60" s="4"/>
    </row>
    <row r="61" spans="1:14" x14ac:dyDescent="0.35">
      <c r="A61" s="4"/>
      <c r="B61" s="4"/>
      <c r="C61" s="18"/>
      <c r="D61" s="4"/>
      <c r="E61" s="4"/>
      <c r="F61" s="4"/>
      <c r="G61" s="4"/>
      <c r="H61" s="19"/>
      <c r="I61" s="4"/>
      <c r="J61" s="4"/>
      <c r="K61" s="4"/>
      <c r="L61" s="4"/>
      <c r="M61" s="4"/>
      <c r="N61" s="4"/>
    </row>
    <row r="62" spans="1:14" x14ac:dyDescent="0.35">
      <c r="A62" s="4"/>
      <c r="B62" s="4"/>
      <c r="C62" s="18"/>
      <c r="D62" s="4"/>
      <c r="E62" s="4"/>
      <c r="F62" s="4"/>
      <c r="G62" s="4"/>
      <c r="H62" s="19"/>
      <c r="I62" s="4"/>
      <c r="J62" s="4"/>
      <c r="K62" s="4"/>
      <c r="L62" s="4"/>
      <c r="M62" s="4"/>
      <c r="N62" s="4"/>
    </row>
    <row r="63" spans="1:14" x14ac:dyDescent="0.35">
      <c r="A63" s="4"/>
      <c r="B63" s="4"/>
      <c r="C63" s="18"/>
      <c r="D63" s="4"/>
      <c r="E63" s="4"/>
      <c r="F63" s="4"/>
      <c r="G63" s="4"/>
      <c r="H63" s="19"/>
      <c r="I63" s="4"/>
      <c r="J63" s="4"/>
      <c r="K63" s="4"/>
      <c r="L63" s="4"/>
      <c r="M63" s="4"/>
      <c r="N63" s="4"/>
    </row>
    <row r="64" spans="1:14" x14ac:dyDescent="0.35">
      <c r="A64" s="4"/>
      <c r="B64" s="4"/>
      <c r="C64" s="18"/>
      <c r="D64" s="4"/>
      <c r="E64" s="4"/>
      <c r="F64" s="4"/>
      <c r="G64" s="4"/>
      <c r="H64" s="19"/>
      <c r="I64" s="4"/>
      <c r="J64" s="4"/>
      <c r="K64" s="4"/>
      <c r="L64" s="4"/>
      <c r="M64" s="4"/>
      <c r="N64" s="4"/>
    </row>
    <row r="65" spans="1:14" x14ac:dyDescent="0.35">
      <c r="A65" s="4"/>
      <c r="B65" s="4"/>
      <c r="C65" s="18"/>
      <c r="D65" s="4"/>
      <c r="E65" s="4"/>
      <c r="F65" s="4"/>
      <c r="G65" s="4"/>
      <c r="H65" s="19"/>
      <c r="I65" s="4"/>
      <c r="J65" s="4"/>
      <c r="K65" s="4"/>
      <c r="L65" s="4"/>
      <c r="M65" s="4"/>
      <c r="N65" s="4"/>
    </row>
    <row r="66" spans="1:14" x14ac:dyDescent="0.35">
      <c r="A66" s="1"/>
      <c r="B66" s="1"/>
      <c r="C66" s="2"/>
      <c r="D66" s="1"/>
      <c r="E66" s="1"/>
      <c r="F66" s="1"/>
      <c r="G66" s="1"/>
      <c r="H66" s="3"/>
      <c r="I66" s="4"/>
      <c r="J66" s="4"/>
      <c r="K66" s="4"/>
      <c r="L66" s="4"/>
      <c r="M66" s="4"/>
      <c r="N66" s="4"/>
    </row>
    <row r="67" spans="1:14" x14ac:dyDescent="0.35">
      <c r="A67" s="1"/>
      <c r="B67" s="1"/>
      <c r="C67" s="2"/>
      <c r="D67" s="1"/>
      <c r="E67" s="1"/>
      <c r="F67" s="1"/>
      <c r="G67" s="1"/>
      <c r="H67" s="3"/>
      <c r="I67" s="4"/>
      <c r="J67" s="4"/>
      <c r="K67" s="4"/>
      <c r="L67" s="4"/>
      <c r="M67" s="4"/>
      <c r="N67" s="4"/>
    </row>
    <row r="68" spans="1:14" x14ac:dyDescent="0.35">
      <c r="A68" s="1"/>
      <c r="B68" s="1"/>
      <c r="C68" s="2"/>
      <c r="D68" s="1"/>
      <c r="E68" s="1"/>
      <c r="F68" s="1"/>
      <c r="G68" s="1"/>
      <c r="H68" s="3"/>
      <c r="I68" s="4"/>
      <c r="J68" s="4"/>
      <c r="K68" s="4"/>
      <c r="L68" s="4"/>
      <c r="M68" s="4"/>
      <c r="N68" s="4"/>
    </row>
    <row r="69" spans="1:14" x14ac:dyDescent="0.35">
      <c r="A69" s="1"/>
      <c r="B69" s="1"/>
      <c r="C69" s="2"/>
      <c r="D69" s="1"/>
      <c r="E69" s="1"/>
      <c r="F69" s="1"/>
      <c r="G69" s="1"/>
      <c r="H69" s="3"/>
      <c r="I69" s="4"/>
      <c r="J69" s="4"/>
      <c r="K69" s="4"/>
      <c r="L69" s="4"/>
      <c r="M69" s="4"/>
      <c r="N69" s="4"/>
    </row>
    <row r="70" spans="1:14" x14ac:dyDescent="0.35">
      <c r="A70" s="1"/>
      <c r="B70" s="1"/>
      <c r="C70" s="2"/>
      <c r="D70" s="1"/>
      <c r="E70" s="1"/>
      <c r="F70" s="1"/>
      <c r="G70" s="1"/>
      <c r="H70" s="3"/>
      <c r="I70" s="4"/>
      <c r="J70" s="4"/>
      <c r="K70" s="4"/>
      <c r="L70" s="4"/>
      <c r="M70" s="4"/>
      <c r="N70" s="4"/>
    </row>
    <row r="71" spans="1:14" x14ac:dyDescent="0.35">
      <c r="A71" s="1"/>
      <c r="B71" s="1"/>
      <c r="C71" s="2"/>
      <c r="D71" s="1"/>
      <c r="E71" s="1"/>
      <c r="F71" s="1"/>
      <c r="G71" s="1"/>
      <c r="H71" s="3"/>
      <c r="I71" s="4"/>
      <c r="J71" s="4"/>
      <c r="K71" s="4"/>
      <c r="L71" s="4"/>
      <c r="M71" s="4"/>
      <c r="N71" s="4"/>
    </row>
    <row r="72" spans="1:14" x14ac:dyDescent="0.35">
      <c r="A72" s="1"/>
      <c r="B72" s="1"/>
      <c r="C72" s="2"/>
      <c r="D72" s="1"/>
      <c r="E72" s="1"/>
      <c r="F72" s="1"/>
      <c r="G72" s="1"/>
      <c r="H72" s="3"/>
      <c r="I72" s="4"/>
      <c r="J72" s="4"/>
      <c r="K72" s="4"/>
      <c r="L72" s="4"/>
      <c r="M72" s="4"/>
      <c r="N72" s="4"/>
    </row>
    <row r="73" spans="1:14" x14ac:dyDescent="0.35">
      <c r="A73" s="1"/>
      <c r="B73" s="1"/>
      <c r="C73" s="2"/>
      <c r="D73" s="1"/>
      <c r="E73" s="1"/>
      <c r="F73" s="1"/>
      <c r="G73" s="1"/>
      <c r="H73" s="3"/>
      <c r="I73" s="4"/>
      <c r="J73" s="4"/>
      <c r="K73" s="4"/>
      <c r="L73" s="4"/>
      <c r="M73" s="4"/>
      <c r="N73" s="4"/>
    </row>
    <row r="74" spans="1:14" x14ac:dyDescent="0.35">
      <c r="A74" s="1"/>
      <c r="B74" s="1"/>
      <c r="C74" s="2"/>
      <c r="D74" s="1"/>
      <c r="E74" s="1"/>
      <c r="F74" s="1"/>
      <c r="G74" s="1"/>
      <c r="H74" s="3"/>
      <c r="I74" s="4"/>
      <c r="J74" s="4"/>
      <c r="K74" s="4"/>
      <c r="L74" s="4"/>
      <c r="M74" s="4"/>
      <c r="N74" s="4"/>
    </row>
    <row r="75" spans="1:14" x14ac:dyDescent="0.35">
      <c r="A75" s="1"/>
      <c r="B75" s="1"/>
      <c r="C75" s="2"/>
      <c r="D75" s="1"/>
      <c r="E75" s="1"/>
      <c r="F75" s="1"/>
      <c r="G75" s="1"/>
      <c r="H75" s="3"/>
      <c r="I75" s="4"/>
      <c r="J75" s="4"/>
      <c r="K75" s="4"/>
      <c r="L75" s="4"/>
      <c r="M75" s="4"/>
      <c r="N75" s="4"/>
    </row>
    <row r="76" spans="1:14" x14ac:dyDescent="0.35">
      <c r="A76" s="1"/>
      <c r="B76" s="1"/>
      <c r="C76" s="2"/>
      <c r="D76" s="1"/>
      <c r="E76" s="1"/>
      <c r="F76" s="1"/>
      <c r="G76" s="1"/>
      <c r="H76" s="3"/>
      <c r="I76" s="4"/>
      <c r="J76" s="4"/>
      <c r="K76" s="4"/>
      <c r="L76" s="4"/>
      <c r="M76" s="4"/>
      <c r="N76" s="4"/>
    </row>
    <row r="77" spans="1:14" x14ac:dyDescent="0.35">
      <c r="A77" s="1"/>
      <c r="B77" s="1"/>
      <c r="C77" s="2"/>
      <c r="D77" s="1"/>
      <c r="E77" s="1"/>
      <c r="F77" s="1"/>
      <c r="G77" s="1"/>
      <c r="H77" s="3"/>
      <c r="I77" s="4"/>
      <c r="J77" s="4"/>
      <c r="K77" s="4"/>
      <c r="L77" s="4"/>
      <c r="M77" s="4"/>
      <c r="N77" s="4"/>
    </row>
    <row r="78" spans="1:14" x14ac:dyDescent="0.35">
      <c r="A78" s="1"/>
      <c r="B78" s="1"/>
      <c r="C78" s="2"/>
      <c r="D78" s="1"/>
      <c r="E78" s="1"/>
      <c r="F78" s="1"/>
      <c r="G78" s="1"/>
      <c r="H78" s="3"/>
      <c r="I78" s="4"/>
      <c r="J78" s="4"/>
      <c r="K78" s="4"/>
      <c r="L78" s="4"/>
      <c r="M78" s="4"/>
      <c r="N78" s="4"/>
    </row>
    <row r="79" spans="1:14" x14ac:dyDescent="0.35">
      <c r="A79" s="1"/>
      <c r="B79" s="1"/>
      <c r="C79" s="2"/>
      <c r="D79" s="1"/>
      <c r="E79" s="1"/>
      <c r="F79" s="1"/>
      <c r="G79" s="1"/>
      <c r="H79" s="3"/>
      <c r="I79" s="4"/>
      <c r="J79" s="4"/>
      <c r="K79" s="4"/>
      <c r="L79" s="4"/>
      <c r="M79" s="4"/>
      <c r="N79" s="4"/>
    </row>
    <row r="80" spans="1:14" x14ac:dyDescent="0.35">
      <c r="A80" s="1"/>
      <c r="B80" s="1"/>
      <c r="C80" s="2"/>
      <c r="D80" s="1"/>
      <c r="E80" s="1"/>
      <c r="F80" s="1"/>
      <c r="G80" s="1"/>
      <c r="H80" s="3"/>
      <c r="I80" s="4"/>
      <c r="J80" s="4"/>
      <c r="K80" s="4"/>
      <c r="L80" s="4"/>
      <c r="M80" s="4"/>
      <c r="N80" s="4"/>
    </row>
    <row r="81" spans="1:14" x14ac:dyDescent="0.35">
      <c r="A81" s="1"/>
      <c r="B81" s="1"/>
      <c r="C81" s="2"/>
      <c r="D81" s="1"/>
      <c r="E81" s="1"/>
      <c r="F81" s="1"/>
      <c r="G81" s="1"/>
      <c r="H81" s="3"/>
      <c r="I81" s="4"/>
      <c r="J81" s="4"/>
      <c r="K81" s="4"/>
      <c r="L81" s="4"/>
      <c r="M81" s="4"/>
      <c r="N81" s="4"/>
    </row>
    <row r="82" spans="1:14" x14ac:dyDescent="0.35">
      <c r="A82" s="1"/>
      <c r="B82" s="1"/>
      <c r="C82" s="2"/>
      <c r="D82" s="1"/>
      <c r="E82" s="1"/>
      <c r="F82" s="1"/>
      <c r="G82" s="1"/>
      <c r="H82" s="3"/>
      <c r="I82" s="4"/>
      <c r="J82" s="4"/>
      <c r="K82" s="4"/>
      <c r="L82" s="4"/>
      <c r="M82" s="4"/>
      <c r="N82" s="4"/>
    </row>
    <row r="83" spans="1:14" x14ac:dyDescent="0.35">
      <c r="A83" s="1"/>
      <c r="B83" s="1"/>
      <c r="C83" s="2"/>
      <c r="D83" s="1"/>
      <c r="E83" s="1"/>
      <c r="F83" s="1"/>
      <c r="G83" s="1"/>
      <c r="H83" s="3"/>
      <c r="I83" s="4"/>
      <c r="J83" s="4"/>
      <c r="K83" s="4"/>
      <c r="L83" s="4"/>
      <c r="M83" s="4"/>
      <c r="N83" s="4"/>
    </row>
    <row r="84" spans="1:14" x14ac:dyDescent="0.35">
      <c r="A84" s="1"/>
      <c r="B84" s="1"/>
      <c r="C84" s="2"/>
      <c r="D84" s="1"/>
      <c r="E84" s="1"/>
      <c r="F84" s="1"/>
      <c r="G84" s="1"/>
      <c r="H84" s="3"/>
      <c r="I84" s="4"/>
      <c r="J84" s="4"/>
      <c r="K84" s="4"/>
      <c r="L84" s="4"/>
      <c r="M84" s="4"/>
      <c r="N84" s="4"/>
    </row>
    <row r="85" spans="1:14" x14ac:dyDescent="0.35">
      <c r="A85" s="1"/>
      <c r="B85" s="1"/>
      <c r="C85" s="2"/>
      <c r="D85" s="1"/>
      <c r="E85" s="1"/>
      <c r="F85" s="1"/>
      <c r="G85" s="1"/>
      <c r="H85" s="3"/>
      <c r="I85" s="4"/>
      <c r="J85" s="4"/>
      <c r="K85" s="4"/>
      <c r="L85" s="4"/>
      <c r="M85" s="4"/>
      <c r="N85" s="4"/>
    </row>
    <row r="86" spans="1:14" x14ac:dyDescent="0.35">
      <c r="A86" s="1"/>
      <c r="B86" s="1"/>
      <c r="C86" s="2"/>
      <c r="D86" s="1"/>
      <c r="E86" s="1"/>
      <c r="F86" s="1"/>
      <c r="G86" s="1"/>
      <c r="H86" s="3"/>
      <c r="I86" s="4"/>
      <c r="J86" s="4"/>
      <c r="K86" s="4"/>
      <c r="L86" s="4"/>
      <c r="M86" s="4"/>
      <c r="N86" s="4"/>
    </row>
    <row r="87" spans="1:14" x14ac:dyDescent="0.35">
      <c r="A87" s="1"/>
      <c r="B87" s="1"/>
      <c r="C87" s="2"/>
      <c r="D87" s="1"/>
      <c r="E87" s="1"/>
      <c r="F87" s="1"/>
      <c r="G87" s="1"/>
      <c r="H87" s="3"/>
      <c r="I87" s="4"/>
      <c r="J87" s="4"/>
      <c r="K87" s="4"/>
      <c r="L87" s="4"/>
      <c r="M87" s="4"/>
      <c r="N87" s="4"/>
    </row>
    <row r="88" spans="1:14" x14ac:dyDescent="0.35">
      <c r="A88" s="1"/>
      <c r="B88" s="1"/>
      <c r="C88" s="2"/>
      <c r="D88" s="1"/>
      <c r="E88" s="1"/>
      <c r="F88" s="1"/>
      <c r="G88" s="1"/>
      <c r="H88" s="3"/>
      <c r="I88" s="4"/>
      <c r="J88" s="4"/>
      <c r="K88" s="4"/>
      <c r="L88" s="4"/>
      <c r="M88" s="4"/>
      <c r="N88" s="4"/>
    </row>
    <row r="89" spans="1:14" x14ac:dyDescent="0.35">
      <c r="A89" s="1"/>
      <c r="B89" s="1"/>
      <c r="C89" s="2"/>
      <c r="D89" s="1"/>
      <c r="E89" s="1"/>
      <c r="F89" s="1"/>
      <c r="G89" s="1"/>
      <c r="H89" s="3"/>
      <c r="I89" s="4"/>
      <c r="J89" s="4"/>
      <c r="K89" s="4"/>
      <c r="L89" s="4"/>
      <c r="M89" s="4"/>
      <c r="N89" s="4"/>
    </row>
    <row r="90" spans="1:14" x14ac:dyDescent="0.35">
      <c r="A90" s="1"/>
      <c r="B90" s="1"/>
      <c r="C90" s="2"/>
      <c r="D90" s="1"/>
      <c r="E90" s="1"/>
      <c r="F90" s="1"/>
      <c r="G90" s="1"/>
      <c r="H90" s="3"/>
      <c r="I90" s="4"/>
      <c r="J90" s="4"/>
      <c r="K90" s="4"/>
      <c r="L90" s="4"/>
      <c r="M90" s="4"/>
      <c r="N90" s="4"/>
    </row>
    <row r="91" spans="1:14" x14ac:dyDescent="0.35">
      <c r="A91" s="1"/>
      <c r="B91" s="1"/>
      <c r="C91" s="2"/>
      <c r="D91" s="1"/>
      <c r="E91" s="1"/>
      <c r="F91" s="1"/>
      <c r="G91" s="1"/>
      <c r="H91" s="3"/>
      <c r="I91" s="4"/>
      <c r="J91" s="4"/>
      <c r="K91" s="4"/>
      <c r="L91" s="4"/>
      <c r="M91" s="4"/>
      <c r="N91" s="4"/>
    </row>
    <row r="92" spans="1:14" x14ac:dyDescent="0.35">
      <c r="A92" s="1"/>
      <c r="B92" s="1"/>
      <c r="C92" s="2"/>
      <c r="D92" s="1"/>
      <c r="E92" s="1"/>
      <c r="F92" s="1"/>
      <c r="G92" s="1"/>
      <c r="H92" s="3"/>
      <c r="I92" s="4"/>
      <c r="J92" s="4"/>
      <c r="K92" s="4"/>
      <c r="L92" s="4"/>
      <c r="M92" s="4"/>
      <c r="N92" s="4"/>
    </row>
    <row r="93" spans="1:14" x14ac:dyDescent="0.35">
      <c r="A93" s="1"/>
      <c r="B93" s="1"/>
      <c r="C93" s="2"/>
      <c r="D93" s="1"/>
      <c r="E93" s="1"/>
      <c r="F93" s="1"/>
      <c r="G93" s="1"/>
      <c r="H93" s="3"/>
      <c r="I93" s="4"/>
      <c r="J93" s="4"/>
      <c r="K93" s="4"/>
      <c r="L93" s="4"/>
      <c r="M93" s="4"/>
      <c r="N93" s="4"/>
    </row>
    <row r="94" spans="1:14" x14ac:dyDescent="0.35">
      <c r="A94" s="1"/>
      <c r="B94" s="1"/>
      <c r="C94" s="2"/>
      <c r="D94" s="1"/>
      <c r="E94" s="1"/>
      <c r="F94" s="1"/>
      <c r="G94" s="1"/>
      <c r="H94" s="3"/>
      <c r="I94" s="4"/>
      <c r="J94" s="4"/>
      <c r="K94" s="4"/>
      <c r="L94" s="4"/>
      <c r="M94" s="4"/>
      <c r="N94" s="4"/>
    </row>
    <row r="95" spans="1:14" x14ac:dyDescent="0.35">
      <c r="A95" s="1"/>
      <c r="B95" s="1"/>
      <c r="C95" s="2"/>
      <c r="D95" s="1"/>
      <c r="E95" s="1"/>
      <c r="F95" s="1"/>
      <c r="G95" s="1"/>
      <c r="H95" s="3"/>
      <c r="I95" s="4"/>
      <c r="J95" s="4"/>
      <c r="K95" s="4"/>
      <c r="L95" s="4"/>
      <c r="M95" s="4"/>
      <c r="N95" s="4"/>
    </row>
    <row r="96" spans="1:14" x14ac:dyDescent="0.35">
      <c r="A96" s="1"/>
      <c r="B96" s="1"/>
      <c r="C96" s="2"/>
      <c r="D96" s="1"/>
      <c r="E96" s="1"/>
      <c r="F96" s="1"/>
      <c r="G96" s="1"/>
      <c r="H96" s="3"/>
      <c r="I96" s="4"/>
      <c r="J96" s="4"/>
      <c r="K96" s="4"/>
      <c r="L96" s="4"/>
      <c r="M96" s="4"/>
      <c r="N96" s="4"/>
    </row>
    <row r="97" spans="1:14" x14ac:dyDescent="0.35">
      <c r="A97" s="1"/>
      <c r="B97" s="1"/>
      <c r="C97" s="2"/>
      <c r="D97" s="1"/>
      <c r="E97" s="1"/>
      <c r="F97" s="1"/>
      <c r="G97" s="1"/>
      <c r="H97" s="3"/>
      <c r="I97" s="4"/>
      <c r="J97" s="4"/>
      <c r="K97" s="4"/>
      <c r="L97" s="4"/>
      <c r="M97" s="4"/>
      <c r="N97" s="4"/>
    </row>
  </sheetData>
  <mergeCells count="11">
    <mergeCell ref="Q7:S7"/>
    <mergeCell ref="U7:W7"/>
    <mergeCell ref="J6:N6"/>
    <mergeCell ref="B47:E47"/>
    <mergeCell ref="B48:E48"/>
    <mergeCell ref="B6:H6"/>
    <mergeCell ref="B7:H7"/>
    <mergeCell ref="B37:B44"/>
    <mergeCell ref="B46:E46"/>
    <mergeCell ref="B33:B35"/>
    <mergeCell ref="B21:B25"/>
  </mergeCells>
  <phoneticPr fontId="39" type="noConversion"/>
  <pageMargins left="0.7" right="0.7" top="0.75" bottom="0.75" header="0" footer="0"/>
  <pageSetup paperSize="9" orientation="portrait" r:id="rId1"/>
  <ignoredErrors>
    <ignoredError sqref="F17"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2"/>
  <sheetViews>
    <sheetView workbookViewId="0"/>
  </sheetViews>
  <sheetFormatPr defaultColWidth="14.453125" defaultRowHeight="14.5" x14ac:dyDescent="0.35"/>
  <cols>
    <col min="1" max="1" width="6.36328125" style="5" customWidth="1"/>
    <col min="2" max="2" width="21.6328125" style="5" bestFit="1" customWidth="1"/>
    <col min="3" max="3" width="63.90625" style="20" bestFit="1" customWidth="1"/>
    <col min="4" max="4" width="31.08984375" style="5" customWidth="1"/>
    <col min="5" max="5" width="15.08984375" style="5" bestFit="1" customWidth="1"/>
    <col min="6" max="6" width="19.54296875" style="5" bestFit="1" customWidth="1"/>
    <col min="7" max="7" width="17.08984375" style="5" bestFit="1" customWidth="1"/>
    <col min="8" max="8" width="49.08984375" style="5" bestFit="1" customWidth="1"/>
    <col min="9" max="9" width="13.36328125" style="5" bestFit="1" customWidth="1"/>
    <col min="10" max="10" width="8.54296875" style="5" bestFit="1" customWidth="1"/>
    <col min="11" max="11" width="4.90625" style="5" bestFit="1" customWidth="1"/>
    <col min="12" max="12" width="10.54296875" style="5" bestFit="1" customWidth="1"/>
    <col min="13" max="13" width="8.6328125" style="5" bestFit="1" customWidth="1"/>
    <col min="14" max="14" width="11.90625" style="5" bestFit="1" customWidth="1"/>
    <col min="15" max="15" width="12.36328125" style="1" bestFit="1" customWidth="1"/>
    <col min="16" max="16" width="14.453125" style="5"/>
    <col min="17" max="17" width="10.54296875" style="5" bestFit="1" customWidth="1"/>
    <col min="18" max="16384" width="14.453125" style="5"/>
  </cols>
  <sheetData>
    <row r="1" spans="1:17" x14ac:dyDescent="0.35">
      <c r="A1" s="1"/>
      <c r="B1" s="1"/>
      <c r="C1" s="2"/>
      <c r="D1" s="1"/>
      <c r="E1" s="1"/>
      <c r="F1" s="1"/>
      <c r="G1" s="1"/>
      <c r="H1" s="3"/>
      <c r="I1" s="4"/>
      <c r="J1" s="4"/>
      <c r="K1" s="4"/>
      <c r="L1" s="4"/>
      <c r="M1" s="4"/>
      <c r="N1" s="4"/>
    </row>
    <row r="2" spans="1:17" x14ac:dyDescent="0.35">
      <c r="A2" s="1"/>
      <c r="B2" s="1"/>
      <c r="C2" s="2"/>
      <c r="D2" s="1"/>
      <c r="E2" s="1"/>
      <c r="F2" s="1"/>
      <c r="G2" s="1"/>
      <c r="H2" s="3"/>
      <c r="I2" s="4"/>
      <c r="J2" s="4"/>
      <c r="K2" s="4"/>
      <c r="L2" s="4"/>
      <c r="M2" s="4"/>
      <c r="N2" s="4"/>
    </row>
    <row r="3" spans="1:17" x14ac:dyDescent="0.35">
      <c r="A3" s="1"/>
      <c r="B3" s="1"/>
      <c r="C3" s="2"/>
      <c r="D3" s="1"/>
      <c r="E3" s="1"/>
      <c r="F3" s="1"/>
      <c r="G3" s="1"/>
      <c r="H3" s="3"/>
      <c r="I3" s="4"/>
      <c r="J3" s="4"/>
      <c r="K3" s="4"/>
      <c r="L3" s="4"/>
      <c r="M3" s="4"/>
      <c r="N3" s="4"/>
    </row>
    <row r="4" spans="1:17" x14ac:dyDescent="0.35">
      <c r="A4" s="1"/>
      <c r="B4" s="1"/>
      <c r="C4" s="2"/>
      <c r="D4" s="1"/>
      <c r="E4" s="1"/>
      <c r="F4" s="1"/>
      <c r="G4" s="1"/>
      <c r="H4" s="3"/>
      <c r="I4" s="4"/>
      <c r="J4" s="4"/>
      <c r="K4" s="4"/>
      <c r="L4" s="4"/>
      <c r="M4" s="4"/>
      <c r="N4" s="4"/>
    </row>
    <row r="5" spans="1:17" ht="15" thickBot="1" x14ac:dyDescent="0.4">
      <c r="A5" s="1"/>
      <c r="B5" s="1"/>
      <c r="C5" s="2"/>
      <c r="D5" s="1"/>
      <c r="E5" s="1"/>
      <c r="F5" s="1"/>
      <c r="G5" s="1"/>
      <c r="H5" s="3"/>
      <c r="I5" s="4"/>
      <c r="J5" s="4"/>
      <c r="K5" s="4"/>
      <c r="L5" s="4"/>
      <c r="M5" s="4"/>
      <c r="N5" s="4"/>
    </row>
    <row r="6" spans="1:17" x14ac:dyDescent="0.35">
      <c r="A6" s="1"/>
      <c r="B6" s="228" t="s">
        <v>38</v>
      </c>
      <c r="C6" s="229"/>
      <c r="D6" s="229"/>
      <c r="E6" s="229"/>
      <c r="F6" s="229"/>
      <c r="G6" s="229"/>
      <c r="H6" s="230"/>
      <c r="I6" s="4"/>
      <c r="J6" s="25" t="s">
        <v>9</v>
      </c>
      <c r="K6" s="26"/>
      <c r="L6" s="26"/>
      <c r="M6" s="26"/>
      <c r="N6" s="27"/>
    </row>
    <row r="7" spans="1:17" x14ac:dyDescent="0.35">
      <c r="A7" s="1"/>
      <c r="B7" s="231" t="s">
        <v>10</v>
      </c>
      <c r="C7" s="223"/>
      <c r="D7" s="223"/>
      <c r="E7" s="223"/>
      <c r="F7" s="223"/>
      <c r="G7" s="223"/>
      <c r="H7" s="232"/>
      <c r="I7" s="4"/>
      <c r="J7" s="21" t="e">
        <f>#REF!</f>
        <v>#REF!</v>
      </c>
      <c r="K7" s="21" t="e">
        <f>#REF!</f>
        <v>#REF!</v>
      </c>
      <c r="L7" s="21" t="e">
        <f>#REF!</f>
        <v>#REF!</v>
      </c>
      <c r="M7" s="21"/>
      <c r="N7" s="28"/>
    </row>
    <row r="8" spans="1:17" x14ac:dyDescent="0.35">
      <c r="A8" s="1"/>
      <c r="B8" s="66" t="s">
        <v>11</v>
      </c>
      <c r="C8" s="6" t="s">
        <v>12</v>
      </c>
      <c r="D8" s="6" t="s">
        <v>13</v>
      </c>
      <c r="E8" s="6" t="s">
        <v>14</v>
      </c>
      <c r="F8" s="6" t="s">
        <v>15</v>
      </c>
      <c r="G8" s="6" t="s">
        <v>16</v>
      </c>
      <c r="H8" s="67" t="s">
        <v>17</v>
      </c>
      <c r="I8" s="4"/>
      <c r="J8" s="29" t="s">
        <v>18</v>
      </c>
      <c r="K8" s="22" t="s">
        <v>19</v>
      </c>
      <c r="L8" s="22" t="s">
        <v>57</v>
      </c>
      <c r="M8" s="22" t="s">
        <v>3</v>
      </c>
      <c r="N8" s="30" t="s">
        <v>5</v>
      </c>
    </row>
    <row r="9" spans="1:17" x14ac:dyDescent="0.35">
      <c r="A9" s="1"/>
      <c r="B9" s="68"/>
      <c r="C9" s="7"/>
      <c r="D9" s="7"/>
      <c r="E9" s="7"/>
      <c r="F9" s="7"/>
      <c r="G9" s="7"/>
      <c r="H9" s="69"/>
      <c r="I9" s="4"/>
      <c r="J9" s="31" t="s">
        <v>20</v>
      </c>
      <c r="K9" s="23" t="s">
        <v>8</v>
      </c>
      <c r="L9" s="23" t="s">
        <v>8</v>
      </c>
      <c r="M9" s="24"/>
      <c r="N9" s="32"/>
    </row>
    <row r="10" spans="1:17" x14ac:dyDescent="0.35">
      <c r="A10" s="1"/>
      <c r="B10" s="70" t="e">
        <f>'Server Sizing'!#REF!</f>
        <v>#REF!</v>
      </c>
      <c r="C10" s="8" t="e">
        <f>CONCATENATE("vCores: ",J10," | RAM: ",K10," GB | Performance Storage (1000 IOPs/TB): ",L10," GB | OS: ",M10,"|DB: ",N10,"")</f>
        <v>#REF!</v>
      </c>
      <c r="D10" s="9" t="e">
        <f>'Server Sizing'!#REF!</f>
        <v>#REF!</v>
      </c>
      <c r="E10" s="10" t="e">
        <f>SUM((J$7*K10)+(K$7*J10)+(L$7*L10))</f>
        <v>#REF!</v>
      </c>
      <c r="F10" s="11" t="e">
        <f>D10*E10</f>
        <v>#REF!</v>
      </c>
      <c r="G10" s="10">
        <v>0</v>
      </c>
      <c r="H10" s="71"/>
      <c r="I10" s="4"/>
      <c r="J10" s="33" t="e">
        <f>'Server Sizing'!#REF!</f>
        <v>#REF!</v>
      </c>
      <c r="K10" s="33" t="e">
        <f>'Server Sizing'!#REF!</f>
        <v>#REF!</v>
      </c>
      <c r="L10" s="33" t="e">
        <f>'Server Sizing'!#REF!</f>
        <v>#REF!</v>
      </c>
      <c r="M10" s="33" t="e">
        <f>'Server Sizing'!#REF!</f>
        <v>#REF!</v>
      </c>
      <c r="N10" s="34" t="e">
        <f>'Server Sizing'!#REF!</f>
        <v>#REF!</v>
      </c>
      <c r="O10" s="36" t="e">
        <f>D10*J10</f>
        <v>#REF!</v>
      </c>
      <c r="Q10" s="52" t="e">
        <f>L10*D10</f>
        <v>#REF!</v>
      </c>
    </row>
    <row r="11" spans="1:17" x14ac:dyDescent="0.35">
      <c r="A11" s="1"/>
      <c r="B11" s="70" t="e">
        <f>'Server Sizing'!#REF!</f>
        <v>#REF!</v>
      </c>
      <c r="C11" s="8" t="e">
        <f>CONCATENATE("vCores: ",J11," | RAM: ",K11," GB | Performance Storage (1000 IOPs/TB): ",L11," GB | OS: ",M11,"|DB: ",N11,"")</f>
        <v>#REF!</v>
      </c>
      <c r="D11" s="9" t="e">
        <f>'Server Sizing'!#REF!</f>
        <v>#REF!</v>
      </c>
      <c r="E11" s="10" t="e">
        <f>SUM((J$7*K11)+(K$7*J11)+(L$7*L11))</f>
        <v>#REF!</v>
      </c>
      <c r="F11" s="11" t="e">
        <f>D11*E11</f>
        <v>#REF!</v>
      </c>
      <c r="G11" s="10">
        <v>0</v>
      </c>
      <c r="H11" s="71"/>
      <c r="I11" s="4"/>
      <c r="J11" s="33" t="e">
        <f>'Server Sizing'!#REF!</f>
        <v>#REF!</v>
      </c>
      <c r="K11" s="33" t="e">
        <f>'Server Sizing'!#REF!</f>
        <v>#REF!</v>
      </c>
      <c r="L11" s="33" t="e">
        <f>'Server Sizing'!#REF!</f>
        <v>#REF!</v>
      </c>
      <c r="M11" s="33" t="e">
        <f>'Server Sizing'!#REF!</f>
        <v>#REF!</v>
      </c>
      <c r="N11" s="34" t="e">
        <f>'Server Sizing'!#REF!</f>
        <v>#REF!</v>
      </c>
      <c r="O11" s="36" t="e">
        <f>D11*J11</f>
        <v>#REF!</v>
      </c>
      <c r="Q11" s="52" t="e">
        <f>L11*D11</f>
        <v>#REF!</v>
      </c>
    </row>
    <row r="12" spans="1:17" x14ac:dyDescent="0.35">
      <c r="A12" s="1"/>
      <c r="B12" s="70" t="e">
        <f>'Server Sizing'!#REF!</f>
        <v>#REF!</v>
      </c>
      <c r="C12" s="8" t="e">
        <f>CONCATENATE("vCores: ",J12," | RAM: ",K12," GB | Performance Storage (1000 IOPs/TB): ",L12," GB | OS: ",M12,"|DB: ",N12,"")</f>
        <v>#REF!</v>
      </c>
      <c r="D12" s="9" t="e">
        <f>'Server Sizing'!#REF!</f>
        <v>#REF!</v>
      </c>
      <c r="E12" s="10" t="e">
        <f>SUM((J$7*K12)+(K$7*J12)+(L$7*L12))</f>
        <v>#REF!</v>
      </c>
      <c r="F12" s="11" t="e">
        <f>D12*E12</f>
        <v>#REF!</v>
      </c>
      <c r="G12" s="10">
        <v>0</v>
      </c>
      <c r="H12" s="71"/>
      <c r="I12" s="4"/>
      <c r="J12" s="33" t="e">
        <f>'Server Sizing'!#REF!</f>
        <v>#REF!</v>
      </c>
      <c r="K12" s="33" t="e">
        <f>'Server Sizing'!#REF!</f>
        <v>#REF!</v>
      </c>
      <c r="L12" s="33" t="e">
        <f>'Server Sizing'!#REF!</f>
        <v>#REF!</v>
      </c>
      <c r="M12" s="33" t="e">
        <f>'Server Sizing'!#REF!</f>
        <v>#REF!</v>
      </c>
      <c r="N12" s="34" t="e">
        <f>'Server Sizing'!#REF!</f>
        <v>#REF!</v>
      </c>
      <c r="O12" s="36" t="e">
        <f>D12*J12</f>
        <v>#REF!</v>
      </c>
      <c r="Q12" s="52" t="e">
        <f>L12*D12</f>
        <v>#REF!</v>
      </c>
    </row>
    <row r="13" spans="1:17" x14ac:dyDescent="0.35">
      <c r="A13" s="1"/>
      <c r="B13" s="70" t="e">
        <f>'Server Sizing'!#REF!</f>
        <v>#REF!</v>
      </c>
      <c r="C13" s="8" t="e">
        <f>CONCATENATE("vCores: ",J13," | RAM: ",K13," GB | Performance Storage (1000 IOPs/TB): ",L13," GB | OS: ",M13,"|DB: ",N13,"")</f>
        <v>#REF!</v>
      </c>
      <c r="D13" s="9" t="e">
        <f>'Server Sizing'!#REF!</f>
        <v>#REF!</v>
      </c>
      <c r="E13" s="10" t="e">
        <f>SUM((J$7*K13)+(K$7*J13)+(L$7*L13))</f>
        <v>#REF!</v>
      </c>
      <c r="F13" s="11" t="e">
        <f>D13*E13</f>
        <v>#REF!</v>
      </c>
      <c r="G13" s="10">
        <v>0</v>
      </c>
      <c r="H13" s="71"/>
      <c r="I13" s="4"/>
      <c r="J13" s="33" t="e">
        <f>'Server Sizing'!#REF!</f>
        <v>#REF!</v>
      </c>
      <c r="K13" s="33" t="e">
        <f>'Server Sizing'!#REF!</f>
        <v>#REF!</v>
      </c>
      <c r="L13" s="33" t="e">
        <f>'Server Sizing'!#REF!</f>
        <v>#REF!</v>
      </c>
      <c r="M13" s="33" t="e">
        <f>'Server Sizing'!#REF!</f>
        <v>#REF!</v>
      </c>
      <c r="N13" s="34" t="e">
        <f>'Server Sizing'!#REF!</f>
        <v>#REF!</v>
      </c>
      <c r="O13" s="36" t="e">
        <f>D13*J13</f>
        <v>#REF!</v>
      </c>
      <c r="Q13" s="52" t="e">
        <f>L13*D13</f>
        <v>#REF!</v>
      </c>
    </row>
    <row r="14" spans="1:17" x14ac:dyDescent="0.35">
      <c r="A14" s="1"/>
      <c r="B14" s="70" t="e">
        <f>'Server Sizing'!#REF!</f>
        <v>#REF!</v>
      </c>
      <c r="C14" s="8" t="e">
        <f t="shared" ref="C14" si="0">CONCATENATE("vCores: ",J14," | RAM: ",K14," GB | Performance Storage (1000 IOPs/TB): ",L14," GB | OS: ",M14,"|DB: ",N14,"")</f>
        <v>#REF!</v>
      </c>
      <c r="D14" s="9" t="e">
        <f>'Server Sizing'!#REF!</f>
        <v>#REF!</v>
      </c>
      <c r="E14" s="10" t="e">
        <f>SUM((J$7*K14)+(K$7*J14)+(L$7*L14))</f>
        <v>#REF!</v>
      </c>
      <c r="F14" s="11" t="e">
        <f>D14*E14</f>
        <v>#REF!</v>
      </c>
      <c r="G14" s="10">
        <v>0</v>
      </c>
      <c r="H14" s="71"/>
      <c r="I14" s="4"/>
      <c r="J14" s="33" t="e">
        <f>'Server Sizing'!#REF!</f>
        <v>#REF!</v>
      </c>
      <c r="K14" s="33" t="e">
        <f>'Server Sizing'!#REF!</f>
        <v>#REF!</v>
      </c>
      <c r="L14" s="33" t="e">
        <f>'Server Sizing'!#REF!</f>
        <v>#REF!</v>
      </c>
      <c r="M14" s="33" t="e">
        <f>'Server Sizing'!#REF!</f>
        <v>#REF!</v>
      </c>
      <c r="N14" s="34" t="e">
        <f>'Server Sizing'!#REF!</f>
        <v>#REF!</v>
      </c>
      <c r="O14" s="36" t="e">
        <f t="shared" ref="O14" si="1">D14*J14</f>
        <v>#REF!</v>
      </c>
      <c r="Q14" s="52" t="e">
        <f t="shared" ref="Q14" si="2">L14*D14</f>
        <v>#REF!</v>
      </c>
    </row>
    <row r="15" spans="1:17" x14ac:dyDescent="0.35">
      <c r="A15" s="1"/>
      <c r="B15" s="72"/>
      <c r="C15" s="8"/>
      <c r="D15" s="9"/>
      <c r="E15" s="10"/>
      <c r="F15" s="11"/>
      <c r="G15" s="10"/>
      <c r="H15" s="71"/>
      <c r="I15" s="4"/>
      <c r="J15" s="1"/>
      <c r="K15" s="1"/>
      <c r="L15" s="12"/>
      <c r="M15" s="1"/>
      <c r="N15" s="1"/>
      <c r="O15" s="5"/>
      <c r="Q15" s="52" t="e">
        <f>SUM(Q10:Q14)</f>
        <v>#REF!</v>
      </c>
    </row>
    <row r="16" spans="1:17" x14ac:dyDescent="0.35">
      <c r="A16" s="1"/>
      <c r="B16" s="66" t="s">
        <v>21</v>
      </c>
      <c r="C16" s="6" t="s">
        <v>22</v>
      </c>
      <c r="D16" s="6" t="s">
        <v>13</v>
      </c>
      <c r="E16" s="6" t="s">
        <v>14</v>
      </c>
      <c r="F16" s="6" t="s">
        <v>15</v>
      </c>
      <c r="G16" s="6" t="s">
        <v>16</v>
      </c>
      <c r="H16" s="67" t="s">
        <v>17</v>
      </c>
      <c r="I16" s="4"/>
      <c r="J16" s="1"/>
      <c r="K16" s="1"/>
      <c r="L16" s="1"/>
      <c r="M16" s="1"/>
      <c r="N16" s="4"/>
    </row>
    <row r="17" spans="1:17" x14ac:dyDescent="0.35">
      <c r="A17" s="1"/>
      <c r="B17" s="72" t="s">
        <v>3</v>
      </c>
      <c r="C17" s="13" t="s">
        <v>58</v>
      </c>
      <c r="D17" s="9" t="e">
        <f>SUMIFS(O10:O14,M10:M14,M10)/2</f>
        <v>#REF!</v>
      </c>
      <c r="E17" s="10" t="e">
        <f>#REF!</f>
        <v>#REF!</v>
      </c>
      <c r="F17" s="11" t="e">
        <f>D17*E17</f>
        <v>#REF!</v>
      </c>
      <c r="G17" s="10">
        <v>0</v>
      </c>
      <c r="H17" s="71" t="s">
        <v>41</v>
      </c>
      <c r="I17" s="4"/>
      <c r="J17" s="1"/>
      <c r="K17" s="1"/>
      <c r="L17" s="1"/>
      <c r="M17" s="1"/>
      <c r="N17" s="4"/>
    </row>
    <row r="18" spans="1:17" x14ac:dyDescent="0.35">
      <c r="A18" s="1"/>
      <c r="B18" s="72" t="s">
        <v>23</v>
      </c>
      <c r="C18" s="13" t="s">
        <v>7</v>
      </c>
      <c r="D18" s="44" t="e">
        <f>SUM(D10:D14)</f>
        <v>#REF!</v>
      </c>
      <c r="E18" s="10" t="e">
        <f>#REF!</f>
        <v>#REF!</v>
      </c>
      <c r="F18" s="11" t="e">
        <f>D18*E18</f>
        <v>#REF!</v>
      </c>
      <c r="G18" s="10">
        <v>0</v>
      </c>
      <c r="H18" s="71" t="s">
        <v>41</v>
      </c>
      <c r="I18" s="4"/>
      <c r="J18" s="1"/>
      <c r="K18" s="1"/>
      <c r="L18" s="1"/>
      <c r="M18" s="1"/>
      <c r="N18" s="4"/>
    </row>
    <row r="19" spans="1:17" x14ac:dyDescent="0.35">
      <c r="A19" s="1"/>
      <c r="B19" s="72" t="s">
        <v>0</v>
      </c>
      <c r="C19" s="13" t="s">
        <v>0</v>
      </c>
      <c r="D19" s="9" t="e">
        <f>SUM(D10:D14)</f>
        <v>#REF!</v>
      </c>
      <c r="E19" s="10" t="e">
        <f>#REF!</f>
        <v>#REF!</v>
      </c>
      <c r="F19" s="11" t="e">
        <f>D19*E19</f>
        <v>#REF!</v>
      </c>
      <c r="G19" s="10">
        <v>0</v>
      </c>
      <c r="H19" s="71" t="s">
        <v>41</v>
      </c>
      <c r="I19" s="4"/>
      <c r="J19" s="1"/>
      <c r="K19" s="1"/>
      <c r="L19" s="1"/>
      <c r="M19" s="1"/>
      <c r="N19" s="4"/>
    </row>
    <row r="20" spans="1:17" x14ac:dyDescent="0.35">
      <c r="A20" s="1"/>
      <c r="B20" s="72"/>
      <c r="C20" s="13"/>
      <c r="D20" s="9"/>
      <c r="E20" s="10"/>
      <c r="F20" s="11"/>
      <c r="G20" s="11"/>
      <c r="H20" s="71"/>
      <c r="I20" s="4"/>
      <c r="J20" s="1"/>
      <c r="K20" s="1"/>
      <c r="L20" s="1"/>
      <c r="M20" s="1"/>
      <c r="N20" s="4"/>
    </row>
    <row r="21" spans="1:17" x14ac:dyDescent="0.35">
      <c r="A21" s="1"/>
      <c r="B21" s="66" t="s">
        <v>24</v>
      </c>
      <c r="C21" s="6" t="s">
        <v>59</v>
      </c>
      <c r="D21" s="6" t="s">
        <v>13</v>
      </c>
      <c r="E21" s="6" t="s">
        <v>14</v>
      </c>
      <c r="F21" s="6" t="s">
        <v>15</v>
      </c>
      <c r="G21" s="6" t="s">
        <v>16</v>
      </c>
      <c r="H21" s="67" t="s">
        <v>17</v>
      </c>
      <c r="I21" s="4"/>
      <c r="J21" s="1"/>
      <c r="K21" s="1"/>
      <c r="L21" s="1"/>
      <c r="M21" s="1"/>
      <c r="N21" s="4"/>
    </row>
    <row r="22" spans="1:17" x14ac:dyDescent="0.35">
      <c r="A22" s="1"/>
      <c r="B22" s="72" t="s">
        <v>2</v>
      </c>
      <c r="C22" s="13" t="s">
        <v>61</v>
      </c>
      <c r="D22" s="61" t="e">
        <f>SUM(D10:D14)*200</f>
        <v>#REF!</v>
      </c>
      <c r="E22" s="10" t="e">
        <f>#REF!/1000</f>
        <v>#REF!</v>
      </c>
      <c r="F22" s="11" t="e">
        <f>D22*E22</f>
        <v>#REF!</v>
      </c>
      <c r="G22" s="10">
        <v>0</v>
      </c>
      <c r="H22" s="71" t="s">
        <v>53</v>
      </c>
      <c r="I22" s="4"/>
      <c r="J22" s="1"/>
      <c r="K22" s="1"/>
      <c r="L22" s="1"/>
      <c r="M22" s="1"/>
      <c r="N22" s="4"/>
    </row>
    <row r="23" spans="1:17" x14ac:dyDescent="0.35">
      <c r="A23" s="1"/>
      <c r="B23" s="72"/>
      <c r="C23" s="13"/>
      <c r="D23" s="53"/>
      <c r="E23" s="10"/>
      <c r="F23" s="11"/>
      <c r="G23" s="10"/>
      <c r="H23" s="73"/>
      <c r="I23" s="4"/>
      <c r="J23" s="1"/>
      <c r="K23" s="1"/>
      <c r="L23" s="1"/>
      <c r="M23" s="1"/>
      <c r="N23" s="4"/>
    </row>
    <row r="24" spans="1:17" x14ac:dyDescent="0.35">
      <c r="A24" s="1"/>
      <c r="B24" s="66" t="s">
        <v>25</v>
      </c>
      <c r="C24" s="6" t="s">
        <v>26</v>
      </c>
      <c r="D24" s="6" t="s">
        <v>13</v>
      </c>
      <c r="E24" s="6" t="s">
        <v>14</v>
      </c>
      <c r="F24" s="6" t="s">
        <v>15</v>
      </c>
      <c r="G24" s="6" t="s">
        <v>16</v>
      </c>
      <c r="H24" s="67" t="s">
        <v>17</v>
      </c>
      <c r="I24" s="4"/>
      <c r="J24" s="1"/>
      <c r="K24" s="1"/>
      <c r="L24" s="1"/>
      <c r="M24" s="1"/>
      <c r="N24" s="4"/>
    </row>
    <row r="25" spans="1:17" x14ac:dyDescent="0.35">
      <c r="A25" s="1"/>
      <c r="B25" s="240" t="s">
        <v>6</v>
      </c>
      <c r="C25" s="43" t="s">
        <v>27</v>
      </c>
      <c r="D25" s="60">
        <v>10</v>
      </c>
      <c r="E25" s="45" t="e">
        <f>#REF!</f>
        <v>#REF!</v>
      </c>
      <c r="F25" s="46" t="e">
        <f>D25*E25</f>
        <v>#REF!</v>
      </c>
      <c r="G25" s="45"/>
      <c r="H25" s="71" t="s">
        <v>66</v>
      </c>
      <c r="I25" s="4"/>
      <c r="J25" s="1"/>
      <c r="K25" s="1"/>
      <c r="L25" s="1"/>
      <c r="M25" s="1"/>
      <c r="N25" s="4"/>
    </row>
    <row r="26" spans="1:17" s="1" customFormat="1" x14ac:dyDescent="0.35">
      <c r="B26" s="233"/>
      <c r="C26" s="43" t="s">
        <v>1</v>
      </c>
      <c r="D26" s="44">
        <v>4</v>
      </c>
      <c r="E26" s="45" t="e">
        <f>#REF!</f>
        <v>#REF!</v>
      </c>
      <c r="F26" s="46" t="e">
        <f>D26*E26</f>
        <v>#REF!</v>
      </c>
      <c r="G26" s="45">
        <v>0</v>
      </c>
      <c r="H26" s="71" t="s">
        <v>53</v>
      </c>
      <c r="I26" s="4"/>
      <c r="N26" s="4"/>
      <c r="P26" s="5"/>
      <c r="Q26" s="5"/>
    </row>
    <row r="27" spans="1:17" s="1" customFormat="1" x14ac:dyDescent="0.35">
      <c r="B27" s="74"/>
      <c r="C27" s="13"/>
      <c r="D27" s="9"/>
      <c r="E27" s="10"/>
      <c r="F27" s="11"/>
      <c r="G27" s="10"/>
      <c r="H27" s="73"/>
      <c r="I27" s="4"/>
      <c r="N27" s="4"/>
      <c r="P27" s="5"/>
      <c r="Q27" s="5"/>
    </row>
    <row r="28" spans="1:17" s="1" customFormat="1" x14ac:dyDescent="0.35">
      <c r="B28" s="66" t="s">
        <v>28</v>
      </c>
      <c r="C28" s="6" t="s">
        <v>29</v>
      </c>
      <c r="D28" s="6" t="s">
        <v>13</v>
      </c>
      <c r="E28" s="6" t="s">
        <v>14</v>
      </c>
      <c r="F28" s="6" t="s">
        <v>15</v>
      </c>
      <c r="G28" s="6" t="s">
        <v>16</v>
      </c>
      <c r="H28" s="67" t="s">
        <v>17</v>
      </c>
      <c r="I28" s="4"/>
      <c r="N28" s="4"/>
      <c r="P28" s="5"/>
      <c r="Q28" s="5"/>
    </row>
    <row r="29" spans="1:17" s="1" customFormat="1" x14ac:dyDescent="0.35">
      <c r="B29" s="240" t="s">
        <v>6</v>
      </c>
      <c r="C29" s="43" t="s">
        <v>30</v>
      </c>
      <c r="D29" s="60" t="s">
        <v>63</v>
      </c>
      <c r="E29" s="60" t="s">
        <v>63</v>
      </c>
      <c r="F29" s="60" t="s">
        <v>63</v>
      </c>
      <c r="G29" s="60" t="s">
        <v>63</v>
      </c>
      <c r="H29" s="75" t="s">
        <v>63</v>
      </c>
      <c r="I29" s="4"/>
      <c r="N29" s="4"/>
      <c r="P29" s="5"/>
      <c r="Q29" s="5"/>
    </row>
    <row r="30" spans="1:17" s="1" customFormat="1" x14ac:dyDescent="0.35">
      <c r="B30" s="233"/>
      <c r="C30" s="13" t="s">
        <v>39</v>
      </c>
      <c r="D30" s="60" t="s">
        <v>63</v>
      </c>
      <c r="E30" s="60" t="s">
        <v>63</v>
      </c>
      <c r="F30" s="60" t="s">
        <v>63</v>
      </c>
      <c r="G30" s="60" t="s">
        <v>63</v>
      </c>
      <c r="H30" s="75" t="s">
        <v>63</v>
      </c>
      <c r="I30" s="4"/>
      <c r="N30" s="4"/>
      <c r="P30" s="5"/>
      <c r="Q30" s="5"/>
    </row>
    <row r="31" spans="1:17" s="1" customFormat="1" x14ac:dyDescent="0.35">
      <c r="B31" s="233"/>
      <c r="C31" s="13" t="s">
        <v>52</v>
      </c>
      <c r="D31" s="60" t="s">
        <v>63</v>
      </c>
      <c r="E31" s="60" t="s">
        <v>63</v>
      </c>
      <c r="F31" s="60" t="s">
        <v>63</v>
      </c>
      <c r="G31" s="60" t="s">
        <v>63</v>
      </c>
      <c r="H31" s="75" t="s">
        <v>63</v>
      </c>
      <c r="I31" s="4"/>
      <c r="N31" s="4"/>
      <c r="P31" s="5"/>
      <c r="Q31" s="5"/>
    </row>
    <row r="32" spans="1:17" s="1" customFormat="1" x14ac:dyDescent="0.35">
      <c r="B32" s="233"/>
      <c r="C32" s="13" t="s">
        <v>31</v>
      </c>
      <c r="D32" s="9" t="e">
        <f>SUM(D10:D14,D30:D31,)</f>
        <v>#REF!</v>
      </c>
      <c r="E32" s="10" t="e">
        <f>#REF!</f>
        <v>#REF!</v>
      </c>
      <c r="F32" s="11" t="e">
        <f>D32*E32</f>
        <v>#REF!</v>
      </c>
      <c r="G32" s="10">
        <v>0</v>
      </c>
      <c r="H32" s="71" t="s">
        <v>56</v>
      </c>
      <c r="I32" s="4"/>
      <c r="N32" s="4"/>
      <c r="P32" s="5"/>
      <c r="Q32" s="5"/>
    </row>
    <row r="33" spans="1:17" s="1" customFormat="1" x14ac:dyDescent="0.35">
      <c r="B33" s="233"/>
      <c r="C33" s="43" t="s">
        <v>55</v>
      </c>
      <c r="D33" s="60" t="s">
        <v>63</v>
      </c>
      <c r="E33" s="60" t="s">
        <v>63</v>
      </c>
      <c r="F33" s="60" t="s">
        <v>63</v>
      </c>
      <c r="G33" s="60" t="s">
        <v>63</v>
      </c>
      <c r="H33" s="75" t="s">
        <v>63</v>
      </c>
      <c r="I33" s="4"/>
      <c r="N33" s="4"/>
      <c r="P33" s="5"/>
      <c r="Q33" s="5"/>
    </row>
    <row r="34" spans="1:17" s="1" customFormat="1" x14ac:dyDescent="0.35">
      <c r="B34" s="66" t="s">
        <v>40</v>
      </c>
      <c r="C34" s="6" t="s">
        <v>32</v>
      </c>
      <c r="D34" s="6" t="s">
        <v>13</v>
      </c>
      <c r="E34" s="6" t="s">
        <v>14</v>
      </c>
      <c r="F34" s="6" t="s">
        <v>15</v>
      </c>
      <c r="G34" s="6" t="s">
        <v>16</v>
      </c>
      <c r="H34" s="67" t="s">
        <v>17</v>
      </c>
      <c r="I34" s="4"/>
      <c r="N34" s="4"/>
      <c r="P34" s="5"/>
      <c r="Q34" s="5"/>
    </row>
    <row r="35" spans="1:17" s="1" customFormat="1" x14ac:dyDescent="0.35">
      <c r="B35" s="233"/>
      <c r="C35" s="13" t="s">
        <v>33</v>
      </c>
      <c r="D35" s="9" t="e">
        <f>D18</f>
        <v>#REF!</v>
      </c>
      <c r="E35" s="10" t="e">
        <f>#REF!</f>
        <v>#REF!</v>
      </c>
      <c r="F35" s="11" t="e">
        <f>D35*E35</f>
        <v>#REF!</v>
      </c>
      <c r="G35" s="10">
        <v>0</v>
      </c>
      <c r="H35" s="71"/>
      <c r="I35" s="4"/>
      <c r="N35" s="4"/>
      <c r="P35" s="5"/>
      <c r="Q35" s="5"/>
    </row>
    <row r="36" spans="1:17" s="1" customFormat="1" x14ac:dyDescent="0.35">
      <c r="B36" s="233"/>
      <c r="C36" s="13" t="s">
        <v>34</v>
      </c>
      <c r="D36" s="9">
        <v>1</v>
      </c>
      <c r="E36" s="10" t="e">
        <f>#REF!</f>
        <v>#REF!</v>
      </c>
      <c r="F36" s="11" t="e">
        <f>D36*E36</f>
        <v>#REF!</v>
      </c>
      <c r="G36" s="10">
        <v>0</v>
      </c>
      <c r="H36" s="71"/>
      <c r="I36" s="4"/>
      <c r="N36" s="4"/>
      <c r="P36" s="5"/>
      <c r="Q36" s="5"/>
    </row>
    <row r="37" spans="1:17" s="1" customFormat="1" x14ac:dyDescent="0.35">
      <c r="B37" s="233"/>
      <c r="C37" s="13" t="s">
        <v>35</v>
      </c>
      <c r="D37" s="9" t="e">
        <f>D19</f>
        <v>#REF!</v>
      </c>
      <c r="E37" s="10" t="e">
        <f>#REF!</f>
        <v>#REF!</v>
      </c>
      <c r="F37" s="11" t="e">
        <f>D37*E37</f>
        <v>#REF!</v>
      </c>
      <c r="G37" s="10">
        <v>0</v>
      </c>
      <c r="H37" s="71"/>
      <c r="I37" s="4"/>
      <c r="N37" s="4"/>
      <c r="P37" s="5"/>
      <c r="Q37" s="5"/>
    </row>
    <row r="38" spans="1:17" s="1" customFormat="1" x14ac:dyDescent="0.35">
      <c r="B38" s="233"/>
      <c r="C38" s="13" t="s">
        <v>36</v>
      </c>
      <c r="D38" s="60" t="s">
        <v>63</v>
      </c>
      <c r="E38" s="60" t="s">
        <v>63</v>
      </c>
      <c r="F38" s="60" t="s">
        <v>63</v>
      </c>
      <c r="G38" s="60" t="s">
        <v>63</v>
      </c>
      <c r="H38" s="75" t="s">
        <v>63</v>
      </c>
      <c r="I38" s="4"/>
      <c r="N38" s="4"/>
      <c r="P38" s="5"/>
      <c r="Q38" s="5"/>
    </row>
    <row r="39" spans="1:17" s="1" customFormat="1" x14ac:dyDescent="0.35">
      <c r="B39" s="234"/>
      <c r="C39" s="13" t="s">
        <v>62</v>
      </c>
      <c r="D39" s="9" t="e">
        <f>SUM(D35,D38:D38)</f>
        <v>#REF!</v>
      </c>
      <c r="E39" s="10" t="e">
        <f>#REF!</f>
        <v>#REF!</v>
      </c>
      <c r="F39" s="11" t="e">
        <f>D39*E39</f>
        <v>#REF!</v>
      </c>
      <c r="G39" s="10">
        <v>0</v>
      </c>
      <c r="H39" s="71"/>
      <c r="I39" s="4"/>
      <c r="N39" s="4"/>
      <c r="P39" s="5"/>
      <c r="Q39" s="5"/>
    </row>
    <row r="40" spans="1:17" s="1" customFormat="1" x14ac:dyDescent="0.35">
      <c r="B40" s="74"/>
      <c r="C40" s="13"/>
      <c r="D40" s="9"/>
      <c r="E40" s="10"/>
      <c r="F40" s="11"/>
      <c r="G40" s="10"/>
      <c r="H40" s="71"/>
      <c r="I40" s="4"/>
      <c r="N40" s="4"/>
      <c r="P40" s="5"/>
      <c r="Q40" s="5"/>
    </row>
    <row r="41" spans="1:17" s="1" customFormat="1" x14ac:dyDescent="0.35">
      <c r="B41" s="241" t="s">
        <v>50</v>
      </c>
      <c r="C41" s="223"/>
      <c r="D41" s="223"/>
      <c r="E41" s="224"/>
      <c r="F41" s="14" t="e">
        <f>SUM(F10:F33)</f>
        <v>#REF!</v>
      </c>
      <c r="G41" s="14">
        <f>SUM(G10:G33)</f>
        <v>0</v>
      </c>
      <c r="H41" s="76"/>
      <c r="I41" s="4"/>
      <c r="N41" s="4"/>
      <c r="P41" s="5"/>
      <c r="Q41" s="5"/>
    </row>
    <row r="42" spans="1:17" s="1" customFormat="1" x14ac:dyDescent="0.35">
      <c r="B42" s="222" t="s">
        <v>51</v>
      </c>
      <c r="C42" s="223"/>
      <c r="D42" s="223"/>
      <c r="E42" s="224"/>
      <c r="F42" s="15" t="e">
        <f>SUM(F35:F40)</f>
        <v>#REF!</v>
      </c>
      <c r="G42" s="15">
        <f>SUM(G35:G39)</f>
        <v>0</v>
      </c>
      <c r="H42" s="77"/>
      <c r="I42" s="4"/>
      <c r="J42" s="16"/>
      <c r="K42" s="4"/>
      <c r="L42" s="4"/>
      <c r="M42" s="4"/>
      <c r="N42" s="4"/>
      <c r="P42" s="5"/>
      <c r="Q42" s="5"/>
    </row>
    <row r="43" spans="1:17" s="1" customFormat="1" ht="15" thickBot="1" x14ac:dyDescent="0.4">
      <c r="B43" s="225" t="s">
        <v>37</v>
      </c>
      <c r="C43" s="226"/>
      <c r="D43" s="226"/>
      <c r="E43" s="227"/>
      <c r="F43" s="78" t="e">
        <f>SUM(F41+F42)</f>
        <v>#REF!</v>
      </c>
      <c r="G43" s="78">
        <f>SUM(G41+G42)</f>
        <v>0</v>
      </c>
      <c r="H43" s="79"/>
      <c r="I43" s="4"/>
      <c r="J43" s="4"/>
      <c r="K43" s="4"/>
      <c r="L43" s="4"/>
      <c r="M43" s="4"/>
      <c r="N43" s="4"/>
      <c r="P43" s="5"/>
      <c r="Q43" s="5"/>
    </row>
    <row r="44" spans="1:17" s="1" customFormat="1" x14ac:dyDescent="0.35">
      <c r="C44" s="2"/>
      <c r="F44" s="49"/>
      <c r="H44" s="3"/>
      <c r="I44" s="4"/>
      <c r="J44" s="4"/>
      <c r="K44" s="4"/>
      <c r="L44" s="4"/>
      <c r="M44" s="4"/>
      <c r="N44" s="4"/>
      <c r="P44" s="5"/>
      <c r="Q44" s="5"/>
    </row>
    <row r="45" spans="1:17" s="1" customFormat="1" x14ac:dyDescent="0.35">
      <c r="A45" s="4"/>
      <c r="B45" s="17"/>
      <c r="C45" s="5"/>
      <c r="D45" s="4"/>
      <c r="E45" s="4"/>
      <c r="F45" s="35"/>
      <c r="G45" s="4"/>
      <c r="H45" s="19"/>
      <c r="I45" s="4"/>
      <c r="J45" s="4"/>
      <c r="K45" s="4"/>
      <c r="L45" s="4"/>
      <c r="M45" s="4"/>
      <c r="N45" s="4"/>
      <c r="P45" s="5"/>
      <c r="Q45" s="5"/>
    </row>
    <row r="46" spans="1:17" s="1" customFormat="1" x14ac:dyDescent="0.35">
      <c r="A46" s="4"/>
      <c r="B46" s="4"/>
      <c r="C46" s="18"/>
      <c r="D46" s="4"/>
      <c r="E46" s="4"/>
      <c r="F46" s="50"/>
      <c r="G46" s="4"/>
      <c r="H46" s="19"/>
      <c r="I46" s="4"/>
      <c r="J46" s="4"/>
      <c r="K46" s="4"/>
      <c r="L46" s="4"/>
      <c r="M46" s="4"/>
      <c r="N46" s="4"/>
      <c r="P46" s="5"/>
      <c r="Q46" s="5"/>
    </row>
    <row r="47" spans="1:17" s="1" customFormat="1" x14ac:dyDescent="0.35">
      <c r="A47" s="4"/>
      <c r="B47" s="4"/>
      <c r="C47" s="18"/>
      <c r="D47" s="4"/>
      <c r="E47" s="4"/>
      <c r="F47" s="4"/>
      <c r="G47" s="4"/>
      <c r="H47" s="19"/>
      <c r="I47" s="4"/>
      <c r="J47" s="4"/>
      <c r="K47" s="4"/>
      <c r="L47" s="4"/>
      <c r="M47" s="4"/>
      <c r="N47" s="4"/>
      <c r="P47" s="5"/>
      <c r="Q47" s="5"/>
    </row>
    <row r="48" spans="1:17" s="1" customFormat="1" x14ac:dyDescent="0.35">
      <c r="A48" s="4"/>
      <c r="B48" s="4"/>
      <c r="C48" s="18"/>
      <c r="D48" s="4"/>
      <c r="E48" s="4"/>
      <c r="F48" s="51"/>
      <c r="G48" s="4"/>
      <c r="H48" s="4"/>
      <c r="I48" s="4"/>
      <c r="J48" s="4"/>
      <c r="K48" s="4"/>
      <c r="L48" s="4"/>
      <c r="M48" s="4"/>
      <c r="N48" s="4"/>
      <c r="P48" s="5"/>
      <c r="Q48" s="5"/>
    </row>
    <row r="49" spans="1:17" s="1" customFormat="1" x14ac:dyDescent="0.35">
      <c r="A49" s="4"/>
      <c r="B49" s="4"/>
      <c r="C49" s="18"/>
      <c r="D49" s="4"/>
      <c r="E49" s="4"/>
      <c r="F49" s="4"/>
      <c r="G49" s="4"/>
      <c r="H49" s="19"/>
      <c r="I49" s="4"/>
      <c r="J49" s="4"/>
      <c r="K49" s="4"/>
      <c r="L49" s="4"/>
      <c r="M49" s="4"/>
      <c r="N49" s="4"/>
      <c r="P49" s="5"/>
      <c r="Q49" s="5"/>
    </row>
    <row r="50" spans="1:17" s="1" customFormat="1" x14ac:dyDescent="0.35">
      <c r="A50" s="4"/>
      <c r="B50" s="4"/>
      <c r="C50" s="18"/>
      <c r="D50" s="4"/>
      <c r="E50" s="4"/>
      <c r="F50" s="4"/>
      <c r="G50" s="4"/>
      <c r="H50" s="19"/>
      <c r="I50" s="4"/>
      <c r="J50" s="4"/>
      <c r="K50" s="4"/>
      <c r="L50" s="4"/>
      <c r="M50" s="4"/>
      <c r="N50" s="4"/>
      <c r="P50" s="5"/>
      <c r="Q50" s="5"/>
    </row>
    <row r="51" spans="1:17" s="1" customFormat="1" x14ac:dyDescent="0.35">
      <c r="A51" s="4"/>
      <c r="B51" s="4"/>
      <c r="C51" s="18"/>
      <c r="D51" s="4"/>
      <c r="E51" s="4"/>
      <c r="F51" s="4"/>
      <c r="G51" s="4"/>
      <c r="H51" s="19"/>
      <c r="I51" s="4"/>
      <c r="J51" s="4"/>
      <c r="K51" s="4"/>
      <c r="L51" s="4"/>
      <c r="M51" s="4"/>
      <c r="N51" s="4"/>
      <c r="P51" s="5"/>
      <c r="Q51" s="5"/>
    </row>
    <row r="52" spans="1:17" s="1" customFormat="1" x14ac:dyDescent="0.35">
      <c r="A52" s="4"/>
      <c r="B52" s="4"/>
      <c r="C52" s="18"/>
      <c r="D52" s="4"/>
      <c r="E52" s="4"/>
      <c r="F52" s="4"/>
      <c r="G52" s="4"/>
      <c r="H52" s="19"/>
      <c r="I52" s="4"/>
      <c r="J52" s="4"/>
      <c r="K52" s="4"/>
      <c r="L52" s="4"/>
      <c r="M52" s="4"/>
      <c r="N52" s="4"/>
      <c r="P52" s="5"/>
      <c r="Q52" s="5"/>
    </row>
    <row r="53" spans="1:17" s="1" customFormat="1" x14ac:dyDescent="0.35">
      <c r="A53" s="4"/>
      <c r="B53" s="4"/>
      <c r="C53" s="18"/>
      <c r="D53" s="4"/>
      <c r="E53" s="4"/>
      <c r="F53" s="4"/>
      <c r="G53" s="4"/>
      <c r="H53" s="19"/>
      <c r="I53" s="4"/>
      <c r="J53" s="4"/>
      <c r="K53" s="4"/>
      <c r="L53" s="4"/>
      <c r="M53" s="4"/>
      <c r="N53" s="4"/>
      <c r="P53" s="5"/>
      <c r="Q53" s="5"/>
    </row>
    <row r="54" spans="1:17" s="1" customFormat="1" x14ac:dyDescent="0.35">
      <c r="A54" s="4"/>
      <c r="B54" s="4"/>
      <c r="C54" s="18"/>
      <c r="D54" s="4"/>
      <c r="E54" s="4"/>
      <c r="F54" s="4"/>
      <c r="G54" s="4"/>
      <c r="H54" s="19"/>
      <c r="I54" s="4"/>
      <c r="J54" s="4"/>
      <c r="K54" s="4"/>
      <c r="L54" s="4"/>
      <c r="M54" s="4"/>
      <c r="N54" s="4"/>
      <c r="P54" s="5"/>
      <c r="Q54" s="5"/>
    </row>
    <row r="55" spans="1:17" s="1" customFormat="1" x14ac:dyDescent="0.35">
      <c r="A55" s="4"/>
      <c r="B55" s="4"/>
      <c r="C55" s="18"/>
      <c r="D55" s="4"/>
      <c r="E55" s="4"/>
      <c r="F55" s="4"/>
      <c r="G55" s="4"/>
      <c r="H55" s="19"/>
      <c r="I55" s="4"/>
      <c r="J55" s="4"/>
      <c r="K55" s="4"/>
      <c r="L55" s="4"/>
      <c r="M55" s="4"/>
      <c r="N55" s="4"/>
      <c r="P55" s="5"/>
      <c r="Q55" s="5"/>
    </row>
    <row r="56" spans="1:17" s="1" customFormat="1" x14ac:dyDescent="0.35">
      <c r="A56" s="4"/>
      <c r="B56" s="4"/>
      <c r="C56" s="18"/>
      <c r="D56" s="4"/>
      <c r="E56" s="4"/>
      <c r="F56" s="4"/>
      <c r="G56" s="4"/>
      <c r="H56" s="19"/>
      <c r="I56" s="4"/>
      <c r="J56" s="4"/>
      <c r="K56" s="4"/>
      <c r="L56" s="4"/>
      <c r="M56" s="4"/>
      <c r="N56" s="4"/>
      <c r="P56" s="5"/>
      <c r="Q56" s="5"/>
    </row>
    <row r="57" spans="1:17" s="1" customFormat="1" x14ac:dyDescent="0.35">
      <c r="A57" s="4"/>
      <c r="B57" s="4"/>
      <c r="C57" s="18"/>
      <c r="D57" s="4"/>
      <c r="E57" s="4"/>
      <c r="F57" s="4"/>
      <c r="G57" s="4"/>
      <c r="H57" s="19"/>
      <c r="I57" s="4"/>
      <c r="J57" s="4"/>
      <c r="K57" s="4"/>
      <c r="L57" s="4"/>
      <c r="M57" s="4"/>
      <c r="N57" s="4"/>
      <c r="P57" s="5"/>
      <c r="Q57" s="5"/>
    </row>
    <row r="58" spans="1:17" s="1" customFormat="1" x14ac:dyDescent="0.35">
      <c r="A58" s="4"/>
      <c r="B58" s="4"/>
      <c r="C58" s="18"/>
      <c r="D58" s="4"/>
      <c r="E58" s="4"/>
      <c r="F58" s="4"/>
      <c r="G58" s="4"/>
      <c r="H58" s="19"/>
      <c r="I58" s="4"/>
      <c r="J58" s="4"/>
      <c r="K58" s="4"/>
      <c r="L58" s="4"/>
      <c r="M58" s="4"/>
      <c r="N58" s="4"/>
      <c r="P58" s="5"/>
      <c r="Q58" s="5"/>
    </row>
    <row r="59" spans="1:17" s="1" customFormat="1" x14ac:dyDescent="0.35">
      <c r="A59" s="4"/>
      <c r="B59" s="4"/>
      <c r="C59" s="18"/>
      <c r="D59" s="4"/>
      <c r="E59" s="4"/>
      <c r="F59" s="4"/>
      <c r="G59" s="4"/>
      <c r="H59" s="19"/>
      <c r="I59" s="4"/>
      <c r="J59" s="4"/>
      <c r="K59" s="4"/>
      <c r="L59" s="4"/>
      <c r="M59" s="4"/>
      <c r="N59" s="4"/>
      <c r="P59" s="5"/>
      <c r="Q59" s="5"/>
    </row>
    <row r="60" spans="1:17" s="1" customFormat="1" x14ac:dyDescent="0.35">
      <c r="A60" s="4"/>
      <c r="B60" s="4"/>
      <c r="C60" s="18"/>
      <c r="D60" s="4"/>
      <c r="E60" s="4"/>
      <c r="F60" s="4"/>
      <c r="G60" s="4"/>
      <c r="H60" s="19"/>
      <c r="I60" s="4"/>
      <c r="J60" s="4"/>
      <c r="K60" s="4"/>
      <c r="L60" s="4"/>
      <c r="M60" s="4"/>
      <c r="N60" s="4"/>
      <c r="P60" s="5"/>
      <c r="Q60" s="5"/>
    </row>
    <row r="61" spans="1:17" s="1" customFormat="1" x14ac:dyDescent="0.35">
      <c r="C61" s="2"/>
      <c r="H61" s="3"/>
      <c r="I61" s="4"/>
      <c r="J61" s="4"/>
      <c r="K61" s="4"/>
      <c r="L61" s="4"/>
      <c r="M61" s="4"/>
      <c r="N61" s="4"/>
      <c r="P61" s="5"/>
      <c r="Q61" s="5"/>
    </row>
    <row r="62" spans="1:17" s="1" customFormat="1" x14ac:dyDescent="0.35">
      <c r="C62" s="2"/>
      <c r="H62" s="3"/>
      <c r="I62" s="4"/>
      <c r="J62" s="4"/>
      <c r="K62" s="4"/>
      <c r="L62" s="4"/>
      <c r="M62" s="4"/>
      <c r="N62" s="4"/>
      <c r="P62" s="5"/>
      <c r="Q62" s="5"/>
    </row>
    <row r="63" spans="1:17" s="1" customFormat="1" x14ac:dyDescent="0.35">
      <c r="C63" s="2"/>
      <c r="H63" s="3"/>
      <c r="I63" s="4"/>
      <c r="J63" s="4"/>
      <c r="K63" s="4"/>
      <c r="L63" s="4"/>
      <c r="M63" s="4"/>
      <c r="N63" s="4"/>
      <c r="P63" s="5"/>
      <c r="Q63" s="5"/>
    </row>
    <row r="64" spans="1:17" s="1" customFormat="1" x14ac:dyDescent="0.35">
      <c r="C64" s="2"/>
      <c r="H64" s="3"/>
      <c r="I64" s="4"/>
      <c r="J64" s="4"/>
      <c r="K64" s="4"/>
      <c r="L64" s="4"/>
      <c r="M64" s="4"/>
      <c r="N64" s="4"/>
      <c r="P64" s="5"/>
      <c r="Q64" s="5"/>
    </row>
    <row r="65" spans="3:17" s="1" customFormat="1" x14ac:dyDescent="0.35">
      <c r="C65" s="2"/>
      <c r="H65" s="3"/>
      <c r="I65" s="4"/>
      <c r="J65" s="4"/>
      <c r="K65" s="4"/>
      <c r="L65" s="4"/>
      <c r="M65" s="4"/>
      <c r="N65" s="4"/>
      <c r="P65" s="5"/>
      <c r="Q65" s="5"/>
    </row>
    <row r="66" spans="3:17" s="1" customFormat="1" x14ac:dyDescent="0.35">
      <c r="C66" s="2"/>
      <c r="H66" s="3"/>
      <c r="I66" s="4"/>
      <c r="J66" s="4"/>
      <c r="K66" s="4"/>
      <c r="L66" s="4"/>
      <c r="M66" s="4"/>
      <c r="N66" s="4"/>
      <c r="P66" s="5"/>
      <c r="Q66" s="5"/>
    </row>
    <row r="67" spans="3:17" s="1" customFormat="1" x14ac:dyDescent="0.35">
      <c r="C67" s="2"/>
      <c r="H67" s="3"/>
      <c r="I67" s="4"/>
      <c r="J67" s="4"/>
      <c r="K67" s="4"/>
      <c r="L67" s="4"/>
      <c r="M67" s="4"/>
      <c r="N67" s="4"/>
      <c r="P67" s="5"/>
      <c r="Q67" s="5"/>
    </row>
    <row r="68" spans="3:17" s="1" customFormat="1" x14ac:dyDescent="0.35">
      <c r="C68" s="2"/>
      <c r="H68" s="3"/>
      <c r="I68" s="4"/>
      <c r="J68" s="4"/>
      <c r="K68" s="4"/>
      <c r="L68" s="4"/>
      <c r="M68" s="4"/>
      <c r="N68" s="4"/>
      <c r="P68" s="5"/>
      <c r="Q68" s="5"/>
    </row>
    <row r="69" spans="3:17" s="1" customFormat="1" x14ac:dyDescent="0.35">
      <c r="C69" s="2"/>
      <c r="H69" s="3"/>
      <c r="I69" s="4"/>
      <c r="J69" s="4"/>
      <c r="K69" s="4"/>
      <c r="L69" s="4"/>
      <c r="M69" s="4"/>
      <c r="N69" s="4"/>
      <c r="P69" s="5"/>
      <c r="Q69" s="5"/>
    </row>
    <row r="70" spans="3:17" s="1" customFormat="1" x14ac:dyDescent="0.35">
      <c r="C70" s="2"/>
      <c r="H70" s="3"/>
      <c r="I70" s="4"/>
      <c r="J70" s="4"/>
      <c r="K70" s="4"/>
      <c r="L70" s="4"/>
      <c r="M70" s="4"/>
      <c r="N70" s="4"/>
      <c r="P70" s="5"/>
      <c r="Q70" s="5"/>
    </row>
    <row r="71" spans="3:17" s="1" customFormat="1" x14ac:dyDescent="0.35">
      <c r="C71" s="2"/>
      <c r="H71" s="3"/>
      <c r="I71" s="4"/>
      <c r="J71" s="4"/>
      <c r="K71" s="4"/>
      <c r="L71" s="4"/>
      <c r="M71" s="4"/>
      <c r="N71" s="4"/>
      <c r="P71" s="5"/>
      <c r="Q71" s="5"/>
    </row>
    <row r="72" spans="3:17" s="1" customFormat="1" x14ac:dyDescent="0.35">
      <c r="C72" s="2"/>
      <c r="H72" s="3"/>
      <c r="I72" s="4"/>
      <c r="J72" s="4"/>
      <c r="K72" s="4"/>
      <c r="L72" s="4"/>
      <c r="M72" s="4"/>
      <c r="N72" s="4"/>
      <c r="P72" s="5"/>
      <c r="Q72" s="5"/>
    </row>
    <row r="73" spans="3:17" s="1" customFormat="1" x14ac:dyDescent="0.35">
      <c r="C73" s="2"/>
      <c r="H73" s="3"/>
      <c r="I73" s="4"/>
      <c r="J73" s="4"/>
      <c r="K73" s="4"/>
      <c r="L73" s="4"/>
      <c r="M73" s="4"/>
      <c r="N73" s="4"/>
      <c r="P73" s="5"/>
      <c r="Q73" s="5"/>
    </row>
    <row r="74" spans="3:17" s="1" customFormat="1" x14ac:dyDescent="0.35">
      <c r="C74" s="2"/>
      <c r="H74" s="3"/>
      <c r="I74" s="4"/>
      <c r="J74" s="4"/>
      <c r="K74" s="4"/>
      <c r="L74" s="4"/>
      <c r="M74" s="4"/>
      <c r="N74" s="4"/>
      <c r="P74" s="5"/>
      <c r="Q74" s="5"/>
    </row>
    <row r="75" spans="3:17" s="1" customFormat="1" x14ac:dyDescent="0.35">
      <c r="C75" s="2"/>
      <c r="H75" s="3"/>
      <c r="I75" s="4"/>
      <c r="J75" s="4"/>
      <c r="K75" s="4"/>
      <c r="L75" s="4"/>
      <c r="M75" s="4"/>
      <c r="N75" s="4"/>
      <c r="P75" s="5"/>
      <c r="Q75" s="5"/>
    </row>
    <row r="76" spans="3:17" s="1" customFormat="1" x14ac:dyDescent="0.35">
      <c r="C76" s="2"/>
      <c r="H76" s="3"/>
      <c r="I76" s="4"/>
      <c r="J76" s="4"/>
      <c r="K76" s="4"/>
      <c r="L76" s="4"/>
      <c r="M76" s="4"/>
      <c r="N76" s="4"/>
      <c r="P76" s="5"/>
      <c r="Q76" s="5"/>
    </row>
    <row r="77" spans="3:17" s="1" customFormat="1" x14ac:dyDescent="0.35">
      <c r="C77" s="2"/>
      <c r="H77" s="3"/>
      <c r="I77" s="4"/>
      <c r="J77" s="4"/>
      <c r="K77" s="4"/>
      <c r="L77" s="4"/>
      <c r="M77" s="4"/>
      <c r="N77" s="4"/>
      <c r="P77" s="5"/>
      <c r="Q77" s="5"/>
    </row>
    <row r="78" spans="3:17" s="1" customFormat="1" x14ac:dyDescent="0.35">
      <c r="C78" s="2"/>
      <c r="H78" s="3"/>
      <c r="I78" s="4"/>
      <c r="J78" s="4"/>
      <c r="K78" s="4"/>
      <c r="L78" s="4"/>
      <c r="M78" s="4"/>
      <c r="N78" s="4"/>
      <c r="P78" s="5"/>
      <c r="Q78" s="5"/>
    </row>
    <row r="79" spans="3:17" s="1" customFormat="1" x14ac:dyDescent="0.35">
      <c r="C79" s="2"/>
      <c r="H79" s="3"/>
      <c r="I79" s="4"/>
      <c r="J79" s="4"/>
      <c r="K79" s="4"/>
      <c r="L79" s="4"/>
      <c r="M79" s="4"/>
      <c r="N79" s="4"/>
      <c r="P79" s="5"/>
      <c r="Q79" s="5"/>
    </row>
    <row r="80" spans="3:17" s="1" customFormat="1" x14ac:dyDescent="0.35">
      <c r="C80" s="2"/>
      <c r="H80" s="3"/>
      <c r="I80" s="4"/>
      <c r="J80" s="4"/>
      <c r="K80" s="4"/>
      <c r="L80" s="4"/>
      <c r="M80" s="4"/>
      <c r="N80" s="4"/>
      <c r="P80" s="5"/>
      <c r="Q80" s="5"/>
    </row>
    <row r="81" spans="3:17" s="1" customFormat="1" x14ac:dyDescent="0.35">
      <c r="C81" s="2"/>
      <c r="H81" s="3"/>
      <c r="I81" s="4"/>
      <c r="J81" s="4"/>
      <c r="K81" s="4"/>
      <c r="L81" s="4"/>
      <c r="M81" s="4"/>
      <c r="N81" s="4"/>
      <c r="P81" s="5"/>
      <c r="Q81" s="5"/>
    </row>
    <row r="82" spans="3:17" s="1" customFormat="1" x14ac:dyDescent="0.35">
      <c r="C82" s="2"/>
      <c r="H82" s="3"/>
      <c r="I82" s="4"/>
      <c r="J82" s="4"/>
      <c r="K82" s="4"/>
      <c r="L82" s="4"/>
      <c r="M82" s="4"/>
      <c r="N82" s="4"/>
      <c r="P82" s="5"/>
      <c r="Q82" s="5"/>
    </row>
    <row r="83" spans="3:17" s="1" customFormat="1" x14ac:dyDescent="0.35">
      <c r="C83" s="2"/>
      <c r="H83" s="3"/>
      <c r="I83" s="4"/>
      <c r="J83" s="4"/>
      <c r="K83" s="4"/>
      <c r="L83" s="4"/>
      <c r="M83" s="4"/>
      <c r="N83" s="4"/>
      <c r="P83" s="5"/>
      <c r="Q83" s="5"/>
    </row>
    <row r="84" spans="3:17" s="1" customFormat="1" x14ac:dyDescent="0.35">
      <c r="C84" s="2"/>
      <c r="H84" s="3"/>
      <c r="I84" s="4"/>
      <c r="J84" s="4"/>
      <c r="K84" s="4"/>
      <c r="L84" s="4"/>
      <c r="M84" s="4"/>
      <c r="N84" s="4"/>
      <c r="P84" s="5"/>
      <c r="Q84" s="5"/>
    </row>
    <row r="85" spans="3:17" s="1" customFormat="1" x14ac:dyDescent="0.35">
      <c r="C85" s="2"/>
      <c r="H85" s="3"/>
      <c r="I85" s="4"/>
      <c r="J85" s="4"/>
      <c r="K85" s="4"/>
      <c r="L85" s="4"/>
      <c r="M85" s="4"/>
      <c r="N85" s="4"/>
      <c r="P85" s="5"/>
      <c r="Q85" s="5"/>
    </row>
    <row r="86" spans="3:17" s="1" customFormat="1" x14ac:dyDescent="0.35">
      <c r="C86" s="2"/>
      <c r="H86" s="3"/>
      <c r="I86" s="4"/>
      <c r="J86" s="4"/>
      <c r="K86" s="4"/>
      <c r="L86" s="4"/>
      <c r="M86" s="4"/>
      <c r="N86" s="4"/>
      <c r="P86" s="5"/>
      <c r="Q86" s="5"/>
    </row>
    <row r="87" spans="3:17" s="1" customFormat="1" x14ac:dyDescent="0.35">
      <c r="C87" s="2"/>
      <c r="H87" s="3"/>
      <c r="I87" s="4"/>
      <c r="J87" s="4"/>
      <c r="K87" s="4"/>
      <c r="L87" s="4"/>
      <c r="M87" s="4"/>
      <c r="N87" s="4"/>
      <c r="P87" s="5"/>
      <c r="Q87" s="5"/>
    </row>
    <row r="88" spans="3:17" s="1" customFormat="1" x14ac:dyDescent="0.35">
      <c r="C88" s="2"/>
      <c r="H88" s="3"/>
      <c r="I88" s="4"/>
      <c r="J88" s="4"/>
      <c r="K88" s="4"/>
      <c r="L88" s="4"/>
      <c r="M88" s="4"/>
      <c r="N88" s="4"/>
      <c r="P88" s="5"/>
      <c r="Q88" s="5"/>
    </row>
    <row r="89" spans="3:17" s="1" customFormat="1" x14ac:dyDescent="0.35">
      <c r="C89" s="2"/>
      <c r="H89" s="3"/>
      <c r="I89" s="4"/>
      <c r="J89" s="4"/>
      <c r="K89" s="4"/>
      <c r="L89" s="4"/>
      <c r="M89" s="4"/>
      <c r="N89" s="4"/>
      <c r="P89" s="5"/>
      <c r="Q89" s="5"/>
    </row>
    <row r="90" spans="3:17" s="1" customFormat="1" x14ac:dyDescent="0.35">
      <c r="C90" s="2"/>
      <c r="H90" s="3"/>
      <c r="I90" s="4"/>
      <c r="J90" s="4"/>
      <c r="K90" s="4"/>
      <c r="L90" s="4"/>
      <c r="M90" s="4"/>
      <c r="N90" s="4"/>
      <c r="P90" s="5"/>
      <c r="Q90" s="5"/>
    </row>
    <row r="91" spans="3:17" s="1" customFormat="1" x14ac:dyDescent="0.35">
      <c r="C91" s="2"/>
      <c r="H91" s="3"/>
      <c r="I91" s="4"/>
      <c r="J91" s="4"/>
      <c r="K91" s="4"/>
      <c r="L91" s="4"/>
      <c r="M91" s="4"/>
      <c r="N91" s="4"/>
      <c r="P91" s="5"/>
      <c r="Q91" s="5"/>
    </row>
    <row r="92" spans="3:17" s="1" customFormat="1" x14ac:dyDescent="0.35">
      <c r="C92" s="2"/>
      <c r="H92" s="3"/>
      <c r="I92" s="4"/>
      <c r="J92" s="4"/>
      <c r="K92" s="4"/>
      <c r="L92" s="4"/>
      <c r="M92" s="4"/>
      <c r="N92" s="4"/>
      <c r="P92" s="5"/>
      <c r="Q92" s="5"/>
    </row>
  </sheetData>
  <mergeCells count="8">
    <mergeCell ref="B42:E42"/>
    <mergeCell ref="B43:E43"/>
    <mergeCell ref="B6:H6"/>
    <mergeCell ref="B7:H7"/>
    <mergeCell ref="B25:B26"/>
    <mergeCell ref="B29:B33"/>
    <mergeCell ref="B35:B39"/>
    <mergeCell ref="B41:E41"/>
  </mergeCells>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7"/>
  <sheetViews>
    <sheetView zoomScale="70" zoomScaleNormal="70" workbookViewId="0">
      <selection activeCell="E12" sqref="E12"/>
    </sheetView>
  </sheetViews>
  <sheetFormatPr defaultColWidth="14.453125" defaultRowHeight="14.5" x14ac:dyDescent="0.35"/>
  <cols>
    <col min="1" max="1" width="6.36328125" style="5" customWidth="1"/>
    <col min="2" max="2" width="22" style="5" bestFit="1" customWidth="1"/>
    <col min="3" max="3" width="46.54296875" style="20" bestFit="1" customWidth="1"/>
    <col min="4" max="4" width="31.08984375" style="5" customWidth="1"/>
    <col min="5" max="5" width="15.08984375" style="5" bestFit="1" customWidth="1"/>
    <col min="6" max="6" width="19.54296875" style="5" bestFit="1" customWidth="1"/>
    <col min="7" max="7" width="18.36328125" style="5" bestFit="1" customWidth="1"/>
    <col min="8" max="8" width="39.08984375" style="5" customWidth="1"/>
    <col min="9" max="9" width="13.36328125" style="5" bestFit="1" customWidth="1"/>
    <col min="10" max="10" width="8.54296875" style="5" bestFit="1" customWidth="1"/>
    <col min="11" max="11" width="6" style="5" bestFit="1" customWidth="1"/>
    <col min="12" max="12" width="10.54296875" style="5" bestFit="1" customWidth="1"/>
    <col min="13" max="13" width="8.6328125" style="5" bestFit="1" customWidth="1"/>
    <col min="14" max="14" width="31.08984375" style="5" bestFit="1" customWidth="1"/>
    <col min="15" max="15" width="12.36328125" style="1" bestFit="1" customWidth="1"/>
    <col min="16" max="16" width="12.36328125" style="1" customWidth="1"/>
    <col min="17" max="17" width="14.453125" style="5"/>
    <col min="18" max="18" width="10.54296875" style="5" bestFit="1" customWidth="1"/>
    <col min="19" max="19" width="14.453125" style="5"/>
    <col min="20" max="20" width="4.90625" style="5" customWidth="1"/>
    <col min="21" max="16384" width="14.453125" style="5"/>
  </cols>
  <sheetData>
    <row r="1" spans="1:25" x14ac:dyDescent="0.35">
      <c r="A1" s="1"/>
      <c r="B1" s="1"/>
      <c r="C1" s="2"/>
      <c r="D1" s="1"/>
      <c r="E1" s="1"/>
      <c r="F1" s="1"/>
      <c r="G1" s="1"/>
      <c r="H1" s="3"/>
      <c r="I1" s="4"/>
      <c r="J1" s="4"/>
      <c r="K1" s="4"/>
      <c r="L1" s="4"/>
      <c r="M1" s="4"/>
      <c r="N1" s="4"/>
    </row>
    <row r="2" spans="1:25" x14ac:dyDescent="0.35">
      <c r="A2" s="1"/>
      <c r="B2" s="1"/>
      <c r="C2" s="2"/>
      <c r="D2" s="1"/>
      <c r="E2" s="1"/>
      <c r="F2" s="1"/>
      <c r="G2" s="1"/>
      <c r="H2" s="3"/>
      <c r="I2" s="4"/>
      <c r="J2" s="4"/>
      <c r="K2" s="4"/>
      <c r="L2" s="4"/>
      <c r="M2" s="4"/>
      <c r="N2" s="4"/>
    </row>
    <row r="3" spans="1:25" x14ac:dyDescent="0.35">
      <c r="A3" s="1"/>
      <c r="B3" s="1"/>
      <c r="C3" s="2"/>
      <c r="D3" s="1"/>
      <c r="E3" s="1"/>
      <c r="F3" s="1"/>
      <c r="G3" s="1"/>
      <c r="H3" s="3"/>
      <c r="I3" s="4"/>
      <c r="J3" s="4"/>
      <c r="K3" s="4"/>
      <c r="L3" s="4"/>
      <c r="M3" s="4"/>
      <c r="N3" s="4"/>
    </row>
    <row r="4" spans="1:25" x14ac:dyDescent="0.35">
      <c r="A4" s="1"/>
      <c r="B4" s="1"/>
      <c r="C4" s="2"/>
      <c r="D4" s="1"/>
      <c r="E4" s="1"/>
      <c r="F4" s="1"/>
      <c r="G4" s="1"/>
      <c r="H4" s="3"/>
      <c r="I4" s="4"/>
      <c r="J4" s="4"/>
      <c r="K4" s="4"/>
      <c r="L4" s="4"/>
      <c r="M4" s="4"/>
      <c r="N4" s="4"/>
    </row>
    <row r="5" spans="1:25" ht="15" thickBot="1" x14ac:dyDescent="0.4">
      <c r="A5" s="1"/>
      <c r="B5" s="1"/>
      <c r="C5" s="2"/>
      <c r="D5" s="1"/>
      <c r="E5" s="1"/>
      <c r="F5" s="1"/>
      <c r="G5" s="1"/>
      <c r="H5" s="3"/>
      <c r="I5" s="4"/>
      <c r="J5" s="4"/>
      <c r="K5" s="4"/>
      <c r="L5" s="4"/>
      <c r="M5" s="4"/>
      <c r="N5" s="4"/>
    </row>
    <row r="6" spans="1:25" x14ac:dyDescent="0.35">
      <c r="A6" s="1"/>
      <c r="B6" s="228" t="s">
        <v>38</v>
      </c>
      <c r="C6" s="229"/>
      <c r="D6" s="229"/>
      <c r="E6" s="229"/>
      <c r="F6" s="229"/>
      <c r="G6" s="229"/>
      <c r="H6" s="230"/>
      <c r="I6" s="4"/>
      <c r="J6" s="219" t="s">
        <v>428</v>
      </c>
      <c r="K6" s="220"/>
      <c r="L6" s="220"/>
      <c r="M6" s="220"/>
      <c r="N6" s="221"/>
    </row>
    <row r="7" spans="1:25" x14ac:dyDescent="0.35">
      <c r="A7" s="1"/>
      <c r="B7" s="231" t="s">
        <v>10</v>
      </c>
      <c r="C7" s="223"/>
      <c r="D7" s="223"/>
      <c r="E7" s="223"/>
      <c r="F7" s="223"/>
      <c r="G7" s="223"/>
      <c r="H7" s="232"/>
      <c r="I7" s="4"/>
      <c r="J7" s="80">
        <f>'ESDS DC'!J7</f>
        <v>0</v>
      </c>
      <c r="K7" s="80">
        <f>'ESDS DC'!K7</f>
        <v>0</v>
      </c>
      <c r="L7" s="159">
        <f>'MRSAC Rate Card'!E106</f>
        <v>4.4000000000000004</v>
      </c>
      <c r="M7" s="21"/>
      <c r="N7" s="28"/>
      <c r="Q7" s="218" t="s">
        <v>429</v>
      </c>
      <c r="R7" s="218"/>
      <c r="S7" s="218"/>
      <c r="U7" s="218" t="s">
        <v>430</v>
      </c>
      <c r="V7" s="218"/>
      <c r="W7" s="218"/>
    </row>
    <row r="8" spans="1:25" x14ac:dyDescent="0.35">
      <c r="A8" s="1"/>
      <c r="B8" s="66" t="s">
        <v>11</v>
      </c>
      <c r="C8" s="6" t="s">
        <v>12</v>
      </c>
      <c r="D8" s="6" t="s">
        <v>13</v>
      </c>
      <c r="E8" s="6" t="s">
        <v>14</v>
      </c>
      <c r="F8" s="6" t="s">
        <v>15</v>
      </c>
      <c r="G8" s="6" t="s">
        <v>16</v>
      </c>
      <c r="H8" s="67" t="s">
        <v>17</v>
      </c>
      <c r="I8" s="4"/>
      <c r="J8" s="29" t="s">
        <v>18</v>
      </c>
      <c r="K8" s="22" t="s">
        <v>19</v>
      </c>
      <c r="L8" s="22" t="s">
        <v>57</v>
      </c>
      <c r="M8" s="22" t="s">
        <v>3</v>
      </c>
      <c r="N8" s="30" t="s">
        <v>5</v>
      </c>
      <c r="Q8" s="29" t="s">
        <v>18</v>
      </c>
      <c r="R8" s="22" t="s">
        <v>19</v>
      </c>
      <c r="S8" s="22" t="s">
        <v>57</v>
      </c>
      <c r="U8" s="29" t="s">
        <v>18</v>
      </c>
      <c r="V8" s="22" t="s">
        <v>19</v>
      </c>
      <c r="W8" s="22" t="s">
        <v>57</v>
      </c>
    </row>
    <row r="9" spans="1:25" x14ac:dyDescent="0.35">
      <c r="A9" s="1"/>
      <c r="B9" s="68"/>
      <c r="C9" s="7"/>
      <c r="D9" s="7"/>
      <c r="E9" s="7"/>
      <c r="F9" s="7"/>
      <c r="G9" s="7"/>
      <c r="H9" s="69"/>
      <c r="I9" s="4"/>
      <c r="J9" s="31" t="s">
        <v>20</v>
      </c>
      <c r="K9" s="23" t="s">
        <v>8</v>
      </c>
      <c r="L9" s="23" t="s">
        <v>8</v>
      </c>
      <c r="M9" s="24"/>
      <c r="N9" s="32"/>
      <c r="Q9" s="31" t="s">
        <v>20</v>
      </c>
      <c r="R9" s="23" t="s">
        <v>8</v>
      </c>
      <c r="S9" s="23" t="s">
        <v>8</v>
      </c>
      <c r="U9" s="31" t="s">
        <v>20</v>
      </c>
      <c r="V9" s="23" t="s">
        <v>8</v>
      </c>
      <c r="W9" s="23" t="s">
        <v>8</v>
      </c>
      <c r="Y9" s="52" t="e">
        <f>L10*D10</f>
        <v>#REF!</v>
      </c>
    </row>
    <row r="10" spans="1:25" ht="43.5" x14ac:dyDescent="0.35">
      <c r="A10" s="1"/>
      <c r="B10" s="70" t="e">
        <f>'Server Sizing'!#REF!</f>
        <v>#REF!</v>
      </c>
      <c r="C10" s="8" t="str">
        <f>'MRSAC Rate Card'!H36</f>
        <v>L7 Plan: 32 vCPU 128  GB RAM 100 GB HDD 1000 IOPS, 100 GB data transfer / Month, OS: Linux OS with 1 Public IPV6 address</v>
      </c>
      <c r="D10" s="9" t="e">
        <f>'Server Sizing'!#REF!</f>
        <v>#REF!</v>
      </c>
      <c r="E10" s="10" t="e">
        <f>L10*$L$7</f>
        <v>#REF!</v>
      </c>
      <c r="F10" s="11" t="e">
        <f>D10*E10</f>
        <v>#REF!</v>
      </c>
      <c r="G10" s="10">
        <v>0</v>
      </c>
      <c r="H10" s="71" t="s">
        <v>67</v>
      </c>
      <c r="I10" s="154" t="s">
        <v>435</v>
      </c>
      <c r="J10" s="157">
        <v>0</v>
      </c>
      <c r="K10" s="157">
        <v>0</v>
      </c>
      <c r="L10" s="157" t="e">
        <f>'Server Sizing'!#REF!</f>
        <v>#REF!</v>
      </c>
      <c r="M10" s="33" t="e">
        <f>'Server Sizing'!#REF!</f>
        <v>#REF!</v>
      </c>
      <c r="N10" s="34" t="e">
        <f>'Server Sizing'!#REF!</f>
        <v>#REF!</v>
      </c>
      <c r="O10" s="36" t="e">
        <f>D10*J10</f>
        <v>#REF!</v>
      </c>
      <c r="P10" s="158" t="s">
        <v>435</v>
      </c>
      <c r="Q10" s="33">
        <v>32</v>
      </c>
      <c r="R10" s="33">
        <v>128</v>
      </c>
      <c r="S10" s="33">
        <v>100</v>
      </c>
      <c r="U10" s="155"/>
      <c r="V10" s="155"/>
      <c r="W10" s="155"/>
      <c r="Y10" s="52" t="e">
        <f>L11*D11</f>
        <v>#REF!</v>
      </c>
    </row>
    <row r="11" spans="1:25" ht="43.5" x14ac:dyDescent="0.35">
      <c r="A11" s="1"/>
      <c r="B11" s="70" t="e">
        <f>'Server Sizing'!#REF!</f>
        <v>#REF!</v>
      </c>
      <c r="C11" s="8" t="str">
        <f>'MRSAC Rate Card'!H27</f>
        <v>M13 Plan: 14 vCPU  64  GB RAM 100 GB HDD 1000 IOPS, 100 GB data transfer / Month, OS: Linux OS with 1 Public IPV6 address</v>
      </c>
      <c r="D11" s="9" t="e">
        <f>'Server Sizing'!#REF!</f>
        <v>#REF!</v>
      </c>
      <c r="E11" s="10" t="e">
        <f>L11*$L$7</f>
        <v>#REF!</v>
      </c>
      <c r="F11" s="11" t="e">
        <f>D11*E11</f>
        <v>#REF!</v>
      </c>
      <c r="G11" s="10">
        <v>0</v>
      </c>
      <c r="H11" s="71" t="s">
        <v>68</v>
      </c>
      <c r="I11" s="154" t="s">
        <v>436</v>
      </c>
      <c r="J11" s="157">
        <v>0</v>
      </c>
      <c r="K11" s="157">
        <v>0</v>
      </c>
      <c r="L11" s="157" t="e">
        <f>'Server Sizing'!#REF!</f>
        <v>#REF!</v>
      </c>
      <c r="M11" s="33" t="e">
        <f>'Server Sizing'!#REF!</f>
        <v>#REF!</v>
      </c>
      <c r="N11" s="34" t="e">
        <f>'Server Sizing'!#REF!</f>
        <v>#REF!</v>
      </c>
      <c r="O11" s="36" t="e">
        <f>D11*J11</f>
        <v>#REF!</v>
      </c>
      <c r="P11" s="158" t="s">
        <v>436</v>
      </c>
      <c r="Q11" s="33">
        <v>14</v>
      </c>
      <c r="R11" s="33">
        <v>64</v>
      </c>
      <c r="S11" s="33">
        <v>100</v>
      </c>
      <c r="U11" s="155"/>
      <c r="V11" s="155"/>
      <c r="W11" s="155"/>
      <c r="Y11" s="52" t="e">
        <f>L12*D12</f>
        <v>#REF!</v>
      </c>
    </row>
    <row r="12" spans="1:25" ht="43.5" x14ac:dyDescent="0.35">
      <c r="A12" s="1"/>
      <c r="B12" s="84" t="e">
        <f>'Server Sizing'!#REF!</f>
        <v>#REF!</v>
      </c>
      <c r="C12" s="85" t="str">
        <f>'MRSAC Rate Card'!H36</f>
        <v>L7 Plan: 32 vCPU 128  GB RAM 100 GB HDD 1000 IOPS, 100 GB data transfer / Month, OS: Linux OS with 1 Public IPV6 address</v>
      </c>
      <c r="D12" s="44" t="e">
        <f>'Server Sizing'!#REF!</f>
        <v>#REF!</v>
      </c>
      <c r="E12" s="45" t="e">
        <f>#REF!</f>
        <v>#REF!</v>
      </c>
      <c r="F12" s="46" t="e">
        <f>D12*E12</f>
        <v>#REF!</v>
      </c>
      <c r="G12" s="45">
        <v>0</v>
      </c>
      <c r="H12" s="86" t="s">
        <v>69</v>
      </c>
      <c r="I12" s="154" t="s">
        <v>435</v>
      </c>
      <c r="J12" s="157" t="e">
        <f>'Server Sizing'!#REF!</f>
        <v>#REF!</v>
      </c>
      <c r="K12" s="157" t="e">
        <f>'Server Sizing'!#REF!</f>
        <v>#REF!</v>
      </c>
      <c r="L12" s="157" t="e">
        <f>'Server Sizing'!#REF!</f>
        <v>#REF!</v>
      </c>
      <c r="M12" s="33" t="e">
        <f>'Server Sizing'!#REF!</f>
        <v>#REF!</v>
      </c>
      <c r="N12" s="34" t="e">
        <f>'Server Sizing'!#REF!</f>
        <v>#REF!</v>
      </c>
      <c r="O12" s="36" t="e">
        <f>D12*J12</f>
        <v>#REF!</v>
      </c>
      <c r="P12" s="158" t="s">
        <v>435</v>
      </c>
      <c r="Q12" s="33">
        <v>32</v>
      </c>
      <c r="R12" s="33">
        <v>128</v>
      </c>
      <c r="S12" s="33">
        <v>100</v>
      </c>
      <c r="U12" s="155" t="e">
        <f t="shared" ref="U12" si="0">(J12-Q12)*$D12</f>
        <v>#REF!</v>
      </c>
      <c r="V12" s="155" t="e">
        <f t="shared" ref="V12:W12" si="1">(K12-R12)*$D12</f>
        <v>#REF!</v>
      </c>
      <c r="W12" s="155" t="e">
        <f t="shared" si="1"/>
        <v>#REF!</v>
      </c>
      <c r="Y12" s="52" t="e">
        <f>L13*D13</f>
        <v>#REF!</v>
      </c>
    </row>
    <row r="13" spans="1:25" ht="43.5" x14ac:dyDescent="0.35">
      <c r="A13" s="1"/>
      <c r="B13" s="70" t="e">
        <f>'Server Sizing'!#REF!</f>
        <v>#REF!</v>
      </c>
      <c r="C13" s="8" t="str">
        <f>'MRSAC Rate Card'!H36</f>
        <v>L7 Plan: 32 vCPU 128  GB RAM 100 GB HDD 1000 IOPS, 100 GB data transfer / Month, OS: Linux OS with 1 Public IPV6 address</v>
      </c>
      <c r="D13" s="9" t="e">
        <f>'Server Sizing'!#REF!</f>
        <v>#REF!</v>
      </c>
      <c r="E13" s="10" t="e">
        <f t="shared" ref="E13:E14" si="2">L13*$L$7</f>
        <v>#REF!</v>
      </c>
      <c r="F13" s="11" t="e">
        <f>D13*E13</f>
        <v>#REF!</v>
      </c>
      <c r="G13" s="10">
        <v>0</v>
      </c>
      <c r="H13" s="71" t="s">
        <v>71</v>
      </c>
      <c r="I13" s="154" t="s">
        <v>435</v>
      </c>
      <c r="J13" s="157">
        <v>0</v>
      </c>
      <c r="K13" s="157">
        <v>0</v>
      </c>
      <c r="L13" s="157" t="e">
        <f>'Server Sizing'!#REF!</f>
        <v>#REF!</v>
      </c>
      <c r="M13" s="33" t="e">
        <f>'Server Sizing'!#REF!</f>
        <v>#REF!</v>
      </c>
      <c r="N13" s="34" t="e">
        <f>'Server Sizing'!#REF!</f>
        <v>#REF!</v>
      </c>
      <c r="O13" s="36" t="e">
        <f>D13*J13</f>
        <v>#REF!</v>
      </c>
      <c r="P13" s="158" t="s">
        <v>435</v>
      </c>
      <c r="Q13" s="33">
        <v>32</v>
      </c>
      <c r="R13" s="33">
        <v>128</v>
      </c>
      <c r="S13" s="33">
        <v>100</v>
      </c>
      <c r="U13" s="155"/>
      <c r="V13" s="155"/>
      <c r="W13" s="155"/>
      <c r="Y13" s="52" t="e">
        <f>L14*D14</f>
        <v>#REF!</v>
      </c>
    </row>
    <row r="14" spans="1:25" ht="44" thickBot="1" x14ac:dyDescent="0.4">
      <c r="A14" s="1"/>
      <c r="B14" s="70" t="e">
        <f>'Server Sizing'!#REF!</f>
        <v>#REF!</v>
      </c>
      <c r="C14" s="8" t="str">
        <f>'MRSAC Rate Card'!H36</f>
        <v>L7 Plan: 32 vCPU 128  GB RAM 100 GB HDD 1000 IOPS, 100 GB data transfer / Month, OS: Linux OS with 1 Public IPV6 address</v>
      </c>
      <c r="D14" s="9" t="e">
        <f>'Server Sizing'!#REF!</f>
        <v>#REF!</v>
      </c>
      <c r="E14" s="10" t="e">
        <f t="shared" si="2"/>
        <v>#REF!</v>
      </c>
      <c r="F14" s="11" t="e">
        <f>D14*E14</f>
        <v>#REF!</v>
      </c>
      <c r="G14" s="10">
        <v>0</v>
      </c>
      <c r="H14" s="71" t="s">
        <v>72</v>
      </c>
      <c r="I14" s="154" t="s">
        <v>435</v>
      </c>
      <c r="J14" s="157">
        <v>0</v>
      </c>
      <c r="K14" s="157">
        <v>0</v>
      </c>
      <c r="L14" s="157" t="e">
        <f>'Server Sizing'!#REF!</f>
        <v>#REF!</v>
      </c>
      <c r="M14" s="81" t="e">
        <f>'Server Sizing'!#REF!</f>
        <v>#REF!</v>
      </c>
      <c r="N14" s="82" t="e">
        <f>'Server Sizing'!#REF!</f>
        <v>#REF!</v>
      </c>
      <c r="O14" s="36" t="e">
        <f t="shared" ref="O14" si="3">D14*J14</f>
        <v>#REF!</v>
      </c>
      <c r="P14" s="158" t="s">
        <v>435</v>
      </c>
      <c r="Q14" s="33">
        <v>32</v>
      </c>
      <c r="R14" s="33">
        <v>128</v>
      </c>
      <c r="S14" s="33">
        <v>100</v>
      </c>
      <c r="U14" s="155"/>
      <c r="V14" s="155"/>
      <c r="W14" s="155"/>
      <c r="Y14" s="52" t="e">
        <f>SUM(Y9:Y13)</f>
        <v>#REF!</v>
      </c>
    </row>
    <row r="15" spans="1:25" x14ac:dyDescent="0.35">
      <c r="A15" s="1"/>
      <c r="B15" s="72"/>
      <c r="C15" s="8"/>
      <c r="D15" s="9"/>
      <c r="E15" s="10"/>
      <c r="F15" s="11"/>
      <c r="G15" s="10"/>
      <c r="H15" s="71"/>
      <c r="I15" s="4"/>
      <c r="J15" s="5" t="e">
        <f>SUM(J10:J14)</f>
        <v>#REF!</v>
      </c>
      <c r="K15" s="5" t="e">
        <f t="shared" ref="K15:L15" si="4">SUM(K10:K14)</f>
        <v>#REF!</v>
      </c>
      <c r="L15" s="5" t="e">
        <f t="shared" si="4"/>
        <v>#REF!</v>
      </c>
      <c r="M15" s="1"/>
      <c r="N15" s="1"/>
      <c r="O15" s="5"/>
      <c r="P15" s="5"/>
      <c r="Q15" s="5">
        <f>SUM(Q10:Q14)</f>
        <v>142</v>
      </c>
      <c r="R15" s="5">
        <f t="shared" ref="R15:S15" si="5">SUM(R10:R14)</f>
        <v>576</v>
      </c>
      <c r="S15" s="5">
        <f t="shared" si="5"/>
        <v>500</v>
      </c>
      <c r="U15" s="5" t="e">
        <f>SUM(U10:U14)</f>
        <v>#REF!</v>
      </c>
      <c r="V15" s="5" t="e">
        <f t="shared" ref="V15:W15" si="6">SUM(V10:V14)</f>
        <v>#REF!</v>
      </c>
      <c r="W15" s="5" t="e">
        <f t="shared" si="6"/>
        <v>#REF!</v>
      </c>
    </row>
    <row r="16" spans="1:25" x14ac:dyDescent="0.35">
      <c r="A16" s="1"/>
      <c r="B16" s="66" t="s">
        <v>21</v>
      </c>
      <c r="C16" s="6" t="s">
        <v>22</v>
      </c>
      <c r="D16" s="6" t="s">
        <v>13</v>
      </c>
      <c r="E16" s="6" t="s">
        <v>14</v>
      </c>
      <c r="F16" s="6" t="s">
        <v>15</v>
      </c>
      <c r="G16" s="6" t="s">
        <v>16</v>
      </c>
      <c r="H16" s="67" t="s">
        <v>17</v>
      </c>
      <c r="I16" s="4"/>
      <c r="J16" s="1"/>
      <c r="K16" s="1"/>
      <c r="L16" s="1"/>
      <c r="M16" s="1"/>
      <c r="N16" s="4"/>
    </row>
    <row r="17" spans="1:17" x14ac:dyDescent="0.35">
      <c r="A17" s="1"/>
      <c r="B17" s="72" t="s">
        <v>3</v>
      </c>
      <c r="C17" s="13" t="str">
        <f>'MRSAC Rate Card'!C56</f>
        <v>OS :Windows 2019 or Latest std Edition per 2 core lic</v>
      </c>
      <c r="D17" s="9" t="e">
        <f>SUMIFS(O10:O14,M10:M14,M10)/2</f>
        <v>#REF!</v>
      </c>
      <c r="E17" s="10">
        <f>'MRSAC Rate Card'!E56</f>
        <v>583</v>
      </c>
      <c r="F17" s="11" t="e">
        <f>D17*E17</f>
        <v>#REF!</v>
      </c>
      <c r="G17" s="10">
        <v>0</v>
      </c>
      <c r="H17" s="71" t="s">
        <v>41</v>
      </c>
      <c r="I17" s="4"/>
      <c r="J17" s="1"/>
      <c r="K17" s="1"/>
      <c r="L17" s="1"/>
      <c r="N17" s="4"/>
      <c r="P17" s="22" t="s">
        <v>18</v>
      </c>
      <c r="Q17" s="152" t="e">
        <f>U15</f>
        <v>#REF!</v>
      </c>
    </row>
    <row r="18" spans="1:17" ht="29" x14ac:dyDescent="0.35">
      <c r="A18" s="1"/>
      <c r="B18" s="72" t="s">
        <v>5</v>
      </c>
      <c r="C18" s="13" t="str">
        <f>'MRSAC Rate Card'!C70</f>
        <v>PostgreSQL Community Edition Latest (Free Version)- Per Instance</v>
      </c>
      <c r="D18" s="9" t="s">
        <v>4</v>
      </c>
      <c r="E18" s="9" t="s">
        <v>4</v>
      </c>
      <c r="F18" s="9" t="s">
        <v>4</v>
      </c>
      <c r="G18" s="9" t="s">
        <v>4</v>
      </c>
      <c r="H18" s="153" t="s">
        <v>4</v>
      </c>
      <c r="I18" s="4"/>
      <c r="J18" s="1"/>
      <c r="K18" s="1"/>
      <c r="L18" s="1"/>
      <c r="N18" s="4"/>
      <c r="P18" s="22" t="s">
        <v>19</v>
      </c>
      <c r="Q18" s="152" t="e">
        <f>V15</f>
        <v>#REF!</v>
      </c>
    </row>
    <row r="19" spans="1:17" x14ac:dyDescent="0.35">
      <c r="A19" s="1"/>
      <c r="B19" s="72" t="s">
        <v>23</v>
      </c>
      <c r="C19" s="13" t="str">
        <f>'MRSAC Rate Card'!C154</f>
        <v>Antivirus + HIPS</v>
      </c>
      <c r="D19" s="44" t="e">
        <f>SUM(D12)</f>
        <v>#REF!</v>
      </c>
      <c r="E19" s="10">
        <f>'MRSAC Rate Card'!E154</f>
        <v>1346.4</v>
      </c>
      <c r="F19" s="11" t="e">
        <f>D19*E19</f>
        <v>#REF!</v>
      </c>
      <c r="G19" s="10">
        <v>0</v>
      </c>
      <c r="H19" s="71" t="s">
        <v>41</v>
      </c>
      <c r="I19" s="4"/>
      <c r="J19" s="1"/>
      <c r="K19" s="1"/>
      <c r="L19" s="1"/>
      <c r="N19" s="4"/>
      <c r="P19" s="22" t="s">
        <v>57</v>
      </c>
      <c r="Q19" s="152" t="e">
        <f>W15</f>
        <v>#REF!</v>
      </c>
    </row>
    <row r="20" spans="1:17" ht="29" x14ac:dyDescent="0.35">
      <c r="A20" s="1"/>
      <c r="B20" s="156" t="s">
        <v>74</v>
      </c>
      <c r="C20" s="43" t="str">
        <f>'MRSAC Rate Card'!C77</f>
        <v>DRM Software- Per Instance (Carbonite, Sanovi &amp; Perpetuati)</v>
      </c>
      <c r="D20" s="44" t="e">
        <f>SUM(D10:D14)</f>
        <v>#REF!</v>
      </c>
      <c r="E20" s="10">
        <f>'MRSAC Rate Card'!E77</f>
        <v>5610</v>
      </c>
      <c r="F20" s="11" t="e">
        <f>D20*E20</f>
        <v>#REF!</v>
      </c>
      <c r="G20" s="10">
        <v>0</v>
      </c>
      <c r="H20" s="71" t="s">
        <v>41</v>
      </c>
      <c r="I20" s="4"/>
      <c r="J20" s="1"/>
      <c r="K20" s="1"/>
      <c r="L20" s="1"/>
      <c r="N20" s="4"/>
      <c r="P20" s="5"/>
    </row>
    <row r="21" spans="1:17" x14ac:dyDescent="0.35">
      <c r="A21" s="1"/>
      <c r="B21" s="156"/>
      <c r="C21" s="43"/>
      <c r="D21" s="44"/>
      <c r="E21" s="10"/>
      <c r="F21" s="11"/>
      <c r="G21" s="11"/>
      <c r="H21" s="71"/>
      <c r="I21" s="4"/>
      <c r="J21" s="1"/>
      <c r="K21" s="1"/>
      <c r="L21" s="1"/>
      <c r="N21" s="4"/>
    </row>
    <row r="22" spans="1:17" x14ac:dyDescent="0.35">
      <c r="A22" s="1"/>
      <c r="B22" s="66" t="s">
        <v>24</v>
      </c>
      <c r="C22" s="6" t="s">
        <v>59</v>
      </c>
      <c r="D22" s="6" t="s">
        <v>13</v>
      </c>
      <c r="E22" s="6" t="s">
        <v>14</v>
      </c>
      <c r="F22" s="6" t="s">
        <v>15</v>
      </c>
      <c r="G22" s="6" t="s">
        <v>16</v>
      </c>
      <c r="H22" s="67" t="s">
        <v>17</v>
      </c>
      <c r="I22" s="4"/>
      <c r="J22" s="1"/>
      <c r="K22" s="1"/>
      <c r="L22" s="1"/>
      <c r="N22" s="4"/>
    </row>
    <row r="23" spans="1:17" hidden="1" x14ac:dyDescent="0.35">
      <c r="A23" s="1"/>
      <c r="B23" s="72" t="s">
        <v>2</v>
      </c>
      <c r="C23" s="13" t="s">
        <v>431</v>
      </c>
      <c r="D23" s="44" t="e">
        <f>Q17</f>
        <v>#REF!</v>
      </c>
      <c r="E23" s="45">
        <f>'MRSAC Rate Card'!E54</f>
        <v>234.3</v>
      </c>
      <c r="F23" s="11" t="e">
        <f>D23*E23</f>
        <v>#REF!</v>
      </c>
      <c r="G23" s="10">
        <v>0</v>
      </c>
      <c r="H23" s="71" t="s">
        <v>53</v>
      </c>
      <c r="I23" s="4"/>
      <c r="J23" s="1"/>
      <c r="K23" s="1"/>
      <c r="L23" s="1"/>
      <c r="M23" s="1"/>
      <c r="N23" s="4"/>
    </row>
    <row r="24" spans="1:17" ht="30" customHeight="1" x14ac:dyDescent="0.35">
      <c r="A24" s="1"/>
      <c r="B24" s="237" t="str">
        <f>C22</f>
        <v>Additonal Compute &amp; Storage</v>
      </c>
      <c r="C24" s="13" t="s">
        <v>433</v>
      </c>
      <c r="D24" s="44" t="e">
        <f>Q19/100</f>
        <v>#REF!</v>
      </c>
      <c r="E24" s="45">
        <f>'MRSAC Rate Card'!E100</f>
        <v>707.30000000000007</v>
      </c>
      <c r="F24" s="11" t="e">
        <f>D24*E24</f>
        <v>#REF!</v>
      </c>
      <c r="G24" s="10">
        <v>0</v>
      </c>
      <c r="H24" s="71" t="s">
        <v>53</v>
      </c>
      <c r="I24" s="4"/>
      <c r="J24" s="1"/>
      <c r="K24" s="1"/>
      <c r="L24" s="1"/>
      <c r="M24" s="1"/>
      <c r="N24" s="4"/>
    </row>
    <row r="25" spans="1:17" x14ac:dyDescent="0.35">
      <c r="A25" s="1"/>
      <c r="B25" s="239"/>
      <c r="C25" s="13" t="s">
        <v>437</v>
      </c>
      <c r="D25" s="44">
        <v>25</v>
      </c>
      <c r="E25" s="45">
        <f>'MRSAC Rate Card'!E108</f>
        <v>2244</v>
      </c>
      <c r="F25" s="11">
        <f>D25*E25</f>
        <v>56100</v>
      </c>
      <c r="G25" s="10">
        <v>0</v>
      </c>
      <c r="H25" s="71" t="s">
        <v>53</v>
      </c>
      <c r="I25" s="4"/>
      <c r="J25" s="1"/>
      <c r="K25" s="1"/>
      <c r="L25" s="1"/>
      <c r="M25" s="1"/>
      <c r="N25" s="4"/>
    </row>
    <row r="26" spans="1:17" x14ac:dyDescent="0.35">
      <c r="A26" s="1"/>
      <c r="B26" s="72"/>
      <c r="C26" s="13"/>
      <c r="D26" s="53"/>
      <c r="E26" s="10"/>
      <c r="F26" s="11"/>
      <c r="G26" s="10"/>
      <c r="H26" s="73"/>
      <c r="I26" s="4"/>
      <c r="J26" s="1"/>
      <c r="K26" s="1"/>
      <c r="L26" s="1"/>
      <c r="M26" s="1"/>
      <c r="N26" s="4"/>
    </row>
    <row r="27" spans="1:17" x14ac:dyDescent="0.35">
      <c r="A27" s="1"/>
      <c r="B27" s="66" t="s">
        <v>25</v>
      </c>
      <c r="C27" s="6" t="s">
        <v>26</v>
      </c>
      <c r="D27" s="6" t="s">
        <v>13</v>
      </c>
      <c r="E27" s="6" t="s">
        <v>14</v>
      </c>
      <c r="F27" s="6" t="s">
        <v>15</v>
      </c>
      <c r="G27" s="6" t="s">
        <v>16</v>
      </c>
      <c r="H27" s="67" t="s">
        <v>17</v>
      </c>
      <c r="I27" s="4"/>
      <c r="J27" s="1"/>
      <c r="K27" s="1"/>
      <c r="L27" s="1"/>
      <c r="M27" s="1"/>
      <c r="N27" s="4"/>
    </row>
    <row r="28" spans="1:17" ht="29" x14ac:dyDescent="0.35">
      <c r="A28" s="1"/>
      <c r="B28" s="240" t="s">
        <v>6</v>
      </c>
      <c r="C28" s="43" t="str">
        <f>'MRSAC Rate Card'!C177</f>
        <v>Speed Based-Internet Bandwidth - Connectivity- 1 Mbps</v>
      </c>
      <c r="D28" s="60">
        <v>10</v>
      </c>
      <c r="E28" s="45">
        <f>'MRSAC Rate Card'!E177</f>
        <v>561</v>
      </c>
      <c r="F28" s="46">
        <f>D28*E28</f>
        <v>5610</v>
      </c>
      <c r="G28" s="45"/>
      <c r="H28" s="71" t="s">
        <v>53</v>
      </c>
      <c r="I28" s="4"/>
      <c r="J28" s="1"/>
      <c r="K28" s="1"/>
      <c r="L28" s="1"/>
      <c r="M28" s="1"/>
      <c r="N28" s="4"/>
    </row>
    <row r="29" spans="1:17" x14ac:dyDescent="0.35">
      <c r="A29" s="1"/>
      <c r="B29" s="233"/>
      <c r="C29" s="43" t="s">
        <v>75</v>
      </c>
      <c r="D29" s="60">
        <v>10</v>
      </c>
      <c r="E29" s="45" t="e">
        <f>#REF!</f>
        <v>#REF!</v>
      </c>
      <c r="F29" s="46" t="e">
        <f>D29*E29</f>
        <v>#REF!</v>
      </c>
      <c r="G29" s="45"/>
      <c r="H29" s="71" t="s">
        <v>53</v>
      </c>
      <c r="I29" s="4"/>
      <c r="J29" s="1"/>
      <c r="K29" s="1"/>
      <c r="L29" s="1"/>
      <c r="M29" s="1"/>
      <c r="N29" s="4"/>
    </row>
    <row r="30" spans="1:17" x14ac:dyDescent="0.35">
      <c r="A30" s="1"/>
      <c r="B30" s="233"/>
      <c r="C30" s="43" t="str">
        <f>'MRSAC Rate Card'!C171</f>
        <v>CITRIX - Virtual Load Balancer - 1 Gbps</v>
      </c>
      <c r="D30" s="44">
        <v>1</v>
      </c>
      <c r="E30" s="45">
        <f>'MRSAC Rate Card'!E171</f>
        <v>14026.1</v>
      </c>
      <c r="F30" s="46">
        <f>D30*E30</f>
        <v>14026.1</v>
      </c>
      <c r="G30" s="45"/>
      <c r="H30" s="71" t="s">
        <v>53</v>
      </c>
      <c r="I30" s="4"/>
      <c r="J30" s="1"/>
      <c r="K30" s="1"/>
      <c r="L30" s="1"/>
      <c r="M30" s="1"/>
      <c r="N30" s="4"/>
    </row>
    <row r="31" spans="1:17" x14ac:dyDescent="0.35">
      <c r="A31" s="1"/>
      <c r="B31" s="74"/>
      <c r="C31" s="13"/>
      <c r="D31" s="9"/>
      <c r="E31" s="10"/>
      <c r="F31" s="11"/>
      <c r="G31" s="10"/>
      <c r="H31" s="73"/>
      <c r="I31" s="4"/>
      <c r="J31" s="1"/>
      <c r="K31" s="1"/>
      <c r="L31" s="1"/>
      <c r="M31" s="1"/>
      <c r="N31" s="4"/>
    </row>
    <row r="32" spans="1:17" x14ac:dyDescent="0.35">
      <c r="A32" s="1"/>
      <c r="B32" s="66" t="s">
        <v>28</v>
      </c>
      <c r="C32" s="6" t="s">
        <v>29</v>
      </c>
      <c r="D32" s="6" t="s">
        <v>13</v>
      </c>
      <c r="E32" s="6" t="s">
        <v>14</v>
      </c>
      <c r="F32" s="6" t="s">
        <v>15</v>
      </c>
      <c r="G32" s="6" t="s">
        <v>16</v>
      </c>
      <c r="H32" s="67" t="s">
        <v>17</v>
      </c>
      <c r="I32" s="4"/>
      <c r="J32" s="1"/>
      <c r="K32" s="1"/>
      <c r="L32" s="1"/>
      <c r="M32" s="1"/>
      <c r="N32" s="4"/>
    </row>
    <row r="33" spans="2:25" s="1" customFormat="1" x14ac:dyDescent="0.35">
      <c r="B33" s="233"/>
      <c r="C33" s="13" t="str">
        <f>'MRSAC Rate Card'!C152</f>
        <v>vUTM 1 Gbps throughput</v>
      </c>
      <c r="D33" s="9">
        <v>1</v>
      </c>
      <c r="E33" s="10">
        <f>'MRSAC Rate Card'!E152</f>
        <v>14026.1</v>
      </c>
      <c r="F33" s="11">
        <f>D33*E33</f>
        <v>14026.1</v>
      </c>
      <c r="G33" s="10">
        <v>0</v>
      </c>
      <c r="H33" s="71" t="s">
        <v>53</v>
      </c>
      <c r="I33" s="4"/>
      <c r="N33" s="4"/>
      <c r="Q33" s="5"/>
      <c r="R33" s="5"/>
      <c r="S33" s="5"/>
      <c r="T33" s="5"/>
      <c r="U33" s="5"/>
      <c r="V33" s="5"/>
      <c r="W33" s="5"/>
      <c r="X33" s="5"/>
      <c r="Y33" s="5"/>
    </row>
    <row r="34" spans="2:25" s="1" customFormat="1" ht="29" x14ac:dyDescent="0.35">
      <c r="B34" s="233"/>
      <c r="C34" s="13" t="str">
        <f>'MRSAC Rate Card'!C158</f>
        <v>SIEM as a service - Per Instance Or Per device (up to 100 devices &amp; 500 EPS, Log retention for 6 Months)</v>
      </c>
      <c r="D34" s="9" t="e">
        <f>SUM(D12,D33:D33,D30)</f>
        <v>#REF!</v>
      </c>
      <c r="E34" s="10">
        <f>'SOC Services'!E4</f>
        <v>3594.8</v>
      </c>
      <c r="F34" s="11" t="e">
        <f>D34*E34</f>
        <v>#REF!</v>
      </c>
      <c r="G34" s="10">
        <v>0</v>
      </c>
      <c r="H34" s="71" t="s">
        <v>53</v>
      </c>
      <c r="I34" s="4"/>
      <c r="N34" s="4"/>
      <c r="Q34" s="5"/>
      <c r="R34" s="5"/>
      <c r="S34" s="5"/>
      <c r="T34" s="5"/>
      <c r="U34" s="5"/>
      <c r="V34" s="5"/>
      <c r="W34" s="5"/>
      <c r="X34" s="5"/>
      <c r="Y34" s="5"/>
    </row>
    <row r="35" spans="2:25" s="1" customFormat="1" x14ac:dyDescent="0.35">
      <c r="B35" s="66" t="s">
        <v>40</v>
      </c>
      <c r="C35" s="6" t="s">
        <v>32</v>
      </c>
      <c r="D35" s="6" t="s">
        <v>13</v>
      </c>
      <c r="E35" s="6" t="s">
        <v>14</v>
      </c>
      <c r="F35" s="6" t="s">
        <v>15</v>
      </c>
      <c r="G35" s="6" t="s">
        <v>16</v>
      </c>
      <c r="H35" s="67" t="s">
        <v>17</v>
      </c>
      <c r="I35" s="4"/>
      <c r="N35" s="4"/>
      <c r="Q35" s="5"/>
      <c r="R35" s="5"/>
      <c r="S35" s="5"/>
      <c r="T35" s="5"/>
      <c r="U35" s="5"/>
      <c r="V35" s="5"/>
      <c r="W35" s="5"/>
      <c r="X35" s="5"/>
      <c r="Y35" s="5"/>
    </row>
    <row r="36" spans="2:25" s="1" customFormat="1" x14ac:dyDescent="0.35">
      <c r="B36" s="83"/>
      <c r="C36" s="13" t="s">
        <v>438</v>
      </c>
      <c r="D36" s="9">
        <v>1</v>
      </c>
      <c r="E36" s="10" t="e">
        <f>(F48*12)*5%</f>
        <v>#REF!</v>
      </c>
      <c r="F36" s="11"/>
      <c r="G36" s="10" t="e">
        <f>E36</f>
        <v>#REF!</v>
      </c>
      <c r="H36" s="71"/>
      <c r="I36" s="4"/>
      <c r="N36" s="4"/>
      <c r="Q36" s="5"/>
      <c r="R36" s="5"/>
      <c r="S36" s="5"/>
      <c r="T36" s="5"/>
      <c r="U36" s="5"/>
      <c r="V36" s="5"/>
      <c r="W36" s="5"/>
      <c r="X36" s="5"/>
      <c r="Y36" s="5"/>
    </row>
    <row r="37" spans="2:25" s="1" customFormat="1" x14ac:dyDescent="0.35">
      <c r="B37" s="233"/>
      <c r="C37" s="13" t="str">
        <f>'MRSAC Rate Card'!C182</f>
        <v>Operating System Management Service Per VM</v>
      </c>
      <c r="D37" s="9" t="e">
        <f>D19</f>
        <v>#REF!</v>
      </c>
      <c r="E37" s="10">
        <f>'MRSAC Rate Card'!E182</f>
        <v>1683.0000000000002</v>
      </c>
      <c r="F37" s="11" t="e">
        <f t="shared" ref="F37:F44" si="7">D37*E37</f>
        <v>#REF!</v>
      </c>
      <c r="G37" s="10">
        <v>0</v>
      </c>
      <c r="H37" s="71"/>
      <c r="I37" s="4"/>
      <c r="N37" s="4"/>
      <c r="Q37" s="5"/>
      <c r="R37" s="5"/>
      <c r="S37" s="5"/>
      <c r="T37" s="5"/>
      <c r="U37" s="5"/>
      <c r="V37" s="5"/>
      <c r="W37" s="5"/>
      <c r="X37" s="5"/>
      <c r="Y37" s="5"/>
    </row>
    <row r="38" spans="2:25" s="1" customFormat="1" ht="29" x14ac:dyDescent="0.35">
      <c r="B38" s="233"/>
      <c r="C38" s="43" t="str">
        <f>'MRSAC Rate Card'!C199</f>
        <v>PostgresSQL Database Managed Services (Up to 100 GB)</v>
      </c>
      <c r="D38" s="44" t="e">
        <f>D12</f>
        <v>#REF!</v>
      </c>
      <c r="E38" s="45">
        <f>'MRSAC Rate Card'!E199</f>
        <v>8415</v>
      </c>
      <c r="F38" s="46" t="e">
        <f t="shared" si="7"/>
        <v>#REF!</v>
      </c>
      <c r="G38" s="10">
        <v>0</v>
      </c>
      <c r="H38" s="71"/>
      <c r="I38" s="4"/>
      <c r="N38" s="4"/>
      <c r="Q38" s="5"/>
      <c r="R38" s="5"/>
      <c r="S38" s="5"/>
      <c r="T38" s="5"/>
      <c r="U38" s="5"/>
      <c r="V38" s="5"/>
      <c r="W38" s="5"/>
      <c r="X38" s="5"/>
      <c r="Y38" s="5"/>
    </row>
    <row r="39" spans="2:25" s="1" customFormat="1" x14ac:dyDescent="0.35">
      <c r="B39" s="233"/>
      <c r="C39" s="13" t="str">
        <f>'MRSAC Rate Card'!C205</f>
        <v xml:space="preserve">Storage Management Service </v>
      </c>
      <c r="D39" s="9">
        <v>1</v>
      </c>
      <c r="E39" s="10">
        <f>'MRSAC Rate Card'!E183</f>
        <v>1683.0000000000002</v>
      </c>
      <c r="F39" s="11">
        <f t="shared" si="7"/>
        <v>1683.0000000000002</v>
      </c>
      <c r="G39" s="10">
        <v>0</v>
      </c>
      <c r="H39" s="71"/>
      <c r="I39" s="4"/>
      <c r="N39" s="4"/>
      <c r="Q39" s="5"/>
      <c r="R39" s="5"/>
      <c r="S39" s="5"/>
      <c r="T39" s="5"/>
      <c r="U39" s="5"/>
      <c r="V39" s="5"/>
      <c r="W39" s="5"/>
      <c r="X39" s="5"/>
      <c r="Y39" s="5"/>
    </row>
    <row r="40" spans="2:25" s="1" customFormat="1" x14ac:dyDescent="0.35">
      <c r="B40" s="233"/>
      <c r="C40" s="13" t="str">
        <f>'MRSAC Rate Card'!C185</f>
        <v>DR Drill (Per Application)</v>
      </c>
      <c r="D40" s="9" t="e">
        <f>SUM(D10:D14)</f>
        <v>#REF!</v>
      </c>
      <c r="E40" s="10">
        <f>'MRSAC Rate Card'!E185</f>
        <v>6171.0000000000009</v>
      </c>
      <c r="F40" s="11" t="e">
        <f t="shared" si="7"/>
        <v>#REF!</v>
      </c>
      <c r="G40" s="10">
        <v>0</v>
      </c>
      <c r="H40" s="71" t="s">
        <v>434</v>
      </c>
      <c r="I40" s="4"/>
      <c r="N40" s="4"/>
      <c r="Q40" s="5"/>
      <c r="R40" s="5"/>
      <c r="S40" s="5"/>
      <c r="T40" s="5"/>
      <c r="U40" s="5"/>
      <c r="V40" s="5"/>
      <c r="W40" s="5"/>
      <c r="X40" s="5"/>
      <c r="Y40" s="5"/>
    </row>
    <row r="41" spans="2:25" s="1" customFormat="1" x14ac:dyDescent="0.35">
      <c r="B41" s="233"/>
      <c r="C41" s="13" t="str">
        <f>'MRSAC Rate Card'!C200</f>
        <v xml:space="preserve">Replication Managed Services </v>
      </c>
      <c r="D41" s="9" t="e">
        <f>SUM(D10:D14)</f>
        <v>#REF!</v>
      </c>
      <c r="E41" s="10">
        <f>'MRSAC Rate Card'!E200</f>
        <v>1683.0000000000002</v>
      </c>
      <c r="F41" s="11" t="e">
        <f t="shared" si="7"/>
        <v>#REF!</v>
      </c>
      <c r="G41" s="10">
        <v>0</v>
      </c>
      <c r="H41" s="71"/>
      <c r="I41" s="4"/>
      <c r="N41" s="4"/>
      <c r="Q41" s="5"/>
      <c r="R41" s="5"/>
      <c r="S41" s="5"/>
      <c r="T41" s="5"/>
      <c r="U41" s="5"/>
      <c r="V41" s="5"/>
      <c r="W41" s="5"/>
      <c r="X41" s="5"/>
      <c r="Y41" s="5"/>
    </row>
    <row r="42" spans="2:25" s="1" customFormat="1" x14ac:dyDescent="0.35">
      <c r="B42" s="233"/>
      <c r="C42" s="13" t="str">
        <f>'MRSAC Rate Card'!C211</f>
        <v>vUTM Firewall Managed Services</v>
      </c>
      <c r="D42" s="9">
        <f>SUM(D33:D33)</f>
        <v>1</v>
      </c>
      <c r="E42" s="10">
        <f>'MRSAC Rate Card'!E211</f>
        <v>2244</v>
      </c>
      <c r="F42" s="11">
        <f t="shared" si="7"/>
        <v>2244</v>
      </c>
      <c r="G42" s="10">
        <v>0</v>
      </c>
      <c r="H42" s="75"/>
      <c r="I42" s="4"/>
      <c r="N42" s="4"/>
      <c r="Q42" s="5"/>
      <c r="R42" s="5"/>
      <c r="S42" s="5"/>
      <c r="T42" s="5"/>
      <c r="U42" s="5"/>
      <c r="V42" s="5"/>
      <c r="W42" s="5"/>
      <c r="X42" s="5"/>
      <c r="Y42" s="5"/>
    </row>
    <row r="43" spans="2:25" s="1" customFormat="1" x14ac:dyDescent="0.35">
      <c r="B43" s="233"/>
      <c r="C43" s="13" t="str">
        <f>'MRSAC Rate Card'!C210</f>
        <v>Virtual Load Balancer Managed Services</v>
      </c>
      <c r="D43" s="9">
        <f>SUM(D30)</f>
        <v>1</v>
      </c>
      <c r="E43" s="10">
        <f>'MRSAC Rate Card'!E210</f>
        <v>1683.0000000000002</v>
      </c>
      <c r="F43" s="11">
        <f t="shared" si="7"/>
        <v>1683.0000000000002</v>
      </c>
      <c r="G43" s="10">
        <v>0</v>
      </c>
      <c r="H43" s="71"/>
      <c r="I43" s="4"/>
      <c r="N43" s="4"/>
      <c r="Q43" s="5"/>
      <c r="R43" s="5"/>
      <c r="S43" s="5"/>
      <c r="T43" s="5"/>
      <c r="U43" s="5"/>
      <c r="V43" s="5"/>
      <c r="W43" s="5"/>
      <c r="X43" s="5"/>
      <c r="Y43" s="5"/>
    </row>
    <row r="44" spans="2:25" s="1" customFormat="1" x14ac:dyDescent="0.35">
      <c r="B44" s="234"/>
      <c r="C44" s="13" t="str">
        <f>'MRSAC Rate Card'!C81</f>
        <v>Cloud Monitoring-Advance Module-Upto25</v>
      </c>
      <c r="D44" s="9" t="e">
        <f>SUM(D37,D42:D43)</f>
        <v>#REF!</v>
      </c>
      <c r="E44" s="10">
        <f>'MRSAC Rate Card'!E81</f>
        <v>392.70000000000005</v>
      </c>
      <c r="F44" s="11" t="e">
        <f t="shared" si="7"/>
        <v>#REF!</v>
      </c>
      <c r="G44" s="10">
        <v>0</v>
      </c>
      <c r="H44" s="71"/>
      <c r="I44" s="4"/>
      <c r="N44" s="4"/>
      <c r="Q44" s="5"/>
      <c r="R44" s="5"/>
      <c r="S44" s="5"/>
      <c r="T44" s="5"/>
      <c r="U44" s="5"/>
      <c r="V44" s="5"/>
      <c r="W44" s="5"/>
      <c r="X44" s="5"/>
      <c r="Y44" s="5"/>
    </row>
    <row r="45" spans="2:25" s="1" customFormat="1" x14ac:dyDescent="0.35">
      <c r="B45" s="74"/>
      <c r="C45" s="13"/>
      <c r="D45" s="9"/>
      <c r="E45" s="10"/>
      <c r="F45" s="11"/>
      <c r="G45" s="10"/>
      <c r="H45" s="71"/>
      <c r="I45" s="4"/>
      <c r="N45" s="4"/>
      <c r="Q45" s="5"/>
      <c r="R45" s="5"/>
      <c r="S45" s="5"/>
      <c r="T45" s="5"/>
      <c r="U45" s="5"/>
      <c r="V45" s="5"/>
      <c r="W45" s="5"/>
      <c r="X45" s="5"/>
      <c r="Y45" s="5"/>
    </row>
    <row r="46" spans="2:25" s="1" customFormat="1" x14ac:dyDescent="0.35">
      <c r="B46" s="241" t="s">
        <v>50</v>
      </c>
      <c r="C46" s="223"/>
      <c r="D46" s="223"/>
      <c r="E46" s="224"/>
      <c r="F46" s="14" t="e">
        <f>SUM(F10:F34)</f>
        <v>#REF!</v>
      </c>
      <c r="G46" s="14">
        <f>SUM(G10:G34)</f>
        <v>0</v>
      </c>
      <c r="H46" s="76"/>
      <c r="I46" s="4"/>
      <c r="N46" s="4"/>
      <c r="Q46" s="5"/>
      <c r="R46" s="5"/>
      <c r="S46" s="5"/>
      <c r="T46" s="5"/>
      <c r="U46" s="5"/>
      <c r="V46" s="5"/>
      <c r="W46" s="5"/>
      <c r="X46" s="5"/>
      <c r="Y46" s="5"/>
    </row>
    <row r="47" spans="2:25" s="1" customFormat="1" x14ac:dyDescent="0.35">
      <c r="B47" s="222" t="s">
        <v>51</v>
      </c>
      <c r="C47" s="223"/>
      <c r="D47" s="223"/>
      <c r="E47" s="224"/>
      <c r="F47" s="15" t="e">
        <f>SUM(F37:F45)</f>
        <v>#REF!</v>
      </c>
      <c r="G47" s="15" t="e">
        <f>SUM(G36:G44)</f>
        <v>#REF!</v>
      </c>
      <c r="H47" s="77"/>
      <c r="I47" s="4"/>
      <c r="J47" s="16"/>
      <c r="K47" s="4"/>
      <c r="L47" s="4"/>
      <c r="M47" s="4"/>
      <c r="N47" s="4"/>
      <c r="Q47" s="5"/>
      <c r="R47" s="5"/>
      <c r="S47" s="5"/>
      <c r="T47" s="5"/>
      <c r="U47" s="5"/>
      <c r="V47" s="5"/>
      <c r="W47" s="5"/>
      <c r="X47" s="5"/>
      <c r="Y47" s="5"/>
    </row>
    <row r="48" spans="2:25" s="1" customFormat="1" ht="15" thickBot="1" x14ac:dyDescent="0.4">
      <c r="B48" s="225" t="s">
        <v>37</v>
      </c>
      <c r="C48" s="226"/>
      <c r="D48" s="226"/>
      <c r="E48" s="227"/>
      <c r="F48" s="78" t="e">
        <f>SUM(F46+F47)</f>
        <v>#REF!</v>
      </c>
      <c r="G48" s="78" t="e">
        <f>SUM(G46+G47)</f>
        <v>#REF!</v>
      </c>
      <c r="H48" s="79"/>
      <c r="I48" s="4"/>
      <c r="J48" s="4"/>
      <c r="K48" s="4"/>
      <c r="L48" s="4"/>
      <c r="M48" s="4"/>
      <c r="N48" s="4"/>
      <c r="Q48" s="5"/>
      <c r="R48" s="5"/>
      <c r="S48" s="5"/>
      <c r="T48" s="5"/>
      <c r="U48" s="5"/>
      <c r="V48" s="5"/>
      <c r="W48" s="5"/>
      <c r="X48" s="5"/>
      <c r="Y48" s="5"/>
    </row>
    <row r="49" spans="1:25" s="1" customFormat="1" x14ac:dyDescent="0.35">
      <c r="C49" s="2"/>
      <c r="F49" s="49"/>
      <c r="H49" s="3"/>
      <c r="I49" s="4"/>
      <c r="J49" s="4"/>
      <c r="K49" s="4"/>
      <c r="L49" s="4"/>
      <c r="M49" s="4"/>
      <c r="N49" s="4"/>
      <c r="Q49" s="5"/>
      <c r="R49" s="5"/>
      <c r="S49" s="5"/>
      <c r="T49" s="5"/>
      <c r="U49" s="5"/>
      <c r="V49" s="5"/>
      <c r="W49" s="5"/>
      <c r="X49" s="5"/>
      <c r="Y49" s="5"/>
    </row>
    <row r="50" spans="1:25" s="1" customFormat="1" x14ac:dyDescent="0.35">
      <c r="A50" s="4"/>
      <c r="B50" s="17"/>
      <c r="C50" s="5"/>
      <c r="D50" s="4"/>
      <c r="E50" s="4"/>
      <c r="F50" s="35"/>
      <c r="G50" s="4"/>
      <c r="H50" s="19"/>
      <c r="I50" s="4"/>
      <c r="J50" s="4"/>
      <c r="K50" s="4"/>
      <c r="L50" s="4"/>
      <c r="M50" s="4"/>
      <c r="N50" s="4"/>
      <c r="Q50" s="5"/>
      <c r="R50" s="5"/>
      <c r="S50" s="5"/>
      <c r="T50" s="5"/>
      <c r="U50" s="5"/>
      <c r="V50" s="5"/>
      <c r="W50" s="5"/>
      <c r="X50" s="5"/>
      <c r="Y50" s="5"/>
    </row>
    <row r="51" spans="1:25" s="1" customFormat="1" x14ac:dyDescent="0.35">
      <c r="A51" s="4"/>
      <c r="B51" s="4"/>
      <c r="C51" s="18"/>
      <c r="D51" s="4"/>
      <c r="E51" s="4"/>
      <c r="F51" s="50"/>
      <c r="G51" s="4"/>
      <c r="H51" s="19"/>
      <c r="I51" s="4"/>
      <c r="J51" s="4"/>
      <c r="K51" s="4"/>
      <c r="L51" s="4"/>
      <c r="M51" s="4"/>
      <c r="N51" s="4"/>
      <c r="Q51" s="5"/>
      <c r="R51" s="5"/>
      <c r="S51" s="5"/>
      <c r="T51" s="5"/>
      <c r="U51" s="5"/>
      <c r="V51" s="5"/>
      <c r="W51" s="5"/>
      <c r="X51" s="5"/>
      <c r="Y51" s="5"/>
    </row>
    <row r="52" spans="1:25" s="1" customFormat="1" x14ac:dyDescent="0.35">
      <c r="A52" s="4"/>
      <c r="B52" s="4"/>
      <c r="C52" s="18"/>
      <c r="D52" s="4"/>
      <c r="E52" s="4"/>
      <c r="F52" s="4"/>
      <c r="G52" s="4"/>
      <c r="H52" s="19"/>
      <c r="I52" s="4"/>
      <c r="J52" s="4"/>
      <c r="K52" s="4"/>
      <c r="L52" s="4"/>
      <c r="M52" s="4"/>
      <c r="N52" s="4"/>
      <c r="Q52" s="5"/>
      <c r="R52" s="5"/>
      <c r="S52" s="5"/>
      <c r="T52" s="5"/>
      <c r="U52" s="5"/>
      <c r="V52" s="5"/>
      <c r="W52" s="5"/>
      <c r="X52" s="5"/>
      <c r="Y52" s="5"/>
    </row>
    <row r="53" spans="1:25" s="1" customFormat="1" x14ac:dyDescent="0.35">
      <c r="A53" s="4"/>
      <c r="B53" s="4"/>
      <c r="C53" s="18"/>
      <c r="D53" s="4"/>
      <c r="E53" s="4"/>
      <c r="F53" s="51"/>
      <c r="G53" s="4"/>
      <c r="H53" s="4"/>
      <c r="I53" s="4"/>
      <c r="J53" s="4"/>
      <c r="K53" s="4"/>
      <c r="L53" s="4"/>
      <c r="M53" s="4"/>
      <c r="N53" s="4"/>
      <c r="Q53" s="5"/>
      <c r="R53" s="5"/>
      <c r="S53" s="5"/>
      <c r="T53" s="5"/>
      <c r="U53" s="5"/>
      <c r="V53" s="5"/>
      <c r="W53" s="5"/>
      <c r="X53" s="5"/>
      <c r="Y53" s="5"/>
    </row>
    <row r="54" spans="1:25" s="1" customFormat="1" x14ac:dyDescent="0.35">
      <c r="A54" s="4"/>
      <c r="B54" s="4"/>
      <c r="C54" s="18"/>
      <c r="D54" s="4"/>
      <c r="E54" s="4"/>
      <c r="F54" s="4"/>
      <c r="G54" s="4"/>
      <c r="H54" s="19"/>
      <c r="I54" s="4"/>
      <c r="J54" s="4"/>
      <c r="K54" s="4"/>
      <c r="L54" s="4"/>
      <c r="M54" s="4"/>
      <c r="N54" s="4"/>
      <c r="Q54" s="5"/>
      <c r="R54" s="5"/>
      <c r="S54" s="5"/>
      <c r="T54" s="5"/>
      <c r="U54" s="5"/>
      <c r="V54" s="5"/>
      <c r="W54" s="5"/>
      <c r="X54" s="5"/>
      <c r="Y54" s="5"/>
    </row>
    <row r="55" spans="1:25" s="1" customFormat="1" x14ac:dyDescent="0.35">
      <c r="A55" s="4"/>
      <c r="B55" s="4"/>
      <c r="C55" s="18"/>
      <c r="D55" s="4"/>
      <c r="E55" s="4"/>
      <c r="F55" s="4"/>
      <c r="G55" s="4"/>
      <c r="H55" s="19"/>
      <c r="I55" s="4"/>
      <c r="J55" s="4"/>
      <c r="K55" s="4"/>
      <c r="L55" s="4"/>
      <c r="M55" s="4"/>
      <c r="N55" s="4"/>
      <c r="Q55" s="5"/>
      <c r="R55" s="5"/>
      <c r="S55" s="5"/>
      <c r="T55" s="5"/>
      <c r="U55" s="5"/>
      <c r="V55" s="5"/>
      <c r="W55" s="5"/>
      <c r="X55" s="5"/>
      <c r="Y55" s="5"/>
    </row>
    <row r="56" spans="1:25" s="1" customFormat="1" x14ac:dyDescent="0.35">
      <c r="A56" s="4"/>
      <c r="B56" s="4"/>
      <c r="C56" s="18"/>
      <c r="D56" s="4"/>
      <c r="E56" s="4"/>
      <c r="F56" s="4"/>
      <c r="G56" s="4"/>
      <c r="H56" s="19"/>
      <c r="I56" s="4"/>
      <c r="J56" s="4"/>
      <c r="K56" s="4"/>
      <c r="L56" s="4"/>
      <c r="M56" s="4"/>
      <c r="N56" s="4"/>
      <c r="Q56" s="5"/>
      <c r="R56" s="5"/>
      <c r="S56" s="5"/>
      <c r="T56" s="5"/>
      <c r="U56" s="5"/>
      <c r="V56" s="5"/>
      <c r="W56" s="5"/>
      <c r="X56" s="5"/>
      <c r="Y56" s="5"/>
    </row>
    <row r="57" spans="1:25" s="1" customFormat="1" x14ac:dyDescent="0.35">
      <c r="A57" s="4"/>
      <c r="B57" s="4"/>
      <c r="C57" s="18"/>
      <c r="D57" s="4"/>
      <c r="E57" s="4"/>
      <c r="F57" s="4"/>
      <c r="G57" s="4"/>
      <c r="H57" s="19"/>
      <c r="I57" s="4"/>
      <c r="J57" s="4"/>
      <c r="K57" s="4"/>
      <c r="L57" s="4"/>
      <c r="M57" s="4"/>
      <c r="N57" s="4"/>
      <c r="Q57" s="5"/>
      <c r="R57" s="5"/>
      <c r="S57" s="5"/>
      <c r="T57" s="5"/>
      <c r="U57" s="5"/>
      <c r="V57" s="5"/>
      <c r="W57" s="5"/>
      <c r="X57" s="5"/>
      <c r="Y57" s="5"/>
    </row>
    <row r="58" spans="1:25" s="1" customFormat="1" x14ac:dyDescent="0.35">
      <c r="A58" s="4"/>
      <c r="B58" s="4"/>
      <c r="C58" s="18"/>
      <c r="D58" s="4"/>
      <c r="E58" s="4"/>
      <c r="F58" s="4"/>
      <c r="G58" s="4"/>
      <c r="H58" s="19"/>
      <c r="I58" s="4"/>
      <c r="J58" s="4"/>
      <c r="K58" s="4"/>
      <c r="L58" s="4"/>
      <c r="M58" s="4"/>
      <c r="N58" s="4"/>
      <c r="Q58" s="5"/>
      <c r="R58" s="5"/>
      <c r="S58" s="5"/>
      <c r="T58" s="5"/>
      <c r="U58" s="5"/>
      <c r="V58" s="5"/>
      <c r="W58" s="5"/>
      <c r="X58" s="5"/>
      <c r="Y58" s="5"/>
    </row>
    <row r="59" spans="1:25" s="1" customFormat="1" x14ac:dyDescent="0.35">
      <c r="A59" s="4"/>
      <c r="B59" s="4"/>
      <c r="C59" s="18"/>
      <c r="D59" s="4"/>
      <c r="E59" s="4"/>
      <c r="F59" s="4"/>
      <c r="G59" s="4"/>
      <c r="H59" s="19"/>
      <c r="I59" s="4"/>
      <c r="J59" s="4"/>
      <c r="K59" s="4"/>
      <c r="L59" s="4"/>
      <c r="M59" s="4"/>
      <c r="N59" s="4"/>
      <c r="Q59" s="5"/>
      <c r="R59" s="5"/>
      <c r="S59" s="5"/>
      <c r="T59" s="5"/>
      <c r="U59" s="5"/>
      <c r="V59" s="5"/>
      <c r="W59" s="5"/>
      <c r="X59" s="5"/>
      <c r="Y59" s="5"/>
    </row>
    <row r="60" spans="1:25" s="1" customFormat="1" x14ac:dyDescent="0.35">
      <c r="A60" s="4"/>
      <c r="B60" s="4"/>
      <c r="C60" s="18"/>
      <c r="D60" s="4"/>
      <c r="E60" s="4"/>
      <c r="F60" s="4"/>
      <c r="G60" s="4"/>
      <c r="H60" s="19"/>
      <c r="I60" s="4"/>
      <c r="J60" s="4"/>
      <c r="K60" s="4"/>
      <c r="L60" s="4"/>
      <c r="M60" s="4"/>
      <c r="N60" s="4"/>
      <c r="Q60" s="5"/>
      <c r="R60" s="5"/>
      <c r="S60" s="5"/>
      <c r="T60" s="5"/>
      <c r="U60" s="5"/>
      <c r="V60" s="5"/>
      <c r="W60" s="5"/>
      <c r="X60" s="5"/>
      <c r="Y60" s="5"/>
    </row>
    <row r="61" spans="1:25" s="1" customFormat="1" x14ac:dyDescent="0.35">
      <c r="A61" s="4"/>
      <c r="B61" s="4"/>
      <c r="C61" s="18"/>
      <c r="D61" s="4"/>
      <c r="E61" s="4"/>
      <c r="F61" s="4"/>
      <c r="G61" s="4"/>
      <c r="H61" s="19"/>
      <c r="I61" s="4"/>
      <c r="J61" s="4"/>
      <c r="K61" s="4"/>
      <c r="L61" s="4"/>
      <c r="M61" s="4"/>
      <c r="N61" s="4"/>
      <c r="Q61" s="5"/>
      <c r="R61" s="5"/>
      <c r="S61" s="5"/>
      <c r="T61" s="5"/>
      <c r="U61" s="5"/>
      <c r="V61" s="5"/>
      <c r="W61" s="5"/>
      <c r="X61" s="5"/>
      <c r="Y61" s="5"/>
    </row>
    <row r="62" spans="1:25" s="1" customFormat="1" x14ac:dyDescent="0.35">
      <c r="A62" s="4"/>
      <c r="B62" s="4"/>
      <c r="C62" s="18"/>
      <c r="D62" s="4"/>
      <c r="E62" s="4"/>
      <c r="F62" s="4"/>
      <c r="G62" s="4"/>
      <c r="H62" s="19"/>
      <c r="I62" s="4"/>
      <c r="J62" s="4"/>
      <c r="K62" s="4"/>
      <c r="L62" s="4"/>
      <c r="M62" s="4"/>
      <c r="N62" s="4"/>
      <c r="Q62" s="5"/>
      <c r="R62" s="5"/>
      <c r="S62" s="5"/>
      <c r="T62" s="5"/>
      <c r="U62" s="5"/>
      <c r="V62" s="5"/>
      <c r="W62" s="5"/>
      <c r="X62" s="5"/>
      <c r="Y62" s="5"/>
    </row>
    <row r="63" spans="1:25" s="1" customFormat="1" x14ac:dyDescent="0.35">
      <c r="A63" s="4"/>
      <c r="B63" s="4"/>
      <c r="C63" s="18"/>
      <c r="D63" s="4"/>
      <c r="E63" s="4"/>
      <c r="F63" s="4"/>
      <c r="G63" s="4"/>
      <c r="H63" s="19"/>
      <c r="I63" s="4"/>
      <c r="J63" s="4"/>
      <c r="K63" s="4"/>
      <c r="L63" s="4"/>
      <c r="M63" s="4"/>
      <c r="N63" s="4"/>
      <c r="Q63" s="5"/>
      <c r="R63" s="5"/>
      <c r="S63" s="5"/>
      <c r="T63" s="5"/>
      <c r="U63" s="5"/>
      <c r="V63" s="5"/>
      <c r="W63" s="5"/>
      <c r="X63" s="5"/>
      <c r="Y63" s="5"/>
    </row>
    <row r="64" spans="1:25" s="1" customFormat="1" x14ac:dyDescent="0.35">
      <c r="A64" s="4"/>
      <c r="B64" s="4"/>
      <c r="C64" s="18"/>
      <c r="D64" s="4"/>
      <c r="E64" s="4"/>
      <c r="F64" s="4"/>
      <c r="G64" s="4"/>
      <c r="H64" s="19"/>
      <c r="I64" s="4"/>
      <c r="J64" s="4"/>
      <c r="K64" s="4"/>
      <c r="L64" s="4"/>
      <c r="M64" s="4"/>
      <c r="N64" s="4"/>
      <c r="Q64" s="5"/>
      <c r="R64" s="5"/>
      <c r="S64" s="5"/>
      <c r="T64" s="5"/>
      <c r="U64" s="5"/>
      <c r="V64" s="5"/>
      <c r="W64" s="5"/>
      <c r="X64" s="5"/>
      <c r="Y64" s="5"/>
    </row>
    <row r="65" spans="1:25" s="1" customFormat="1" x14ac:dyDescent="0.35">
      <c r="A65" s="4"/>
      <c r="B65" s="4"/>
      <c r="C65" s="18"/>
      <c r="D65" s="4"/>
      <c r="E65" s="4"/>
      <c r="F65" s="4"/>
      <c r="G65" s="4"/>
      <c r="H65" s="19"/>
      <c r="I65" s="4"/>
      <c r="J65" s="4"/>
      <c r="K65" s="4"/>
      <c r="L65" s="4"/>
      <c r="M65" s="4"/>
      <c r="N65" s="4"/>
      <c r="Q65" s="5"/>
      <c r="R65" s="5"/>
      <c r="S65" s="5"/>
      <c r="T65" s="5"/>
      <c r="U65" s="5"/>
      <c r="V65" s="5"/>
      <c r="W65" s="5"/>
      <c r="X65" s="5"/>
      <c r="Y65" s="5"/>
    </row>
    <row r="66" spans="1:25" s="1" customFormat="1" x14ac:dyDescent="0.35">
      <c r="C66" s="2"/>
      <c r="H66" s="3"/>
      <c r="I66" s="4"/>
      <c r="J66" s="4"/>
      <c r="K66" s="4"/>
      <c r="L66" s="4"/>
      <c r="M66" s="4"/>
      <c r="N66" s="4"/>
      <c r="Q66" s="5"/>
      <c r="R66" s="5"/>
      <c r="S66" s="5"/>
      <c r="T66" s="5"/>
      <c r="U66" s="5"/>
      <c r="V66" s="5"/>
      <c r="W66" s="5"/>
      <c r="X66" s="5"/>
      <c r="Y66" s="5"/>
    </row>
    <row r="67" spans="1:25" s="1" customFormat="1" x14ac:dyDescent="0.35">
      <c r="C67" s="2"/>
      <c r="H67" s="3"/>
      <c r="I67" s="4"/>
      <c r="J67" s="4"/>
      <c r="K67" s="4"/>
      <c r="L67" s="4"/>
      <c r="M67" s="4"/>
      <c r="N67" s="4"/>
      <c r="Q67" s="5"/>
      <c r="R67" s="5"/>
      <c r="S67" s="5"/>
      <c r="T67" s="5"/>
      <c r="U67" s="5"/>
      <c r="V67" s="5"/>
      <c r="W67" s="5"/>
      <c r="X67" s="5"/>
      <c r="Y67" s="5"/>
    </row>
    <row r="68" spans="1:25" s="1" customFormat="1" x14ac:dyDescent="0.35">
      <c r="C68" s="2"/>
      <c r="H68" s="3"/>
      <c r="I68" s="4"/>
      <c r="J68" s="4"/>
      <c r="K68" s="4"/>
      <c r="L68" s="4"/>
      <c r="M68" s="4"/>
      <c r="N68" s="4"/>
      <c r="Q68" s="5"/>
      <c r="R68" s="5"/>
      <c r="S68" s="5"/>
      <c r="T68" s="5"/>
      <c r="U68" s="5"/>
      <c r="V68" s="5"/>
      <c r="W68" s="5"/>
      <c r="X68" s="5"/>
      <c r="Y68" s="5"/>
    </row>
    <row r="69" spans="1:25" s="1" customFormat="1" x14ac:dyDescent="0.35">
      <c r="C69" s="2"/>
      <c r="H69" s="3"/>
      <c r="I69" s="4"/>
      <c r="J69" s="4"/>
      <c r="K69" s="4"/>
      <c r="L69" s="4"/>
      <c r="M69" s="4"/>
      <c r="N69" s="4"/>
      <c r="Q69" s="5"/>
      <c r="R69" s="5"/>
      <c r="S69" s="5"/>
      <c r="T69" s="5"/>
      <c r="U69" s="5"/>
      <c r="V69" s="5"/>
      <c r="W69" s="5"/>
      <c r="X69" s="5"/>
      <c r="Y69" s="5"/>
    </row>
    <row r="70" spans="1:25" s="1" customFormat="1" x14ac:dyDescent="0.35">
      <c r="C70" s="2"/>
      <c r="H70" s="3"/>
      <c r="I70" s="4"/>
      <c r="J70" s="4"/>
      <c r="K70" s="4"/>
      <c r="L70" s="4"/>
      <c r="M70" s="4"/>
      <c r="N70" s="4"/>
      <c r="Q70" s="5"/>
      <c r="R70" s="5"/>
      <c r="S70" s="5"/>
      <c r="T70" s="5"/>
      <c r="U70" s="5"/>
      <c r="V70" s="5"/>
      <c r="W70" s="5"/>
      <c r="X70" s="5"/>
      <c r="Y70" s="5"/>
    </row>
    <row r="71" spans="1:25" s="1" customFormat="1" x14ac:dyDescent="0.35">
      <c r="C71" s="2"/>
      <c r="H71" s="3"/>
      <c r="I71" s="4"/>
      <c r="J71" s="4"/>
      <c r="K71" s="4"/>
      <c r="L71" s="4"/>
      <c r="M71" s="4"/>
      <c r="N71" s="4"/>
      <c r="Q71" s="5"/>
      <c r="R71" s="5"/>
      <c r="S71" s="5"/>
      <c r="T71" s="5"/>
      <c r="U71" s="5"/>
      <c r="V71" s="5"/>
      <c r="W71" s="5"/>
      <c r="X71" s="5"/>
      <c r="Y71" s="5"/>
    </row>
    <row r="72" spans="1:25" s="1" customFormat="1" x14ac:dyDescent="0.35">
      <c r="C72" s="2"/>
      <c r="H72" s="3"/>
      <c r="I72" s="4"/>
      <c r="J72" s="4"/>
      <c r="K72" s="4"/>
      <c r="L72" s="4"/>
      <c r="M72" s="4"/>
      <c r="N72" s="4"/>
      <c r="Q72" s="5"/>
      <c r="R72" s="5"/>
      <c r="S72" s="5"/>
      <c r="T72" s="5"/>
      <c r="U72" s="5"/>
      <c r="V72" s="5"/>
      <c r="W72" s="5"/>
      <c r="X72" s="5"/>
      <c r="Y72" s="5"/>
    </row>
    <row r="73" spans="1:25" s="1" customFormat="1" x14ac:dyDescent="0.35">
      <c r="C73" s="2"/>
      <c r="H73" s="3"/>
      <c r="I73" s="4"/>
      <c r="J73" s="4"/>
      <c r="K73" s="4"/>
      <c r="L73" s="4"/>
      <c r="M73" s="4"/>
      <c r="N73" s="4"/>
      <c r="Q73" s="5"/>
      <c r="R73" s="5"/>
      <c r="S73" s="5"/>
      <c r="T73" s="5"/>
      <c r="U73" s="5"/>
      <c r="V73" s="5"/>
      <c r="W73" s="5"/>
      <c r="X73" s="5"/>
      <c r="Y73" s="5"/>
    </row>
    <row r="74" spans="1:25" s="1" customFormat="1" x14ac:dyDescent="0.35">
      <c r="C74" s="2"/>
      <c r="H74" s="3"/>
      <c r="I74" s="4"/>
      <c r="J74" s="4"/>
      <c r="K74" s="4"/>
      <c r="L74" s="4"/>
      <c r="M74" s="4"/>
      <c r="N74" s="4"/>
      <c r="Q74" s="5"/>
      <c r="R74" s="5"/>
      <c r="S74" s="5"/>
      <c r="T74" s="5"/>
      <c r="U74" s="5"/>
      <c r="V74" s="5"/>
      <c r="W74" s="5"/>
      <c r="X74" s="5"/>
      <c r="Y74" s="5"/>
    </row>
    <row r="75" spans="1:25" s="1" customFormat="1" x14ac:dyDescent="0.35">
      <c r="C75" s="2"/>
      <c r="H75" s="3"/>
      <c r="I75" s="4"/>
      <c r="J75" s="4"/>
      <c r="K75" s="4"/>
      <c r="L75" s="4"/>
      <c r="M75" s="4"/>
      <c r="N75" s="4"/>
      <c r="Q75" s="5"/>
      <c r="R75" s="5"/>
      <c r="S75" s="5"/>
      <c r="T75" s="5"/>
      <c r="U75" s="5"/>
      <c r="V75" s="5"/>
      <c r="W75" s="5"/>
      <c r="X75" s="5"/>
      <c r="Y75" s="5"/>
    </row>
    <row r="76" spans="1:25" s="1" customFormat="1" x14ac:dyDescent="0.35">
      <c r="C76" s="2"/>
      <c r="H76" s="3"/>
      <c r="I76" s="4"/>
      <c r="J76" s="4"/>
      <c r="K76" s="4"/>
      <c r="L76" s="4"/>
      <c r="M76" s="4"/>
      <c r="N76" s="4"/>
      <c r="Q76" s="5"/>
      <c r="R76" s="5"/>
      <c r="S76" s="5"/>
      <c r="T76" s="5"/>
      <c r="U76" s="5"/>
      <c r="V76" s="5"/>
      <c r="W76" s="5"/>
      <c r="X76" s="5"/>
      <c r="Y76" s="5"/>
    </row>
    <row r="77" spans="1:25" s="1" customFormat="1" x14ac:dyDescent="0.35">
      <c r="C77" s="2"/>
      <c r="H77" s="3"/>
      <c r="I77" s="4"/>
      <c r="J77" s="4"/>
      <c r="K77" s="4"/>
      <c r="L77" s="4"/>
      <c r="M77" s="4"/>
      <c r="N77" s="4"/>
      <c r="Q77" s="5"/>
      <c r="R77" s="5"/>
      <c r="S77" s="5"/>
      <c r="T77" s="5"/>
      <c r="U77" s="5"/>
      <c r="V77" s="5"/>
      <c r="W77" s="5"/>
      <c r="X77" s="5"/>
      <c r="Y77" s="5"/>
    </row>
    <row r="78" spans="1:25" s="1" customFormat="1" x14ac:dyDescent="0.35">
      <c r="C78" s="2"/>
      <c r="H78" s="3"/>
      <c r="I78" s="4"/>
      <c r="J78" s="4"/>
      <c r="K78" s="4"/>
      <c r="L78" s="4"/>
      <c r="M78" s="4"/>
      <c r="N78" s="4"/>
      <c r="Q78" s="5"/>
      <c r="R78" s="5"/>
      <c r="S78" s="5"/>
      <c r="T78" s="5"/>
      <c r="U78" s="5"/>
      <c r="V78" s="5"/>
      <c r="W78" s="5"/>
      <c r="X78" s="5"/>
      <c r="Y78" s="5"/>
    </row>
    <row r="79" spans="1:25" s="1" customFormat="1" x14ac:dyDescent="0.35">
      <c r="C79" s="2"/>
      <c r="H79" s="3"/>
      <c r="I79" s="4"/>
      <c r="J79" s="4"/>
      <c r="K79" s="4"/>
      <c r="L79" s="4"/>
      <c r="M79" s="4"/>
      <c r="N79" s="4"/>
      <c r="Q79" s="5"/>
      <c r="R79" s="5"/>
      <c r="S79" s="5"/>
      <c r="T79" s="5"/>
      <c r="U79" s="5"/>
      <c r="V79" s="5"/>
      <c r="W79" s="5"/>
      <c r="X79" s="5"/>
      <c r="Y79" s="5"/>
    </row>
    <row r="80" spans="1:25" s="1" customFormat="1" x14ac:dyDescent="0.35">
      <c r="C80" s="2"/>
      <c r="H80" s="3"/>
      <c r="I80" s="4"/>
      <c r="J80" s="4"/>
      <c r="K80" s="4"/>
      <c r="L80" s="4"/>
      <c r="M80" s="4"/>
      <c r="N80" s="4"/>
      <c r="Q80" s="5"/>
      <c r="R80" s="5"/>
      <c r="S80" s="5"/>
      <c r="T80" s="5"/>
      <c r="U80" s="5"/>
      <c r="V80" s="5"/>
      <c r="W80" s="5"/>
      <c r="X80" s="5"/>
      <c r="Y80" s="5"/>
    </row>
    <row r="81" spans="3:25" s="1" customFormat="1" x14ac:dyDescent="0.35">
      <c r="C81" s="2"/>
      <c r="H81" s="3"/>
      <c r="I81" s="4"/>
      <c r="J81" s="4"/>
      <c r="K81" s="4"/>
      <c r="L81" s="4"/>
      <c r="M81" s="4"/>
      <c r="N81" s="4"/>
      <c r="Q81" s="5"/>
      <c r="R81" s="5"/>
      <c r="S81" s="5"/>
      <c r="T81" s="5"/>
      <c r="U81" s="5"/>
      <c r="V81" s="5"/>
      <c r="W81" s="5"/>
      <c r="X81" s="5"/>
      <c r="Y81" s="5"/>
    </row>
    <row r="82" spans="3:25" s="1" customFormat="1" x14ac:dyDescent="0.35">
      <c r="C82" s="2"/>
      <c r="H82" s="3"/>
      <c r="I82" s="4"/>
      <c r="J82" s="4"/>
      <c r="K82" s="4"/>
      <c r="L82" s="4"/>
      <c r="M82" s="4"/>
      <c r="N82" s="4"/>
      <c r="Q82" s="5"/>
      <c r="R82" s="5"/>
      <c r="S82" s="5"/>
      <c r="T82" s="5"/>
      <c r="U82" s="5"/>
      <c r="V82" s="5"/>
      <c r="W82" s="5"/>
      <c r="X82" s="5"/>
      <c r="Y82" s="5"/>
    </row>
    <row r="83" spans="3:25" s="1" customFormat="1" x14ac:dyDescent="0.35">
      <c r="C83" s="2"/>
      <c r="H83" s="3"/>
      <c r="I83" s="4"/>
      <c r="J83" s="4"/>
      <c r="K83" s="4"/>
      <c r="L83" s="4"/>
      <c r="M83" s="4"/>
      <c r="N83" s="4"/>
      <c r="Q83" s="5"/>
      <c r="R83" s="5"/>
      <c r="S83" s="5"/>
      <c r="T83" s="5"/>
      <c r="U83" s="5"/>
      <c r="V83" s="5"/>
      <c r="W83" s="5"/>
      <c r="X83" s="5"/>
      <c r="Y83" s="5"/>
    </row>
    <row r="84" spans="3:25" s="1" customFormat="1" x14ac:dyDescent="0.35">
      <c r="C84" s="2"/>
      <c r="H84" s="3"/>
      <c r="I84" s="4"/>
      <c r="J84" s="4"/>
      <c r="K84" s="4"/>
      <c r="L84" s="4"/>
      <c r="M84" s="4"/>
      <c r="N84" s="4"/>
      <c r="Q84" s="5"/>
      <c r="R84" s="5"/>
      <c r="S84" s="5"/>
      <c r="T84" s="5"/>
      <c r="U84" s="5"/>
      <c r="V84" s="5"/>
      <c r="W84" s="5"/>
      <c r="X84" s="5"/>
      <c r="Y84" s="5"/>
    </row>
    <row r="85" spans="3:25" s="1" customFormat="1" x14ac:dyDescent="0.35">
      <c r="C85" s="2"/>
      <c r="H85" s="3"/>
      <c r="I85" s="4"/>
      <c r="J85" s="4"/>
      <c r="K85" s="4"/>
      <c r="L85" s="4"/>
      <c r="M85" s="4"/>
      <c r="N85" s="4"/>
      <c r="Q85" s="5"/>
      <c r="R85" s="5"/>
      <c r="S85" s="5"/>
      <c r="T85" s="5"/>
      <c r="U85" s="5"/>
      <c r="V85" s="5"/>
      <c r="W85" s="5"/>
      <c r="X85" s="5"/>
      <c r="Y85" s="5"/>
    </row>
    <row r="86" spans="3:25" s="1" customFormat="1" x14ac:dyDescent="0.35">
      <c r="C86" s="2"/>
      <c r="H86" s="3"/>
      <c r="I86" s="4"/>
      <c r="J86" s="4"/>
      <c r="K86" s="4"/>
      <c r="L86" s="4"/>
      <c r="M86" s="4"/>
      <c r="N86" s="4"/>
      <c r="Q86" s="5"/>
      <c r="R86" s="5"/>
      <c r="S86" s="5"/>
      <c r="T86" s="5"/>
      <c r="U86" s="5"/>
      <c r="V86" s="5"/>
      <c r="W86" s="5"/>
      <c r="X86" s="5"/>
      <c r="Y86" s="5"/>
    </row>
    <row r="87" spans="3:25" s="1" customFormat="1" x14ac:dyDescent="0.35">
      <c r="C87" s="2"/>
      <c r="H87" s="3"/>
      <c r="I87" s="4"/>
      <c r="J87" s="4"/>
      <c r="K87" s="4"/>
      <c r="L87" s="4"/>
      <c r="M87" s="4"/>
      <c r="N87" s="4"/>
      <c r="Q87" s="5"/>
      <c r="R87" s="5"/>
      <c r="S87" s="5"/>
      <c r="T87" s="5"/>
      <c r="U87" s="5"/>
      <c r="V87" s="5"/>
      <c r="W87" s="5"/>
      <c r="X87" s="5"/>
      <c r="Y87" s="5"/>
    </row>
    <row r="88" spans="3:25" s="1" customFormat="1" x14ac:dyDescent="0.35">
      <c r="C88" s="2"/>
      <c r="H88" s="3"/>
      <c r="I88" s="4"/>
      <c r="J88" s="4"/>
      <c r="K88" s="4"/>
      <c r="L88" s="4"/>
      <c r="M88" s="4"/>
      <c r="N88" s="4"/>
      <c r="Q88" s="5"/>
      <c r="R88" s="5"/>
      <c r="S88" s="5"/>
      <c r="T88" s="5"/>
      <c r="U88" s="5"/>
      <c r="V88" s="5"/>
      <c r="W88" s="5"/>
      <c r="X88" s="5"/>
      <c r="Y88" s="5"/>
    </row>
    <row r="89" spans="3:25" s="1" customFormat="1" x14ac:dyDescent="0.35">
      <c r="C89" s="2"/>
      <c r="H89" s="3"/>
      <c r="I89" s="4"/>
      <c r="J89" s="4"/>
      <c r="K89" s="4"/>
      <c r="L89" s="4"/>
      <c r="M89" s="4"/>
      <c r="N89" s="4"/>
      <c r="Q89" s="5"/>
      <c r="R89" s="5"/>
      <c r="S89" s="5"/>
      <c r="T89" s="5"/>
      <c r="U89" s="5"/>
      <c r="V89" s="5"/>
      <c r="W89" s="5"/>
      <c r="X89" s="5"/>
      <c r="Y89" s="5"/>
    </row>
    <row r="90" spans="3:25" s="1" customFormat="1" x14ac:dyDescent="0.35">
      <c r="C90" s="2"/>
      <c r="H90" s="3"/>
      <c r="I90" s="4"/>
      <c r="J90" s="4"/>
      <c r="K90" s="4"/>
      <c r="L90" s="4"/>
      <c r="M90" s="4"/>
      <c r="N90" s="4"/>
      <c r="Q90" s="5"/>
      <c r="R90" s="5"/>
      <c r="S90" s="5"/>
      <c r="T90" s="5"/>
      <c r="U90" s="5"/>
      <c r="V90" s="5"/>
      <c r="W90" s="5"/>
      <c r="X90" s="5"/>
      <c r="Y90" s="5"/>
    </row>
    <row r="91" spans="3:25" s="1" customFormat="1" x14ac:dyDescent="0.35">
      <c r="C91" s="2"/>
      <c r="H91" s="3"/>
      <c r="I91" s="4"/>
      <c r="J91" s="4"/>
      <c r="K91" s="4"/>
      <c r="L91" s="4"/>
      <c r="M91" s="4"/>
      <c r="N91" s="4"/>
      <c r="Q91" s="5"/>
      <c r="R91" s="5"/>
      <c r="S91" s="5"/>
      <c r="T91" s="5"/>
      <c r="U91" s="5"/>
      <c r="V91" s="5"/>
      <c r="W91" s="5"/>
      <c r="X91" s="5"/>
      <c r="Y91" s="5"/>
    </row>
    <row r="92" spans="3:25" s="1" customFormat="1" x14ac:dyDescent="0.35">
      <c r="C92" s="2"/>
      <c r="H92" s="3"/>
      <c r="I92" s="4"/>
      <c r="J92" s="4"/>
      <c r="K92" s="4"/>
      <c r="L92" s="4"/>
      <c r="M92" s="4"/>
      <c r="N92" s="4"/>
      <c r="Q92" s="5"/>
      <c r="R92" s="5"/>
      <c r="S92" s="5"/>
      <c r="T92" s="5"/>
      <c r="U92" s="5"/>
      <c r="V92" s="5"/>
      <c r="W92" s="5"/>
      <c r="X92" s="5"/>
      <c r="Y92" s="5"/>
    </row>
    <row r="93" spans="3:25" s="1" customFormat="1" x14ac:dyDescent="0.35">
      <c r="C93" s="2"/>
      <c r="H93" s="3"/>
      <c r="I93" s="4"/>
      <c r="J93" s="4"/>
      <c r="K93" s="4"/>
      <c r="L93" s="4"/>
      <c r="M93" s="4"/>
      <c r="N93" s="4"/>
      <c r="Q93" s="5"/>
      <c r="R93" s="5"/>
      <c r="S93" s="5"/>
      <c r="T93" s="5"/>
      <c r="U93" s="5"/>
      <c r="V93" s="5"/>
      <c r="W93" s="5"/>
      <c r="X93" s="5"/>
      <c r="Y93" s="5"/>
    </row>
    <row r="94" spans="3:25" s="1" customFormat="1" x14ac:dyDescent="0.35">
      <c r="C94" s="2"/>
      <c r="H94" s="3"/>
      <c r="I94" s="4"/>
      <c r="J94" s="4"/>
      <c r="K94" s="4"/>
      <c r="L94" s="4"/>
      <c r="M94" s="4"/>
      <c r="N94" s="4"/>
      <c r="Q94" s="5"/>
      <c r="R94" s="5"/>
      <c r="S94" s="5"/>
      <c r="T94" s="5"/>
      <c r="U94" s="5"/>
      <c r="V94" s="5"/>
      <c r="W94" s="5"/>
      <c r="X94" s="5"/>
      <c r="Y94" s="5"/>
    </row>
    <row r="95" spans="3:25" s="1" customFormat="1" x14ac:dyDescent="0.35">
      <c r="C95" s="2"/>
      <c r="H95" s="3"/>
      <c r="I95" s="4"/>
      <c r="J95" s="4"/>
      <c r="K95" s="4"/>
      <c r="L95" s="4"/>
      <c r="M95" s="4"/>
      <c r="N95" s="4"/>
      <c r="Q95" s="5"/>
      <c r="R95" s="5"/>
      <c r="S95" s="5"/>
      <c r="T95" s="5"/>
      <c r="U95" s="5"/>
      <c r="V95" s="5"/>
      <c r="W95" s="5"/>
      <c r="X95" s="5"/>
      <c r="Y95" s="5"/>
    </row>
    <row r="96" spans="3:25" s="1" customFormat="1" x14ac:dyDescent="0.35">
      <c r="C96" s="2"/>
      <c r="H96" s="3"/>
      <c r="I96" s="4"/>
      <c r="J96" s="4"/>
      <c r="K96" s="4"/>
      <c r="L96" s="4"/>
      <c r="M96" s="4"/>
      <c r="N96" s="4"/>
      <c r="Q96" s="5"/>
      <c r="R96" s="5"/>
      <c r="S96" s="5"/>
      <c r="T96" s="5"/>
      <c r="U96" s="5"/>
      <c r="V96" s="5"/>
      <c r="W96" s="5"/>
      <c r="X96" s="5"/>
      <c r="Y96" s="5"/>
    </row>
    <row r="97" spans="3:25" s="1" customFormat="1" x14ac:dyDescent="0.35">
      <c r="C97" s="2"/>
      <c r="H97" s="3"/>
      <c r="I97" s="4"/>
      <c r="J97" s="4"/>
      <c r="K97" s="4"/>
      <c r="L97" s="4"/>
      <c r="M97" s="4"/>
      <c r="N97" s="4"/>
      <c r="Q97" s="5"/>
      <c r="R97" s="5"/>
      <c r="S97" s="5"/>
      <c r="T97" s="5"/>
      <c r="U97" s="5"/>
      <c r="V97" s="5"/>
      <c r="W97" s="5"/>
      <c r="X97" s="5"/>
      <c r="Y97" s="5"/>
    </row>
  </sheetData>
  <mergeCells count="12">
    <mergeCell ref="U7:W7"/>
    <mergeCell ref="B33:B34"/>
    <mergeCell ref="B37:B44"/>
    <mergeCell ref="B46:E46"/>
    <mergeCell ref="B47:E47"/>
    <mergeCell ref="B28:B30"/>
    <mergeCell ref="B6:H6"/>
    <mergeCell ref="J6:N6"/>
    <mergeCell ref="B7:H7"/>
    <mergeCell ref="Q7:S7"/>
    <mergeCell ref="B48:E48"/>
    <mergeCell ref="B24:B25"/>
  </mergeCells>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6:F28"/>
  <sheetViews>
    <sheetView topLeftCell="A5" workbookViewId="0">
      <selection activeCell="G15" sqref="G15"/>
    </sheetView>
  </sheetViews>
  <sheetFormatPr defaultRowHeight="14.5" x14ac:dyDescent="0.35"/>
  <cols>
    <col min="1" max="1" width="6.453125" bestFit="1" customWidth="1"/>
    <col min="2" max="2" width="6.6328125" bestFit="1" customWidth="1"/>
    <col min="3" max="3" width="22.1796875" customWidth="1"/>
    <col min="4" max="4" width="11" customWidth="1"/>
    <col min="5" max="5" width="42.90625" customWidth="1"/>
    <col min="6" max="6" width="11" style="180" customWidth="1"/>
    <col min="7" max="7" width="12.08984375" bestFit="1" customWidth="1"/>
  </cols>
  <sheetData>
    <row r="6" spans="2:6" ht="15" thickBot="1" x14ac:dyDescent="0.4"/>
    <row r="7" spans="2:6" ht="15" thickBot="1" x14ac:dyDescent="0.4">
      <c r="B7" s="174" t="s">
        <v>453</v>
      </c>
      <c r="C7" s="175" t="s">
        <v>454</v>
      </c>
      <c r="D7" s="251" t="s">
        <v>455</v>
      </c>
      <c r="E7" s="252"/>
      <c r="F7" s="181" t="s">
        <v>54</v>
      </c>
    </row>
    <row r="8" spans="2:6" ht="15" thickBot="1" x14ac:dyDescent="0.4">
      <c r="B8" s="242">
        <v>1</v>
      </c>
      <c r="C8" s="245" t="s">
        <v>471</v>
      </c>
      <c r="D8" s="176" t="s">
        <v>456</v>
      </c>
      <c r="E8" s="176" t="s">
        <v>457</v>
      </c>
      <c r="F8" s="248">
        <v>1</v>
      </c>
    </row>
    <row r="9" spans="2:6" ht="15" thickBot="1" x14ac:dyDescent="0.4">
      <c r="B9" s="243"/>
      <c r="C9" s="246"/>
      <c r="D9" s="176" t="s">
        <v>19</v>
      </c>
      <c r="E9" s="176" t="s">
        <v>458</v>
      </c>
      <c r="F9" s="249"/>
    </row>
    <row r="10" spans="2:6" ht="15" thickBot="1" x14ac:dyDescent="0.4">
      <c r="B10" s="243"/>
      <c r="C10" s="246"/>
      <c r="D10" s="176" t="s">
        <v>459</v>
      </c>
      <c r="E10" s="176" t="s">
        <v>218</v>
      </c>
      <c r="F10" s="249"/>
    </row>
    <row r="11" spans="2:6" ht="15" thickBot="1" x14ac:dyDescent="0.4">
      <c r="B11" s="243"/>
      <c r="C11" s="246"/>
      <c r="D11" s="176" t="s">
        <v>3</v>
      </c>
      <c r="E11" s="176" t="s">
        <v>460</v>
      </c>
      <c r="F11" s="249"/>
    </row>
    <row r="12" spans="2:6" ht="15" thickBot="1" x14ac:dyDescent="0.4">
      <c r="B12" s="244"/>
      <c r="C12" s="247"/>
      <c r="D12" s="176" t="s">
        <v>461</v>
      </c>
      <c r="E12" s="176" t="s">
        <v>462</v>
      </c>
      <c r="F12" s="250"/>
    </row>
    <row r="13" spans="2:6" ht="15" thickBot="1" x14ac:dyDescent="0.4">
      <c r="B13" s="242">
        <v>2</v>
      </c>
      <c r="C13" s="245" t="s">
        <v>463</v>
      </c>
      <c r="D13" s="176" t="s">
        <v>456</v>
      </c>
      <c r="E13" s="176" t="s">
        <v>457</v>
      </c>
      <c r="F13" s="248">
        <v>1</v>
      </c>
    </row>
    <row r="14" spans="2:6" ht="15" thickBot="1" x14ac:dyDescent="0.4">
      <c r="B14" s="243"/>
      <c r="C14" s="246"/>
      <c r="D14" s="176" t="s">
        <v>19</v>
      </c>
      <c r="E14" s="176" t="s">
        <v>458</v>
      </c>
      <c r="F14" s="249"/>
    </row>
    <row r="15" spans="2:6" ht="15" thickBot="1" x14ac:dyDescent="0.4">
      <c r="B15" s="243"/>
      <c r="C15" s="246"/>
      <c r="D15" s="176" t="s">
        <v>459</v>
      </c>
      <c r="E15" s="176" t="s">
        <v>218</v>
      </c>
      <c r="F15" s="249"/>
    </row>
    <row r="16" spans="2:6" ht="15" thickBot="1" x14ac:dyDescent="0.4">
      <c r="B16" s="243"/>
      <c r="C16" s="246"/>
      <c r="D16" s="176" t="s">
        <v>3</v>
      </c>
      <c r="E16" s="176" t="s">
        <v>460</v>
      </c>
      <c r="F16" s="249"/>
    </row>
    <row r="17" spans="2:6" ht="15" thickBot="1" x14ac:dyDescent="0.4">
      <c r="B17" s="244"/>
      <c r="C17" s="247"/>
      <c r="D17" s="176" t="s">
        <v>461</v>
      </c>
      <c r="E17" s="176" t="s">
        <v>472</v>
      </c>
      <c r="F17" s="250"/>
    </row>
    <row r="18" spans="2:6" ht="15" thickBot="1" x14ac:dyDescent="0.4">
      <c r="B18" s="242">
        <v>3</v>
      </c>
      <c r="C18" s="245" t="s">
        <v>473</v>
      </c>
      <c r="D18" s="176" t="s">
        <v>456</v>
      </c>
      <c r="E18" s="176" t="s">
        <v>457</v>
      </c>
      <c r="F18" s="248">
        <v>1</v>
      </c>
    </row>
    <row r="19" spans="2:6" ht="15" thickBot="1" x14ac:dyDescent="0.4">
      <c r="B19" s="243"/>
      <c r="C19" s="246"/>
      <c r="D19" s="176" t="s">
        <v>19</v>
      </c>
      <c r="E19" s="176" t="s">
        <v>458</v>
      </c>
      <c r="F19" s="249"/>
    </row>
    <row r="20" spans="2:6" ht="15" thickBot="1" x14ac:dyDescent="0.4">
      <c r="B20" s="243"/>
      <c r="C20" s="246"/>
      <c r="D20" s="176" t="s">
        <v>459</v>
      </c>
      <c r="E20" s="176" t="s">
        <v>218</v>
      </c>
      <c r="F20" s="249"/>
    </row>
    <row r="21" spans="2:6" ht="15" thickBot="1" x14ac:dyDescent="0.4">
      <c r="B21" s="243"/>
      <c r="C21" s="246"/>
      <c r="D21" s="176" t="s">
        <v>3</v>
      </c>
      <c r="E21" s="176" t="s">
        <v>460</v>
      </c>
      <c r="F21" s="249"/>
    </row>
    <row r="22" spans="2:6" ht="15" thickBot="1" x14ac:dyDescent="0.4">
      <c r="B22" s="244"/>
      <c r="C22" s="247"/>
      <c r="D22" s="176" t="s">
        <v>461</v>
      </c>
      <c r="E22" s="176" t="s">
        <v>465</v>
      </c>
      <c r="F22" s="250"/>
    </row>
    <row r="23" spans="2:6" ht="15" thickBot="1" x14ac:dyDescent="0.4">
      <c r="B23" s="242">
        <v>4</v>
      </c>
      <c r="C23" s="245" t="s">
        <v>69</v>
      </c>
      <c r="D23" s="176" t="s">
        <v>456</v>
      </c>
      <c r="E23" s="176" t="s">
        <v>457</v>
      </c>
      <c r="F23" s="248">
        <v>1</v>
      </c>
    </row>
    <row r="24" spans="2:6" ht="15" thickBot="1" x14ac:dyDescent="0.4">
      <c r="B24" s="243"/>
      <c r="C24" s="246"/>
      <c r="D24" s="176" t="s">
        <v>19</v>
      </c>
      <c r="E24" s="176" t="s">
        <v>466</v>
      </c>
      <c r="F24" s="249"/>
    </row>
    <row r="25" spans="2:6" ht="15" thickBot="1" x14ac:dyDescent="0.4">
      <c r="B25" s="243"/>
      <c r="C25" s="246"/>
      <c r="D25" s="176" t="s">
        <v>459</v>
      </c>
      <c r="E25" s="176" t="s">
        <v>218</v>
      </c>
      <c r="F25" s="249"/>
    </row>
    <row r="26" spans="2:6" ht="15" thickBot="1" x14ac:dyDescent="0.4">
      <c r="B26" s="243"/>
      <c r="C26" s="246"/>
      <c r="D26" s="176" t="s">
        <v>3</v>
      </c>
      <c r="E26" s="176" t="s">
        <v>460</v>
      </c>
      <c r="F26" s="249"/>
    </row>
    <row r="27" spans="2:6" ht="15" thickBot="1" x14ac:dyDescent="0.4">
      <c r="B27" s="244"/>
      <c r="C27" s="247"/>
      <c r="D27" s="176" t="s">
        <v>461</v>
      </c>
      <c r="E27" s="176" t="s">
        <v>467</v>
      </c>
      <c r="F27" s="250"/>
    </row>
    <row r="28" spans="2:6" ht="15" thickBot="1" x14ac:dyDescent="0.4">
      <c r="B28" s="251" t="s">
        <v>48</v>
      </c>
      <c r="C28" s="253"/>
      <c r="D28" s="253"/>
      <c r="E28" s="252"/>
      <c r="F28" s="182">
        <v>7</v>
      </c>
    </row>
  </sheetData>
  <mergeCells count="14">
    <mergeCell ref="B28:E28"/>
    <mergeCell ref="B18:B22"/>
    <mergeCell ref="C18:C22"/>
    <mergeCell ref="F18:F22"/>
    <mergeCell ref="B23:B27"/>
    <mergeCell ref="C23:C27"/>
    <mergeCell ref="F23:F27"/>
    <mergeCell ref="B13:B17"/>
    <mergeCell ref="C13:C17"/>
    <mergeCell ref="F13:F17"/>
    <mergeCell ref="D7:E7"/>
    <mergeCell ref="B8:B12"/>
    <mergeCell ref="C8:C12"/>
    <mergeCell ref="F8:F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82"/>
  <sheetViews>
    <sheetView topLeftCell="A151" zoomScale="85" zoomScaleNormal="85" workbookViewId="0">
      <selection activeCell="E159" sqref="E159"/>
    </sheetView>
  </sheetViews>
  <sheetFormatPr defaultColWidth="8.6328125" defaultRowHeight="13.5" x14ac:dyDescent="0.35"/>
  <cols>
    <col min="1" max="1" width="9.453125" style="90" bestFit="1" customWidth="1"/>
    <col min="2" max="2" width="8.6328125" style="131"/>
    <col min="3" max="3" width="80.36328125" style="105" customWidth="1"/>
    <col min="4" max="4" width="20.36328125" style="90" customWidth="1"/>
    <col min="5" max="5" width="20.453125" style="90" customWidth="1"/>
    <col min="6" max="6" width="17.08984375" style="90" customWidth="1"/>
    <col min="7" max="7" width="11" style="90" customWidth="1"/>
    <col min="8" max="8" width="76" style="90" customWidth="1"/>
    <col min="9" max="9" width="17.36328125" style="90" customWidth="1"/>
    <col min="10" max="10" width="25.36328125" style="105" customWidth="1"/>
    <col min="11" max="11" width="16.36328125" style="90" customWidth="1"/>
    <col min="12" max="16384" width="8.6328125" style="90"/>
  </cols>
  <sheetData>
    <row r="1" spans="1:12" s="87" customFormat="1" ht="15.5" x14ac:dyDescent="0.35">
      <c r="B1" s="88" t="s">
        <v>475</v>
      </c>
      <c r="C1" s="89"/>
      <c r="D1" s="183"/>
      <c r="E1" s="184"/>
      <c r="H1" s="184"/>
      <c r="I1" s="184"/>
    </row>
    <row r="2" spans="1:12" x14ac:dyDescent="0.35">
      <c r="B2" s="91"/>
      <c r="C2" s="92" t="s">
        <v>76</v>
      </c>
      <c r="D2" s="93"/>
      <c r="E2" s="93" t="s">
        <v>77</v>
      </c>
      <c r="G2" s="91"/>
      <c r="H2" s="92" t="s">
        <v>76</v>
      </c>
      <c r="I2" s="93"/>
      <c r="J2" s="93" t="s">
        <v>77</v>
      </c>
    </row>
    <row r="3" spans="1:12" x14ac:dyDescent="0.35">
      <c r="B3" s="94"/>
      <c r="C3" s="95" t="s">
        <v>78</v>
      </c>
      <c r="D3" s="94"/>
      <c r="E3" s="96"/>
      <c r="F3" s="97"/>
      <c r="G3" s="94"/>
      <c r="H3" s="94" t="s">
        <v>79</v>
      </c>
      <c r="I3" s="94"/>
      <c r="J3" s="96"/>
      <c r="K3" s="98"/>
      <c r="L3" s="99"/>
    </row>
    <row r="4" spans="1:12" ht="27" x14ac:dyDescent="0.35">
      <c r="B4" s="94" t="s">
        <v>80</v>
      </c>
      <c r="C4" s="100" t="s">
        <v>81</v>
      </c>
      <c r="D4" s="100" t="s">
        <v>82</v>
      </c>
      <c r="E4" s="100" t="s">
        <v>83</v>
      </c>
      <c r="F4" s="97"/>
      <c r="G4" s="94" t="s">
        <v>80</v>
      </c>
      <c r="H4" s="100" t="s">
        <v>81</v>
      </c>
      <c r="I4" s="100" t="s">
        <v>82</v>
      </c>
      <c r="J4" s="100" t="s">
        <v>83</v>
      </c>
      <c r="K4" s="97"/>
    </row>
    <row r="5" spans="1:12" ht="27" x14ac:dyDescent="0.35">
      <c r="A5" s="101"/>
      <c r="B5" s="102">
        <v>1</v>
      </c>
      <c r="C5" s="102" t="s">
        <v>84</v>
      </c>
      <c r="D5" s="102" t="s">
        <v>85</v>
      </c>
      <c r="E5" s="104">
        <v>5946.6</v>
      </c>
      <c r="F5" s="185"/>
      <c r="G5" s="102">
        <v>1</v>
      </c>
      <c r="H5" s="102" t="s">
        <v>84</v>
      </c>
      <c r="I5" s="102" t="s">
        <v>85</v>
      </c>
      <c r="J5" s="104">
        <v>4910.4000000000005</v>
      </c>
      <c r="K5" s="178"/>
    </row>
    <row r="6" spans="1:12" ht="27" x14ac:dyDescent="0.35">
      <c r="A6" s="101"/>
      <c r="B6" s="102">
        <v>2</v>
      </c>
      <c r="C6" s="102" t="s">
        <v>86</v>
      </c>
      <c r="D6" s="102" t="s">
        <v>85</v>
      </c>
      <c r="E6" s="104">
        <v>7068.6</v>
      </c>
      <c r="F6" s="185"/>
      <c r="G6" s="102">
        <v>2</v>
      </c>
      <c r="H6" s="102" t="s">
        <v>86</v>
      </c>
      <c r="I6" s="102" t="s">
        <v>85</v>
      </c>
      <c r="J6" s="104">
        <v>5340.5</v>
      </c>
      <c r="K6" s="178"/>
    </row>
    <row r="7" spans="1:12" ht="27" x14ac:dyDescent="0.35">
      <c r="A7" s="101"/>
      <c r="B7" s="102">
        <v>3</v>
      </c>
      <c r="C7" s="102" t="s">
        <v>87</v>
      </c>
      <c r="D7" s="102" t="s">
        <v>85</v>
      </c>
      <c r="E7" s="104">
        <v>12118.7</v>
      </c>
      <c r="F7" s="185"/>
      <c r="G7" s="102">
        <v>3</v>
      </c>
      <c r="H7" s="102" t="s">
        <v>87</v>
      </c>
      <c r="I7" s="102" t="s">
        <v>85</v>
      </c>
      <c r="J7" s="104">
        <v>7279.8</v>
      </c>
      <c r="K7" s="178"/>
    </row>
    <row r="8" spans="1:12" ht="27" x14ac:dyDescent="0.35">
      <c r="A8" s="101"/>
      <c r="B8" s="102">
        <v>4</v>
      </c>
      <c r="C8" s="102" t="s">
        <v>88</v>
      </c>
      <c r="D8" s="102" t="s">
        <v>85</v>
      </c>
      <c r="E8" s="104">
        <v>14362.7</v>
      </c>
      <c r="F8" s="185"/>
      <c r="G8" s="102">
        <v>4</v>
      </c>
      <c r="H8" s="102" t="s">
        <v>88</v>
      </c>
      <c r="I8" s="102" t="s">
        <v>85</v>
      </c>
      <c r="J8" s="104">
        <v>8142.2000000000007</v>
      </c>
      <c r="K8" s="178"/>
    </row>
    <row r="9" spans="1:12" ht="27" x14ac:dyDescent="0.35">
      <c r="A9" s="101"/>
      <c r="B9" s="102">
        <v>5</v>
      </c>
      <c r="C9" s="102" t="s">
        <v>89</v>
      </c>
      <c r="D9" s="102" t="s">
        <v>85</v>
      </c>
      <c r="E9" s="104">
        <v>9313.7000000000007</v>
      </c>
      <c r="F9" s="185"/>
      <c r="G9" s="102">
        <v>5</v>
      </c>
      <c r="H9" s="102" t="s">
        <v>89</v>
      </c>
      <c r="I9" s="102" t="s">
        <v>85</v>
      </c>
      <c r="J9" s="104">
        <v>6202.9000000000005</v>
      </c>
      <c r="K9" s="178"/>
    </row>
    <row r="10" spans="1:12" ht="27" x14ac:dyDescent="0.35">
      <c r="A10" s="101"/>
      <c r="B10" s="102">
        <v>6</v>
      </c>
      <c r="C10" s="102" t="s">
        <v>90</v>
      </c>
      <c r="D10" s="102" t="s">
        <v>85</v>
      </c>
      <c r="E10" s="104">
        <v>12679.7</v>
      </c>
      <c r="F10" s="185"/>
      <c r="G10" s="102">
        <v>6</v>
      </c>
      <c r="H10" s="102" t="s">
        <v>90</v>
      </c>
      <c r="I10" s="102" t="s">
        <v>85</v>
      </c>
      <c r="J10" s="104">
        <v>7495.4000000000005</v>
      </c>
      <c r="K10" s="178"/>
    </row>
    <row r="11" spans="1:12" ht="27" x14ac:dyDescent="0.35">
      <c r="A11" s="101"/>
      <c r="B11" s="102">
        <v>7</v>
      </c>
      <c r="C11" s="102" t="s">
        <v>91</v>
      </c>
      <c r="D11" s="102" t="s">
        <v>85</v>
      </c>
      <c r="E11" s="104">
        <v>14923.7</v>
      </c>
      <c r="F11" s="185"/>
      <c r="G11" s="102">
        <v>7</v>
      </c>
      <c r="H11" s="102" t="s">
        <v>91</v>
      </c>
      <c r="I11" s="102" t="s">
        <v>85</v>
      </c>
      <c r="J11" s="104">
        <v>8356.7000000000007</v>
      </c>
      <c r="K11" s="178"/>
    </row>
    <row r="12" spans="1:12" ht="27" x14ac:dyDescent="0.35">
      <c r="A12" s="101"/>
      <c r="B12" s="102">
        <v>8</v>
      </c>
      <c r="C12" s="102" t="s">
        <v>92</v>
      </c>
      <c r="D12" s="102" t="s">
        <v>85</v>
      </c>
      <c r="E12" s="104">
        <v>22216.7</v>
      </c>
      <c r="F12" s="185"/>
      <c r="G12" s="102">
        <v>8</v>
      </c>
      <c r="H12" s="102" t="s">
        <v>92</v>
      </c>
      <c r="I12" s="102" t="s">
        <v>85</v>
      </c>
      <c r="J12" s="104">
        <v>11157.300000000001</v>
      </c>
      <c r="K12" s="178"/>
    </row>
    <row r="13" spans="1:12" ht="27" x14ac:dyDescent="0.35">
      <c r="A13" s="101"/>
      <c r="B13" s="102">
        <v>9</v>
      </c>
      <c r="C13" s="102" t="s">
        <v>93</v>
      </c>
      <c r="D13" s="102" t="s">
        <v>85</v>
      </c>
      <c r="E13" s="104">
        <v>24460.7</v>
      </c>
      <c r="F13" s="185"/>
      <c r="G13" s="102">
        <v>9</v>
      </c>
      <c r="H13" s="102" t="s">
        <v>93</v>
      </c>
      <c r="I13" s="102" t="s">
        <v>85</v>
      </c>
      <c r="J13" s="104">
        <v>12019.7</v>
      </c>
      <c r="K13" s="178"/>
    </row>
    <row r="14" spans="1:12" x14ac:dyDescent="0.35">
      <c r="B14" s="102"/>
      <c r="C14" s="102"/>
      <c r="D14" s="102"/>
      <c r="E14" s="104">
        <v>0</v>
      </c>
      <c r="F14" s="185"/>
      <c r="G14" s="102"/>
      <c r="H14" s="102"/>
      <c r="I14" s="102"/>
      <c r="J14" s="104"/>
      <c r="K14" s="178"/>
    </row>
    <row r="15" spans="1:12" ht="27" x14ac:dyDescent="0.35">
      <c r="B15" s="102">
        <v>1</v>
      </c>
      <c r="C15" s="102" t="s">
        <v>94</v>
      </c>
      <c r="D15" s="102" t="s">
        <v>85</v>
      </c>
      <c r="E15" s="104">
        <v>42413.8</v>
      </c>
      <c r="F15" s="185"/>
      <c r="G15" s="102">
        <v>1</v>
      </c>
      <c r="H15" s="102" t="s">
        <v>94</v>
      </c>
      <c r="I15" s="102" t="s">
        <v>85</v>
      </c>
      <c r="J15" s="104">
        <v>18913.400000000001</v>
      </c>
      <c r="K15" s="178"/>
    </row>
    <row r="16" spans="1:12" ht="27" x14ac:dyDescent="0.35">
      <c r="B16" s="102">
        <v>2</v>
      </c>
      <c r="C16" s="102" t="s">
        <v>95</v>
      </c>
      <c r="D16" s="102" t="s">
        <v>85</v>
      </c>
      <c r="E16" s="104">
        <v>78320</v>
      </c>
      <c r="F16" s="185"/>
      <c r="G16" s="102">
        <v>2</v>
      </c>
      <c r="H16" s="102" t="s">
        <v>95</v>
      </c>
      <c r="I16" s="102" t="s">
        <v>85</v>
      </c>
      <c r="J16" s="104">
        <v>32701.9</v>
      </c>
      <c r="K16" s="178"/>
    </row>
    <row r="17" spans="2:11" ht="27" x14ac:dyDescent="0.35">
      <c r="B17" s="102">
        <v>3</v>
      </c>
      <c r="C17" s="102" t="s">
        <v>96</v>
      </c>
      <c r="D17" s="102" t="s">
        <v>85</v>
      </c>
      <c r="E17" s="104">
        <v>13801.7</v>
      </c>
      <c r="F17" s="185"/>
      <c r="G17" s="102">
        <v>3</v>
      </c>
      <c r="H17" s="102" t="s">
        <v>96</v>
      </c>
      <c r="I17" s="102" t="s">
        <v>85</v>
      </c>
      <c r="J17" s="104">
        <v>7926.6</v>
      </c>
      <c r="K17" s="178"/>
    </row>
    <row r="18" spans="2:11" ht="27" x14ac:dyDescent="0.35">
      <c r="B18" s="102">
        <v>4</v>
      </c>
      <c r="C18" s="102" t="s">
        <v>97</v>
      </c>
      <c r="D18" s="102" t="s">
        <v>85</v>
      </c>
      <c r="E18" s="104">
        <v>16045.7</v>
      </c>
      <c r="F18" s="185"/>
      <c r="G18" s="102">
        <v>4</v>
      </c>
      <c r="H18" s="102" t="s">
        <v>97</v>
      </c>
      <c r="I18" s="102" t="s">
        <v>85</v>
      </c>
      <c r="J18" s="104">
        <v>8787.9000000000015</v>
      </c>
      <c r="K18" s="178"/>
    </row>
    <row r="19" spans="2:11" ht="27" x14ac:dyDescent="0.35">
      <c r="B19" s="102">
        <v>5</v>
      </c>
      <c r="C19" s="102" t="s">
        <v>98</v>
      </c>
      <c r="D19" s="102" t="s">
        <v>85</v>
      </c>
      <c r="E19" s="104">
        <v>10996.7</v>
      </c>
      <c r="F19" s="185"/>
      <c r="G19" s="102">
        <v>5</v>
      </c>
      <c r="H19" s="102" t="s">
        <v>98</v>
      </c>
      <c r="I19" s="102" t="s">
        <v>85</v>
      </c>
      <c r="J19" s="104">
        <v>6848.6</v>
      </c>
      <c r="K19" s="178"/>
    </row>
    <row r="20" spans="2:11" ht="27" x14ac:dyDescent="0.35">
      <c r="B20" s="102">
        <v>6</v>
      </c>
      <c r="C20" s="102" t="s">
        <v>99</v>
      </c>
      <c r="D20" s="102" t="s">
        <v>85</v>
      </c>
      <c r="E20" s="104">
        <v>12118.7</v>
      </c>
      <c r="F20" s="185"/>
      <c r="G20" s="102">
        <v>6</v>
      </c>
      <c r="H20" s="102" t="s">
        <v>99</v>
      </c>
      <c r="I20" s="102" t="s">
        <v>85</v>
      </c>
      <c r="J20" s="104">
        <v>7279.8</v>
      </c>
      <c r="K20" s="178"/>
    </row>
    <row r="21" spans="2:11" ht="27" x14ac:dyDescent="0.35">
      <c r="B21" s="102">
        <v>7</v>
      </c>
      <c r="C21" s="102" t="s">
        <v>100</v>
      </c>
      <c r="D21" s="102" t="s">
        <v>85</v>
      </c>
      <c r="E21" s="104">
        <v>16606.7</v>
      </c>
      <c r="F21" s="185"/>
      <c r="G21" s="102">
        <v>7</v>
      </c>
      <c r="H21" s="102" t="s">
        <v>100</v>
      </c>
      <c r="I21" s="102" t="s">
        <v>85</v>
      </c>
      <c r="J21" s="104">
        <v>9003.5</v>
      </c>
      <c r="K21" s="178"/>
    </row>
    <row r="22" spans="2:11" ht="27" x14ac:dyDescent="0.35">
      <c r="B22" s="102">
        <v>8</v>
      </c>
      <c r="C22" s="102" t="s">
        <v>101</v>
      </c>
      <c r="D22" s="102" t="s">
        <v>85</v>
      </c>
      <c r="E22" s="104">
        <v>21094.7</v>
      </c>
      <c r="F22" s="185"/>
      <c r="G22" s="102">
        <v>8</v>
      </c>
      <c r="H22" s="102" t="s">
        <v>101</v>
      </c>
      <c r="I22" s="102" t="s">
        <v>85</v>
      </c>
      <c r="J22" s="104">
        <v>10727.2</v>
      </c>
      <c r="K22" s="178"/>
    </row>
    <row r="23" spans="2:11" ht="27" x14ac:dyDescent="0.35">
      <c r="B23" s="102">
        <v>9</v>
      </c>
      <c r="C23" s="102" t="s">
        <v>102</v>
      </c>
      <c r="D23" s="102" t="s">
        <v>85</v>
      </c>
      <c r="E23" s="104">
        <v>25582.7</v>
      </c>
      <c r="F23" s="185"/>
      <c r="G23" s="102">
        <v>9</v>
      </c>
      <c r="H23" s="102" t="s">
        <v>102</v>
      </c>
      <c r="I23" s="102" t="s">
        <v>85</v>
      </c>
      <c r="J23" s="104">
        <v>12450.900000000001</v>
      </c>
      <c r="K23" s="178"/>
    </row>
    <row r="24" spans="2:11" ht="27" x14ac:dyDescent="0.35">
      <c r="B24" s="102">
        <v>10</v>
      </c>
      <c r="C24" s="102" t="s">
        <v>103</v>
      </c>
      <c r="D24" s="102" t="s">
        <v>85</v>
      </c>
      <c r="E24" s="104">
        <v>43535.8</v>
      </c>
      <c r="F24" s="185"/>
      <c r="G24" s="102">
        <v>10</v>
      </c>
      <c r="H24" s="102" t="s">
        <v>103</v>
      </c>
      <c r="I24" s="102" t="s">
        <v>85</v>
      </c>
      <c r="J24" s="104">
        <v>19344.600000000002</v>
      </c>
      <c r="K24" s="178"/>
    </row>
    <row r="25" spans="2:11" ht="27" x14ac:dyDescent="0.35">
      <c r="B25" s="102">
        <v>11</v>
      </c>
      <c r="C25" s="102" t="s">
        <v>104</v>
      </c>
      <c r="D25" s="102" t="s">
        <v>85</v>
      </c>
      <c r="E25" s="104">
        <v>16045.7</v>
      </c>
      <c r="F25" s="185"/>
      <c r="G25" s="102">
        <v>11</v>
      </c>
      <c r="H25" s="102" t="s">
        <v>104</v>
      </c>
      <c r="I25" s="102" t="s">
        <v>85</v>
      </c>
      <c r="J25" s="104">
        <v>8787.9000000000015</v>
      </c>
      <c r="K25" s="178"/>
    </row>
    <row r="26" spans="2:11" ht="27" x14ac:dyDescent="0.35">
      <c r="B26" s="102">
        <v>12</v>
      </c>
      <c r="C26" s="102" t="s">
        <v>105</v>
      </c>
      <c r="D26" s="102" t="s">
        <v>85</v>
      </c>
      <c r="E26" s="104">
        <v>17167.7</v>
      </c>
      <c r="F26" s="185"/>
      <c r="G26" s="102">
        <v>12</v>
      </c>
      <c r="H26" s="102" t="s">
        <v>105</v>
      </c>
      <c r="I26" s="102" t="s">
        <v>85</v>
      </c>
      <c r="J26" s="104">
        <v>9219.1</v>
      </c>
      <c r="K26" s="178"/>
    </row>
    <row r="27" spans="2:11" ht="27" x14ac:dyDescent="0.35">
      <c r="B27" s="102">
        <v>13</v>
      </c>
      <c r="C27" s="102" t="s">
        <v>106</v>
      </c>
      <c r="D27" s="102" t="s">
        <v>85</v>
      </c>
      <c r="E27" s="104">
        <v>26143.7</v>
      </c>
      <c r="F27" s="185"/>
      <c r="G27" s="102">
        <v>13</v>
      </c>
      <c r="H27" s="102" t="s">
        <v>106</v>
      </c>
      <c r="I27" s="102" t="s">
        <v>85</v>
      </c>
      <c r="J27" s="104">
        <v>12665.400000000001</v>
      </c>
      <c r="K27" s="178"/>
    </row>
    <row r="28" spans="2:11" ht="27" x14ac:dyDescent="0.35">
      <c r="B28" s="102">
        <v>14</v>
      </c>
      <c r="C28" s="102" t="s">
        <v>107</v>
      </c>
      <c r="D28" s="102" t="s">
        <v>85</v>
      </c>
      <c r="E28" s="104">
        <v>44096.800000000003</v>
      </c>
      <c r="F28" s="185"/>
      <c r="G28" s="102">
        <v>14</v>
      </c>
      <c r="H28" s="102" t="s">
        <v>107</v>
      </c>
      <c r="I28" s="102" t="s">
        <v>85</v>
      </c>
      <c r="J28" s="104">
        <v>19560.2</v>
      </c>
      <c r="K28" s="178"/>
    </row>
    <row r="29" spans="2:11" x14ac:dyDescent="0.35">
      <c r="B29" s="102"/>
      <c r="C29" s="102"/>
      <c r="D29" s="102"/>
      <c r="E29" s="104">
        <v>0</v>
      </c>
      <c r="F29" s="185"/>
      <c r="G29" s="102"/>
      <c r="H29" s="102"/>
      <c r="I29" s="102"/>
      <c r="J29" s="104"/>
      <c r="K29" s="178"/>
    </row>
    <row r="30" spans="2:11" ht="27" x14ac:dyDescent="0.35">
      <c r="B30" s="102">
        <v>1</v>
      </c>
      <c r="C30" s="102" t="s">
        <v>108</v>
      </c>
      <c r="D30" s="102" t="s">
        <v>85</v>
      </c>
      <c r="E30" s="104">
        <v>13240.7</v>
      </c>
      <c r="F30" s="185"/>
      <c r="G30" s="102">
        <v>1</v>
      </c>
      <c r="H30" s="102" t="s">
        <v>108</v>
      </c>
      <c r="I30" s="102" t="s">
        <v>85</v>
      </c>
      <c r="J30" s="104">
        <v>7711.0000000000009</v>
      </c>
      <c r="K30" s="178"/>
    </row>
    <row r="31" spans="2:11" ht="27" x14ac:dyDescent="0.35">
      <c r="B31" s="102">
        <v>2</v>
      </c>
      <c r="C31" s="102" t="s">
        <v>109</v>
      </c>
      <c r="D31" s="102" t="s">
        <v>85</v>
      </c>
      <c r="E31" s="104">
        <v>17728.7</v>
      </c>
      <c r="F31" s="185"/>
      <c r="G31" s="102">
        <v>2</v>
      </c>
      <c r="H31" s="102" t="s">
        <v>109</v>
      </c>
      <c r="I31" s="102" t="s">
        <v>85</v>
      </c>
      <c r="J31" s="104">
        <v>9434.7000000000007</v>
      </c>
      <c r="K31" s="178"/>
    </row>
    <row r="32" spans="2:11" ht="27" x14ac:dyDescent="0.35">
      <c r="B32" s="102">
        <v>3</v>
      </c>
      <c r="C32" s="102" t="s">
        <v>110</v>
      </c>
      <c r="D32" s="102" t="s">
        <v>85</v>
      </c>
      <c r="E32" s="104">
        <v>44657.8</v>
      </c>
      <c r="F32" s="185"/>
      <c r="G32" s="102">
        <v>3</v>
      </c>
      <c r="H32" s="102" t="s">
        <v>110</v>
      </c>
      <c r="I32" s="102" t="s">
        <v>85</v>
      </c>
      <c r="J32" s="104">
        <v>19775.800000000003</v>
      </c>
      <c r="K32" s="178"/>
    </row>
    <row r="33" spans="2:11" ht="27" x14ac:dyDescent="0.35">
      <c r="B33" s="102">
        <v>4</v>
      </c>
      <c r="C33" s="102" t="s">
        <v>111</v>
      </c>
      <c r="D33" s="102" t="s">
        <v>85</v>
      </c>
      <c r="E33" s="104">
        <v>80564</v>
      </c>
      <c r="F33" s="185"/>
      <c r="G33" s="102">
        <v>4</v>
      </c>
      <c r="H33" s="102" t="s">
        <v>111</v>
      </c>
      <c r="I33" s="102" t="s">
        <v>85</v>
      </c>
      <c r="J33" s="104">
        <v>33563.200000000004</v>
      </c>
      <c r="K33" s="178"/>
    </row>
    <row r="34" spans="2:11" ht="27" x14ac:dyDescent="0.35">
      <c r="B34" s="102">
        <v>5</v>
      </c>
      <c r="C34" s="102" t="s">
        <v>112</v>
      </c>
      <c r="D34" s="102" t="s">
        <v>85</v>
      </c>
      <c r="E34" s="104">
        <v>22216.7</v>
      </c>
      <c r="F34" s="185"/>
      <c r="G34" s="102">
        <v>5</v>
      </c>
      <c r="H34" s="102" t="s">
        <v>112</v>
      </c>
      <c r="I34" s="102" t="s">
        <v>85</v>
      </c>
      <c r="J34" s="104">
        <v>11157.300000000001</v>
      </c>
      <c r="K34" s="178"/>
    </row>
    <row r="35" spans="2:11" ht="27" x14ac:dyDescent="0.35">
      <c r="B35" s="102">
        <v>6</v>
      </c>
      <c r="C35" s="102" t="s">
        <v>113</v>
      </c>
      <c r="D35" s="102" t="s">
        <v>85</v>
      </c>
      <c r="E35" s="104">
        <v>31193.800000000003</v>
      </c>
      <c r="F35" s="185"/>
      <c r="G35" s="102">
        <v>6</v>
      </c>
      <c r="H35" s="102" t="s">
        <v>113</v>
      </c>
      <c r="I35" s="102" t="s">
        <v>85</v>
      </c>
      <c r="J35" s="104">
        <v>14604.7</v>
      </c>
      <c r="K35" s="178"/>
    </row>
    <row r="36" spans="2:11" ht="27" x14ac:dyDescent="0.35">
      <c r="B36" s="102">
        <v>7</v>
      </c>
      <c r="C36" s="102" t="s">
        <v>114</v>
      </c>
      <c r="D36" s="102" t="s">
        <v>85</v>
      </c>
      <c r="E36" s="104">
        <v>49146.9</v>
      </c>
      <c r="F36" s="185"/>
      <c r="G36" s="102">
        <v>7</v>
      </c>
      <c r="H36" s="102" t="s">
        <v>114</v>
      </c>
      <c r="I36" s="102" t="s">
        <v>85</v>
      </c>
      <c r="J36" s="104">
        <v>21498.400000000001</v>
      </c>
      <c r="K36" s="178"/>
    </row>
    <row r="37" spans="2:11" x14ac:dyDescent="0.35">
      <c r="B37" s="102"/>
      <c r="C37" s="102"/>
      <c r="D37" s="102"/>
      <c r="E37" s="186"/>
      <c r="F37" s="185"/>
      <c r="G37" s="102"/>
      <c r="H37" s="102"/>
      <c r="I37" s="102"/>
      <c r="J37" s="104"/>
      <c r="K37" s="178"/>
    </row>
    <row r="38" spans="2:11" ht="27" x14ac:dyDescent="0.35">
      <c r="B38" s="102">
        <v>1</v>
      </c>
      <c r="C38" s="102" t="s">
        <v>115</v>
      </c>
      <c r="D38" s="102" t="s">
        <v>85</v>
      </c>
      <c r="E38" s="104">
        <v>44096.800000000003</v>
      </c>
      <c r="F38" s="185"/>
      <c r="G38" s="102">
        <v>1</v>
      </c>
      <c r="H38" s="102" t="s">
        <v>115</v>
      </c>
      <c r="I38" s="102" t="s">
        <v>85</v>
      </c>
      <c r="J38" s="104">
        <v>19560.2</v>
      </c>
      <c r="K38" s="178"/>
    </row>
    <row r="39" spans="2:11" ht="27" x14ac:dyDescent="0.35">
      <c r="B39" s="102">
        <v>2</v>
      </c>
      <c r="C39" s="102" t="s">
        <v>116</v>
      </c>
      <c r="D39" s="102" t="s">
        <v>85</v>
      </c>
      <c r="E39" s="104">
        <v>80564</v>
      </c>
      <c r="F39" s="185"/>
      <c r="G39" s="102">
        <v>2</v>
      </c>
      <c r="H39" s="102" t="s">
        <v>116</v>
      </c>
      <c r="I39" s="102" t="s">
        <v>85</v>
      </c>
      <c r="J39" s="104">
        <v>33563.200000000004</v>
      </c>
      <c r="K39" s="178"/>
    </row>
    <row r="40" spans="2:11" ht="27" x14ac:dyDescent="0.35">
      <c r="B40" s="102">
        <v>3</v>
      </c>
      <c r="C40" s="102" t="s">
        <v>117</v>
      </c>
      <c r="D40" s="102" t="s">
        <v>85</v>
      </c>
      <c r="E40" s="104">
        <v>152376.40000000002</v>
      </c>
      <c r="F40" s="185"/>
      <c r="G40" s="102">
        <v>3</v>
      </c>
      <c r="H40" s="102" t="s">
        <v>117</v>
      </c>
      <c r="I40" s="102" t="s">
        <v>85</v>
      </c>
      <c r="J40" s="104">
        <v>61139.100000000006</v>
      </c>
      <c r="K40" s="178"/>
    </row>
    <row r="41" spans="2:11" ht="27" x14ac:dyDescent="0.35">
      <c r="B41" s="102">
        <v>4</v>
      </c>
      <c r="C41" s="102" t="s">
        <v>118</v>
      </c>
      <c r="D41" s="102" t="s">
        <v>85</v>
      </c>
      <c r="E41" s="104">
        <v>85053.1</v>
      </c>
      <c r="F41" s="185"/>
      <c r="G41" s="102">
        <v>4</v>
      </c>
      <c r="H41" s="102" t="s">
        <v>118</v>
      </c>
      <c r="I41" s="102" t="s">
        <v>85</v>
      </c>
      <c r="J41" s="104">
        <v>35286.9</v>
      </c>
      <c r="K41" s="178"/>
    </row>
    <row r="42" spans="2:11" ht="27" x14ac:dyDescent="0.35">
      <c r="B42" s="102">
        <v>5</v>
      </c>
      <c r="C42" s="102" t="s">
        <v>119</v>
      </c>
      <c r="D42" s="102" t="s">
        <v>85</v>
      </c>
      <c r="E42" s="104">
        <v>156865.5</v>
      </c>
      <c r="F42" s="185"/>
      <c r="G42" s="102">
        <v>5</v>
      </c>
      <c r="H42" s="102" t="s">
        <v>119</v>
      </c>
      <c r="I42" s="102" t="s">
        <v>85</v>
      </c>
      <c r="J42" s="104">
        <v>62862.8</v>
      </c>
      <c r="K42" s="178"/>
    </row>
    <row r="43" spans="2:11" ht="27" x14ac:dyDescent="0.35">
      <c r="B43" s="102">
        <v>6</v>
      </c>
      <c r="C43" s="102" t="s">
        <v>120</v>
      </c>
      <c r="D43" s="102" t="s">
        <v>85</v>
      </c>
      <c r="E43" s="104">
        <v>58122.9</v>
      </c>
      <c r="F43" s="185"/>
      <c r="G43" s="102">
        <v>6</v>
      </c>
      <c r="H43" s="102" t="s">
        <v>120</v>
      </c>
      <c r="I43" s="102" t="s">
        <v>85</v>
      </c>
      <c r="J43" s="104">
        <v>24945.800000000003</v>
      </c>
      <c r="K43" s="178"/>
    </row>
    <row r="44" spans="2:11" ht="27" x14ac:dyDescent="0.35">
      <c r="B44" s="102">
        <v>7</v>
      </c>
      <c r="C44" s="102" t="s">
        <v>121</v>
      </c>
      <c r="D44" s="102" t="s">
        <v>85</v>
      </c>
      <c r="E44" s="104">
        <v>94029.1</v>
      </c>
      <c r="F44" s="185"/>
      <c r="G44" s="102">
        <v>7</v>
      </c>
      <c r="H44" s="102" t="s">
        <v>121</v>
      </c>
      <c r="I44" s="102" t="s">
        <v>85</v>
      </c>
      <c r="J44" s="104">
        <v>38734.300000000003</v>
      </c>
      <c r="K44" s="178"/>
    </row>
    <row r="45" spans="2:11" ht="27" x14ac:dyDescent="0.35">
      <c r="B45" s="102">
        <v>8</v>
      </c>
      <c r="C45" s="102" t="s">
        <v>122</v>
      </c>
      <c r="D45" s="102" t="s">
        <v>85</v>
      </c>
      <c r="E45" s="104">
        <v>165841.5</v>
      </c>
      <c r="F45" s="185"/>
      <c r="G45" s="102">
        <v>8</v>
      </c>
      <c r="H45" s="102" t="s">
        <v>122</v>
      </c>
      <c r="I45" s="102" t="s">
        <v>85</v>
      </c>
      <c r="J45" s="104">
        <v>66310.200000000012</v>
      </c>
      <c r="K45" s="178"/>
    </row>
    <row r="46" spans="2:11" ht="27" x14ac:dyDescent="0.35">
      <c r="B46" s="102">
        <v>9</v>
      </c>
      <c r="C46" s="102" t="s">
        <v>123</v>
      </c>
      <c r="D46" s="102" t="s">
        <v>85</v>
      </c>
      <c r="E46" s="104">
        <v>111982.20000000001</v>
      </c>
      <c r="F46" s="185"/>
      <c r="G46" s="102">
        <v>9</v>
      </c>
      <c r="H46" s="102" t="s">
        <v>123</v>
      </c>
      <c r="I46" s="102" t="s">
        <v>85</v>
      </c>
      <c r="J46" s="104">
        <v>45628.000000000007</v>
      </c>
      <c r="K46" s="178"/>
    </row>
    <row r="47" spans="2:11" ht="27" x14ac:dyDescent="0.35">
      <c r="B47" s="102">
        <v>10</v>
      </c>
      <c r="C47" s="102" t="s">
        <v>124</v>
      </c>
      <c r="D47" s="102" t="s">
        <v>85</v>
      </c>
      <c r="E47" s="104">
        <v>219700.80000000002</v>
      </c>
      <c r="F47" s="185"/>
      <c r="G47" s="102">
        <v>10</v>
      </c>
      <c r="H47" s="102" t="s">
        <v>124</v>
      </c>
      <c r="I47" s="102" t="s">
        <v>85</v>
      </c>
      <c r="J47" s="104">
        <v>86991.3</v>
      </c>
      <c r="K47" s="178"/>
    </row>
    <row r="48" spans="2:11" ht="27" x14ac:dyDescent="0.35">
      <c r="B48" s="102">
        <v>11</v>
      </c>
      <c r="C48" s="102" t="s">
        <v>125</v>
      </c>
      <c r="D48" s="102" t="s">
        <v>85</v>
      </c>
      <c r="E48" s="104">
        <v>363325.60000000003</v>
      </c>
      <c r="F48" s="185"/>
      <c r="G48" s="102">
        <v>11</v>
      </c>
      <c r="H48" s="102" t="s">
        <v>125</v>
      </c>
      <c r="I48" s="102" t="s">
        <v>85</v>
      </c>
      <c r="J48" s="104">
        <v>142143.1</v>
      </c>
      <c r="K48" s="178"/>
    </row>
    <row r="49" spans="2:10" x14ac:dyDescent="0.35">
      <c r="B49" s="94"/>
      <c r="C49" s="95"/>
      <c r="D49" s="94"/>
      <c r="E49" s="96"/>
      <c r="F49" s="97"/>
      <c r="H49" s="184"/>
      <c r="I49" s="184"/>
      <c r="J49" s="101"/>
    </row>
    <row r="50" spans="2:10" x14ac:dyDescent="0.35">
      <c r="B50" s="94"/>
      <c r="C50" s="95"/>
      <c r="D50" s="94"/>
      <c r="E50" s="96"/>
      <c r="H50" s="184"/>
      <c r="I50" s="184"/>
    </row>
    <row r="51" spans="2:10" x14ac:dyDescent="0.35">
      <c r="B51" s="92"/>
      <c r="C51" s="187" t="s">
        <v>126</v>
      </c>
      <c r="D51" s="92" t="s">
        <v>82</v>
      </c>
      <c r="E51" s="92"/>
      <c r="H51" s="184"/>
      <c r="I51" s="184"/>
    </row>
    <row r="52" spans="2:10" x14ac:dyDescent="0.35">
      <c r="B52" s="102">
        <v>1</v>
      </c>
      <c r="C52" s="103" t="s">
        <v>127</v>
      </c>
      <c r="D52" s="102" t="s">
        <v>128</v>
      </c>
      <c r="E52" s="188">
        <v>140.80000000000001</v>
      </c>
      <c r="F52" s="185"/>
      <c r="H52" s="184"/>
      <c r="I52" s="184"/>
    </row>
    <row r="53" spans="2:10" x14ac:dyDescent="0.35">
      <c r="B53" s="102">
        <v>2</v>
      </c>
      <c r="C53" s="103" t="s">
        <v>129</v>
      </c>
      <c r="D53" s="102" t="s">
        <v>130</v>
      </c>
      <c r="E53" s="188">
        <v>140.80000000000001</v>
      </c>
      <c r="F53" s="185"/>
      <c r="H53" s="184"/>
      <c r="I53" s="184"/>
    </row>
    <row r="54" spans="2:10" x14ac:dyDescent="0.35">
      <c r="B54" s="102">
        <v>3</v>
      </c>
      <c r="C54" s="103" t="s">
        <v>131</v>
      </c>
      <c r="D54" s="102" t="s">
        <v>128</v>
      </c>
      <c r="E54" s="188">
        <v>234.3</v>
      </c>
      <c r="F54" s="185"/>
      <c r="H54" s="184"/>
      <c r="I54" s="184"/>
    </row>
    <row r="55" spans="2:10" x14ac:dyDescent="0.35">
      <c r="B55" s="102">
        <v>4</v>
      </c>
      <c r="C55" s="103" t="s">
        <v>132</v>
      </c>
      <c r="D55" s="102" t="s">
        <v>130</v>
      </c>
      <c r="E55" s="188">
        <v>234.3</v>
      </c>
      <c r="F55" s="185"/>
      <c r="H55" s="184"/>
      <c r="I55" s="184"/>
    </row>
    <row r="56" spans="2:10" x14ac:dyDescent="0.35">
      <c r="B56" s="102">
        <v>5</v>
      </c>
      <c r="C56" s="103" t="s">
        <v>133</v>
      </c>
      <c r="D56" s="102" t="s">
        <v>134</v>
      </c>
      <c r="E56" s="188">
        <v>583</v>
      </c>
      <c r="F56" s="185"/>
      <c r="H56" s="184"/>
      <c r="I56" s="184"/>
    </row>
    <row r="57" spans="2:10" x14ac:dyDescent="0.35">
      <c r="B57" s="102">
        <v>6</v>
      </c>
      <c r="C57" s="103" t="s">
        <v>135</v>
      </c>
      <c r="D57" s="102" t="s">
        <v>134</v>
      </c>
      <c r="E57" s="188">
        <v>3029.4</v>
      </c>
      <c r="F57" s="185"/>
      <c r="H57" s="184"/>
      <c r="I57" s="184"/>
    </row>
    <row r="58" spans="2:10" x14ac:dyDescent="0.35">
      <c r="B58" s="102">
        <v>7</v>
      </c>
      <c r="C58" s="103" t="s">
        <v>136</v>
      </c>
      <c r="D58" s="102" t="s">
        <v>137</v>
      </c>
      <c r="E58" s="188">
        <v>5049</v>
      </c>
      <c r="F58" s="185"/>
      <c r="H58" s="184"/>
      <c r="I58" s="184"/>
    </row>
    <row r="59" spans="2:10" ht="27" x14ac:dyDescent="0.35">
      <c r="B59" s="102">
        <v>8</v>
      </c>
      <c r="C59" s="103" t="s">
        <v>138</v>
      </c>
      <c r="D59" s="102" t="s">
        <v>137</v>
      </c>
      <c r="E59" s="188">
        <v>9538.1</v>
      </c>
      <c r="F59" s="185"/>
      <c r="H59" s="184"/>
      <c r="I59" s="184"/>
    </row>
    <row r="60" spans="2:10" x14ac:dyDescent="0.35">
      <c r="B60" s="102">
        <v>9</v>
      </c>
      <c r="C60" s="103" t="s">
        <v>139</v>
      </c>
      <c r="D60" s="102" t="s">
        <v>140</v>
      </c>
      <c r="E60" s="189" t="s">
        <v>141</v>
      </c>
      <c r="F60" s="185"/>
      <c r="H60" s="184"/>
      <c r="I60" s="184"/>
    </row>
    <row r="61" spans="2:10" x14ac:dyDescent="0.35">
      <c r="B61" s="102">
        <v>10</v>
      </c>
      <c r="C61" s="103" t="s">
        <v>142</v>
      </c>
      <c r="D61" s="102" t="s">
        <v>140</v>
      </c>
      <c r="E61" s="189" t="s">
        <v>141</v>
      </c>
      <c r="F61" s="185"/>
      <c r="H61" s="184"/>
      <c r="I61" s="184"/>
    </row>
    <row r="62" spans="2:10" x14ac:dyDescent="0.35">
      <c r="B62" s="102">
        <v>11</v>
      </c>
      <c r="C62" s="103" t="s">
        <v>143</v>
      </c>
      <c r="D62" s="102" t="s">
        <v>140</v>
      </c>
      <c r="E62" s="188">
        <v>2586.1000000000004</v>
      </c>
      <c r="F62" s="185"/>
      <c r="H62" s="184"/>
      <c r="I62" s="184"/>
    </row>
    <row r="63" spans="2:10" x14ac:dyDescent="0.35">
      <c r="B63" s="102">
        <v>12</v>
      </c>
      <c r="C63" s="103" t="s">
        <v>144</v>
      </c>
      <c r="D63" s="102" t="s">
        <v>140</v>
      </c>
      <c r="E63" s="188" t="s">
        <v>141</v>
      </c>
      <c r="F63" s="185"/>
      <c r="H63" s="184"/>
      <c r="I63" s="184"/>
    </row>
    <row r="64" spans="2:10" x14ac:dyDescent="0.35">
      <c r="B64" s="102">
        <v>13</v>
      </c>
      <c r="C64" s="103" t="s">
        <v>145</v>
      </c>
      <c r="D64" s="102" t="s">
        <v>140</v>
      </c>
      <c r="E64" s="189" t="s">
        <v>141</v>
      </c>
      <c r="F64" s="185"/>
      <c r="H64" s="184"/>
      <c r="I64" s="184"/>
    </row>
    <row r="65" spans="2:9" x14ac:dyDescent="0.35">
      <c r="B65" s="102">
        <v>14</v>
      </c>
      <c r="C65" s="103" t="s">
        <v>146</v>
      </c>
      <c r="D65" s="102" t="s">
        <v>147</v>
      </c>
      <c r="E65" s="188">
        <v>19655.900000000001</v>
      </c>
      <c r="F65" s="185"/>
      <c r="H65" s="184"/>
      <c r="I65" s="184"/>
    </row>
    <row r="66" spans="2:9" x14ac:dyDescent="0.35">
      <c r="B66" s="102">
        <v>15</v>
      </c>
      <c r="C66" s="103" t="s">
        <v>148</v>
      </c>
      <c r="D66" s="102" t="s">
        <v>147</v>
      </c>
      <c r="E66" s="188">
        <v>49139.200000000004</v>
      </c>
      <c r="F66" s="185"/>
      <c r="H66" s="184"/>
      <c r="I66" s="184"/>
    </row>
    <row r="67" spans="2:9" x14ac:dyDescent="0.35">
      <c r="B67" s="102">
        <v>16</v>
      </c>
      <c r="C67" s="103" t="s">
        <v>149</v>
      </c>
      <c r="D67" s="102" t="s">
        <v>134</v>
      </c>
      <c r="E67" s="188">
        <v>18962.900000000001</v>
      </c>
      <c r="F67" s="185"/>
      <c r="H67" s="184"/>
      <c r="I67" s="184"/>
    </row>
    <row r="68" spans="2:9" x14ac:dyDescent="0.35">
      <c r="B68" s="102">
        <v>17</v>
      </c>
      <c r="C68" s="103" t="s">
        <v>150</v>
      </c>
      <c r="D68" s="102" t="s">
        <v>134</v>
      </c>
      <c r="E68" s="188">
        <v>70017.200000000012</v>
      </c>
      <c r="F68" s="185"/>
      <c r="H68" s="184"/>
      <c r="I68" s="184"/>
    </row>
    <row r="69" spans="2:9" x14ac:dyDescent="0.35">
      <c r="B69" s="102">
        <v>18</v>
      </c>
      <c r="C69" s="103" t="s">
        <v>151</v>
      </c>
      <c r="D69" s="102" t="s">
        <v>134</v>
      </c>
      <c r="E69" s="188">
        <v>1167.1000000000001</v>
      </c>
      <c r="F69" s="185"/>
      <c r="H69" s="184"/>
      <c r="I69" s="184"/>
    </row>
    <row r="70" spans="2:9" x14ac:dyDescent="0.35">
      <c r="B70" s="102">
        <v>19</v>
      </c>
      <c r="C70" s="103" t="s">
        <v>152</v>
      </c>
      <c r="D70" s="102" t="s">
        <v>153</v>
      </c>
      <c r="E70" s="188" t="s">
        <v>141</v>
      </c>
      <c r="F70" s="185"/>
      <c r="H70" s="184"/>
      <c r="I70" s="184"/>
    </row>
    <row r="71" spans="2:9" x14ac:dyDescent="0.35">
      <c r="B71" s="102">
        <v>20</v>
      </c>
      <c r="C71" s="103" t="s">
        <v>154</v>
      </c>
      <c r="D71" s="102" t="s">
        <v>137</v>
      </c>
      <c r="E71" s="188">
        <v>22262.9</v>
      </c>
      <c r="F71" s="185"/>
      <c r="H71" s="184"/>
      <c r="I71" s="184"/>
    </row>
    <row r="72" spans="2:9" x14ac:dyDescent="0.35">
      <c r="B72" s="102">
        <v>21</v>
      </c>
      <c r="C72" s="106" t="s">
        <v>155</v>
      </c>
      <c r="D72" s="102" t="s">
        <v>85</v>
      </c>
      <c r="E72" s="188">
        <v>701.80000000000007</v>
      </c>
      <c r="F72" s="185"/>
      <c r="H72" s="184"/>
      <c r="I72" s="184"/>
    </row>
    <row r="73" spans="2:9" x14ac:dyDescent="0.35">
      <c r="B73" s="102">
        <v>22</v>
      </c>
      <c r="C73" s="106" t="s">
        <v>156</v>
      </c>
      <c r="D73" s="102" t="s">
        <v>85</v>
      </c>
      <c r="E73" s="188">
        <v>1966.8000000000002</v>
      </c>
      <c r="F73" s="185"/>
      <c r="H73" s="184"/>
      <c r="I73" s="184"/>
    </row>
    <row r="74" spans="2:9" x14ac:dyDescent="0.35">
      <c r="B74" s="102">
        <v>23</v>
      </c>
      <c r="C74" s="106" t="s">
        <v>157</v>
      </c>
      <c r="D74" s="102" t="s">
        <v>158</v>
      </c>
      <c r="E74" s="188">
        <v>1076.9000000000001</v>
      </c>
      <c r="F74" s="185"/>
      <c r="H74" s="184"/>
      <c r="I74" s="184"/>
    </row>
    <row r="75" spans="2:9" x14ac:dyDescent="0.35">
      <c r="B75" s="102">
        <v>24</v>
      </c>
      <c r="C75" s="106" t="s">
        <v>159</v>
      </c>
      <c r="D75" s="102" t="s">
        <v>85</v>
      </c>
      <c r="E75" s="188">
        <v>2467.3000000000002</v>
      </c>
      <c r="F75" s="185"/>
      <c r="H75" s="184"/>
      <c r="I75" s="184"/>
    </row>
    <row r="76" spans="2:9" x14ac:dyDescent="0.35">
      <c r="B76" s="102">
        <v>25</v>
      </c>
      <c r="C76" s="106" t="s">
        <v>160</v>
      </c>
      <c r="D76" s="102" t="s">
        <v>85</v>
      </c>
      <c r="E76" s="188">
        <v>821.7</v>
      </c>
      <c r="F76" s="185"/>
      <c r="H76" s="184"/>
      <c r="I76" s="184"/>
    </row>
    <row r="77" spans="2:9" x14ac:dyDescent="0.35">
      <c r="B77" s="102">
        <v>26</v>
      </c>
      <c r="C77" s="106" t="s">
        <v>161</v>
      </c>
      <c r="D77" s="102" t="s">
        <v>140</v>
      </c>
      <c r="E77" s="188">
        <v>5610</v>
      </c>
      <c r="F77" s="185"/>
      <c r="H77" s="184"/>
      <c r="I77" s="184"/>
    </row>
    <row r="78" spans="2:9" x14ac:dyDescent="0.35">
      <c r="B78" s="102">
        <v>27</v>
      </c>
      <c r="C78" s="103" t="s">
        <v>162</v>
      </c>
      <c r="D78" s="102" t="s">
        <v>140</v>
      </c>
      <c r="E78" s="188">
        <v>336.6</v>
      </c>
      <c r="F78" s="185"/>
      <c r="H78" s="184"/>
      <c r="I78" s="184"/>
    </row>
    <row r="79" spans="2:9" x14ac:dyDescent="0.35">
      <c r="B79" s="102">
        <v>28</v>
      </c>
      <c r="C79" s="103" t="s">
        <v>163</v>
      </c>
      <c r="D79" s="102" t="s">
        <v>85</v>
      </c>
      <c r="E79" s="188">
        <v>23563.100000000002</v>
      </c>
      <c r="F79" s="185"/>
      <c r="H79" s="184"/>
      <c r="I79" s="184"/>
    </row>
    <row r="80" spans="2:9" x14ac:dyDescent="0.35">
      <c r="B80" s="102">
        <v>29</v>
      </c>
      <c r="C80" s="103" t="s">
        <v>164</v>
      </c>
      <c r="D80" s="102" t="s">
        <v>85</v>
      </c>
      <c r="E80" s="188">
        <v>23563.100000000002</v>
      </c>
      <c r="F80" s="185"/>
      <c r="H80" s="184"/>
      <c r="I80" s="184"/>
    </row>
    <row r="81" spans="2:9" x14ac:dyDescent="0.35">
      <c r="B81" s="102">
        <v>30</v>
      </c>
      <c r="C81" s="103" t="s">
        <v>165</v>
      </c>
      <c r="D81" s="102" t="s">
        <v>140</v>
      </c>
      <c r="E81" s="188">
        <v>392.70000000000005</v>
      </c>
      <c r="F81" s="185"/>
      <c r="H81" s="184"/>
      <c r="I81" s="184"/>
    </row>
    <row r="82" spans="2:9" x14ac:dyDescent="0.35">
      <c r="B82" s="102">
        <v>31</v>
      </c>
      <c r="C82" s="103" t="s">
        <v>166</v>
      </c>
      <c r="D82" s="102" t="s">
        <v>140</v>
      </c>
      <c r="E82" s="188">
        <v>309.10000000000002</v>
      </c>
      <c r="F82" s="185"/>
      <c r="H82" s="184"/>
      <c r="I82" s="184"/>
    </row>
    <row r="83" spans="2:9" x14ac:dyDescent="0.35">
      <c r="B83" s="102">
        <v>32</v>
      </c>
      <c r="C83" s="103" t="s">
        <v>167</v>
      </c>
      <c r="D83" s="102" t="s">
        <v>140</v>
      </c>
      <c r="E83" s="188">
        <v>336.6</v>
      </c>
      <c r="F83" s="185"/>
      <c r="H83" s="184"/>
      <c r="I83" s="184"/>
    </row>
    <row r="84" spans="2:9" x14ac:dyDescent="0.35">
      <c r="B84" s="102">
        <v>33</v>
      </c>
      <c r="C84" s="103" t="s">
        <v>168</v>
      </c>
      <c r="D84" s="102" t="s">
        <v>140</v>
      </c>
      <c r="E84" s="188">
        <v>280.5</v>
      </c>
      <c r="F84" s="185"/>
      <c r="H84" s="184"/>
      <c r="I84" s="184"/>
    </row>
    <row r="85" spans="2:9" x14ac:dyDescent="0.35">
      <c r="B85" s="102">
        <v>34</v>
      </c>
      <c r="C85" s="103" t="s">
        <v>169</v>
      </c>
      <c r="D85" s="102" t="s">
        <v>140</v>
      </c>
      <c r="E85" s="188">
        <v>253.00000000000003</v>
      </c>
      <c r="F85" s="185"/>
      <c r="H85" s="184"/>
      <c r="I85" s="184"/>
    </row>
    <row r="86" spans="2:9" x14ac:dyDescent="0.35">
      <c r="B86" s="102">
        <v>35</v>
      </c>
      <c r="C86" s="103" t="s">
        <v>170</v>
      </c>
      <c r="D86" s="102" t="s">
        <v>140</v>
      </c>
      <c r="E86" s="188">
        <v>1346.4</v>
      </c>
      <c r="F86" s="185"/>
      <c r="H86" s="184"/>
      <c r="I86" s="184"/>
    </row>
    <row r="87" spans="2:9" x14ac:dyDescent="0.35">
      <c r="B87" s="102">
        <v>36</v>
      </c>
      <c r="C87" s="103" t="s">
        <v>171</v>
      </c>
      <c r="D87" s="102" t="s">
        <v>140</v>
      </c>
      <c r="E87" s="188">
        <v>1178.1000000000001</v>
      </c>
      <c r="F87" s="185"/>
      <c r="H87" s="184"/>
      <c r="I87" s="184"/>
    </row>
    <row r="88" spans="2:9" x14ac:dyDescent="0.35">
      <c r="B88" s="102">
        <v>37</v>
      </c>
      <c r="C88" s="103" t="s">
        <v>172</v>
      </c>
      <c r="D88" s="102" t="s">
        <v>140</v>
      </c>
      <c r="E88" s="188">
        <v>1309</v>
      </c>
      <c r="F88" s="185"/>
      <c r="H88" s="184"/>
      <c r="I88" s="184"/>
    </row>
    <row r="89" spans="2:9" x14ac:dyDescent="0.35">
      <c r="B89" s="102">
        <v>38</v>
      </c>
      <c r="C89" s="103" t="s">
        <v>173</v>
      </c>
      <c r="D89" s="102" t="s">
        <v>140</v>
      </c>
      <c r="E89" s="188">
        <v>1133</v>
      </c>
      <c r="F89" s="185"/>
      <c r="H89" s="184"/>
      <c r="I89" s="184"/>
    </row>
    <row r="90" spans="2:9" x14ac:dyDescent="0.35">
      <c r="B90" s="102">
        <v>39</v>
      </c>
      <c r="C90" s="103" t="s">
        <v>174</v>
      </c>
      <c r="D90" s="102" t="s">
        <v>140</v>
      </c>
      <c r="E90" s="188">
        <v>1127.5</v>
      </c>
      <c r="F90" s="185"/>
      <c r="H90" s="184"/>
      <c r="I90" s="184"/>
    </row>
    <row r="91" spans="2:9" x14ac:dyDescent="0.35">
      <c r="B91" s="102">
        <v>40</v>
      </c>
      <c r="C91" s="103" t="s">
        <v>175</v>
      </c>
      <c r="D91" s="102" t="s">
        <v>140</v>
      </c>
      <c r="E91" s="188">
        <v>673.2</v>
      </c>
      <c r="F91" s="185"/>
      <c r="H91" s="184"/>
      <c r="I91" s="184"/>
    </row>
    <row r="92" spans="2:9" x14ac:dyDescent="0.35">
      <c r="B92" s="102">
        <v>41</v>
      </c>
      <c r="C92" s="103" t="s">
        <v>176</v>
      </c>
      <c r="D92" s="102" t="s">
        <v>140</v>
      </c>
      <c r="E92" s="188">
        <v>392.70000000000005</v>
      </c>
      <c r="F92" s="185"/>
      <c r="H92" s="184"/>
      <c r="I92" s="184"/>
    </row>
    <row r="93" spans="2:9" x14ac:dyDescent="0.35">
      <c r="B93" s="102">
        <v>42</v>
      </c>
      <c r="C93" s="103" t="s">
        <v>177</v>
      </c>
      <c r="D93" s="102" t="s">
        <v>140</v>
      </c>
      <c r="E93" s="188">
        <v>579.70000000000005</v>
      </c>
      <c r="F93" s="185"/>
      <c r="H93" s="184"/>
      <c r="I93" s="184"/>
    </row>
    <row r="94" spans="2:9" x14ac:dyDescent="0.35">
      <c r="B94" s="102">
        <v>43</v>
      </c>
      <c r="C94" s="103" t="s">
        <v>178</v>
      </c>
      <c r="D94" s="102" t="s">
        <v>140</v>
      </c>
      <c r="E94" s="188">
        <v>320.10000000000002</v>
      </c>
      <c r="F94" s="185"/>
      <c r="H94" s="184"/>
      <c r="I94" s="184"/>
    </row>
    <row r="95" spans="2:9" x14ac:dyDescent="0.35">
      <c r="B95" s="102">
        <v>44</v>
      </c>
      <c r="C95" s="103" t="s">
        <v>179</v>
      </c>
      <c r="D95" s="102" t="s">
        <v>140</v>
      </c>
      <c r="E95" s="188">
        <v>286</v>
      </c>
      <c r="F95" s="185"/>
      <c r="H95" s="184"/>
      <c r="I95" s="184"/>
    </row>
    <row r="96" spans="2:9" x14ac:dyDescent="0.35">
      <c r="B96" s="107"/>
      <c r="C96" s="108"/>
      <c r="D96" s="190"/>
      <c r="E96" s="191"/>
      <c r="H96" s="184"/>
      <c r="I96" s="184"/>
    </row>
    <row r="97" spans="2:10" x14ac:dyDescent="0.35">
      <c r="B97" s="110"/>
      <c r="C97" s="92" t="s">
        <v>180</v>
      </c>
      <c r="D97" s="192"/>
      <c r="E97" s="193"/>
      <c r="H97" s="184"/>
      <c r="I97" s="194"/>
      <c r="J97" s="90"/>
    </row>
    <row r="98" spans="2:10" ht="15" customHeight="1" x14ac:dyDescent="0.35">
      <c r="B98" s="254" t="s">
        <v>181</v>
      </c>
      <c r="C98" s="254"/>
      <c r="D98" s="254"/>
      <c r="E98" s="195"/>
      <c r="H98" s="184"/>
      <c r="I98" s="194"/>
      <c r="J98" s="90"/>
    </row>
    <row r="99" spans="2:10" x14ac:dyDescent="0.35">
      <c r="B99" s="116"/>
      <c r="C99" s="196" t="s">
        <v>182</v>
      </c>
      <c r="D99" s="100" t="s">
        <v>83</v>
      </c>
      <c r="E99" s="197"/>
      <c r="G99" s="111"/>
      <c r="H99" s="184"/>
      <c r="I99" s="194"/>
      <c r="J99" s="90"/>
    </row>
    <row r="100" spans="2:10" x14ac:dyDescent="0.35">
      <c r="B100" s="112">
        <v>1</v>
      </c>
      <c r="C100" s="113" t="s">
        <v>183</v>
      </c>
      <c r="D100" s="112" t="s">
        <v>184</v>
      </c>
      <c r="E100" s="198">
        <v>707.30000000000007</v>
      </c>
      <c r="F100" s="185"/>
      <c r="H100" s="184"/>
      <c r="I100" s="184"/>
    </row>
    <row r="101" spans="2:10" x14ac:dyDescent="0.35">
      <c r="B101" s="112">
        <v>2</v>
      </c>
      <c r="C101" s="113" t="s">
        <v>185</v>
      </c>
      <c r="D101" s="112" t="s">
        <v>186</v>
      </c>
      <c r="E101" s="198">
        <v>4039.2000000000003</v>
      </c>
      <c r="F101" s="185"/>
      <c r="H101" s="184"/>
      <c r="I101" s="184"/>
    </row>
    <row r="102" spans="2:10" x14ac:dyDescent="0.35">
      <c r="B102" s="112">
        <v>3</v>
      </c>
      <c r="C102" s="113" t="s">
        <v>187</v>
      </c>
      <c r="D102" s="112" t="s">
        <v>188</v>
      </c>
      <c r="E102" s="198">
        <v>8078.4000000000005</v>
      </c>
      <c r="F102" s="185"/>
      <c r="H102" s="184"/>
      <c r="I102" s="184"/>
    </row>
    <row r="103" spans="2:10" x14ac:dyDescent="0.35">
      <c r="B103" s="112">
        <v>4</v>
      </c>
      <c r="C103" s="113" t="s">
        <v>189</v>
      </c>
      <c r="D103" s="112" t="s">
        <v>184</v>
      </c>
      <c r="E103" s="198">
        <v>908.6</v>
      </c>
      <c r="F103" s="185"/>
      <c r="H103" s="184"/>
      <c r="I103" s="184"/>
    </row>
    <row r="104" spans="2:10" x14ac:dyDescent="0.35">
      <c r="B104" s="112">
        <v>5</v>
      </c>
      <c r="C104" s="113" t="s">
        <v>190</v>
      </c>
      <c r="D104" s="112" t="s">
        <v>186</v>
      </c>
      <c r="E104" s="198">
        <v>5049</v>
      </c>
      <c r="F104" s="185"/>
      <c r="H104" s="184"/>
      <c r="I104" s="184"/>
    </row>
    <row r="105" spans="2:10" x14ac:dyDescent="0.35">
      <c r="B105" s="112">
        <v>6</v>
      </c>
      <c r="C105" s="113" t="s">
        <v>191</v>
      </c>
      <c r="D105" s="112" t="s">
        <v>188</v>
      </c>
      <c r="E105" s="198">
        <v>10099.1</v>
      </c>
      <c r="F105" s="185"/>
      <c r="H105" s="184"/>
      <c r="I105" s="184"/>
    </row>
    <row r="106" spans="2:10" x14ac:dyDescent="0.35">
      <c r="B106" s="112">
        <v>9</v>
      </c>
      <c r="C106" s="113" t="s">
        <v>192</v>
      </c>
      <c r="D106" s="112" t="s">
        <v>193</v>
      </c>
      <c r="E106" s="198">
        <v>4.4000000000000004</v>
      </c>
      <c r="F106" s="185"/>
      <c r="H106" s="184"/>
      <c r="I106" s="184"/>
    </row>
    <row r="107" spans="2:10" x14ac:dyDescent="0.35">
      <c r="B107" s="112">
        <v>10</v>
      </c>
      <c r="C107" s="113" t="s">
        <v>194</v>
      </c>
      <c r="D107" s="112" t="s">
        <v>193</v>
      </c>
      <c r="E107" s="198">
        <v>8.8000000000000007</v>
      </c>
      <c r="F107" s="185"/>
      <c r="H107" s="184"/>
      <c r="I107" s="184"/>
    </row>
    <row r="108" spans="2:10" x14ac:dyDescent="0.35">
      <c r="B108" s="112">
        <v>11</v>
      </c>
      <c r="C108" s="113" t="s">
        <v>195</v>
      </c>
      <c r="D108" s="112" t="s">
        <v>196</v>
      </c>
      <c r="E108" s="198">
        <v>2244</v>
      </c>
      <c r="F108" s="185"/>
      <c r="H108" s="184"/>
      <c r="I108" s="184"/>
    </row>
    <row r="109" spans="2:10" x14ac:dyDescent="0.35">
      <c r="B109" s="112">
        <v>12</v>
      </c>
      <c r="C109" s="113" t="s">
        <v>197</v>
      </c>
      <c r="D109" s="112" t="s">
        <v>198</v>
      </c>
      <c r="E109" s="198">
        <v>11221.1</v>
      </c>
      <c r="F109" s="185"/>
      <c r="H109" s="184"/>
      <c r="I109" s="184"/>
    </row>
    <row r="110" spans="2:10" x14ac:dyDescent="0.35">
      <c r="B110" s="112">
        <v>13</v>
      </c>
      <c r="C110" s="113" t="s">
        <v>199</v>
      </c>
      <c r="D110" s="112" t="s">
        <v>200</v>
      </c>
      <c r="E110" s="198">
        <v>20106.900000000001</v>
      </c>
      <c r="F110" s="185"/>
      <c r="H110" s="184"/>
      <c r="I110" s="184"/>
    </row>
    <row r="111" spans="2:10" x14ac:dyDescent="0.35">
      <c r="B111" s="112">
        <v>14</v>
      </c>
      <c r="C111" s="113" t="s">
        <v>201</v>
      </c>
      <c r="D111" s="112" t="s">
        <v>202</v>
      </c>
      <c r="E111" s="198">
        <v>100536.70000000001</v>
      </c>
      <c r="F111" s="185"/>
      <c r="H111" s="184"/>
      <c r="I111" s="184"/>
    </row>
    <row r="112" spans="2:10" x14ac:dyDescent="0.35">
      <c r="B112" s="112">
        <v>15</v>
      </c>
      <c r="C112" s="113" t="s">
        <v>203</v>
      </c>
      <c r="D112" s="112" t="s">
        <v>204</v>
      </c>
      <c r="E112" s="198">
        <v>201074.50000000003</v>
      </c>
      <c r="F112" s="185"/>
      <c r="H112" s="184"/>
      <c r="I112" s="184"/>
    </row>
    <row r="113" spans="2:9" x14ac:dyDescent="0.35">
      <c r="B113" s="114"/>
      <c r="C113" s="108"/>
      <c r="D113" s="190"/>
      <c r="E113" s="191"/>
      <c r="H113" s="184"/>
      <c r="I113" s="184"/>
    </row>
    <row r="114" spans="2:9" x14ac:dyDescent="0.35">
      <c r="B114" s="110"/>
      <c r="C114" s="93" t="s">
        <v>205</v>
      </c>
      <c r="D114" s="192"/>
      <c r="E114" s="193"/>
      <c r="H114" s="184"/>
      <c r="I114" s="184"/>
    </row>
    <row r="115" spans="2:9" ht="14.4" customHeight="1" x14ac:dyDescent="0.35">
      <c r="B115" s="109"/>
      <c r="C115" s="100" t="s">
        <v>206</v>
      </c>
      <c r="D115" s="100" t="s">
        <v>82</v>
      </c>
      <c r="E115" s="197"/>
      <c r="H115" s="184"/>
      <c r="I115" s="184"/>
    </row>
    <row r="116" spans="2:9" x14ac:dyDescent="0.35">
      <c r="B116" s="112"/>
      <c r="C116" s="115" t="s">
        <v>207</v>
      </c>
      <c r="D116" s="112"/>
      <c r="E116" s="198"/>
      <c r="H116" s="184"/>
      <c r="I116" s="184"/>
    </row>
    <row r="117" spans="2:9" x14ac:dyDescent="0.35">
      <c r="B117" s="112" t="s">
        <v>208</v>
      </c>
      <c r="C117" s="113" t="s">
        <v>209</v>
      </c>
      <c r="D117" s="112" t="s">
        <v>210</v>
      </c>
      <c r="E117" s="198">
        <v>448.8</v>
      </c>
      <c r="F117" s="185"/>
      <c r="H117" s="184"/>
      <c r="I117" s="184"/>
    </row>
    <row r="118" spans="2:9" x14ac:dyDescent="0.35">
      <c r="B118" s="112" t="s">
        <v>211</v>
      </c>
      <c r="C118" s="113" t="s">
        <v>212</v>
      </c>
      <c r="D118" s="112" t="s">
        <v>70</v>
      </c>
      <c r="E118" s="198">
        <v>785.40000000000009</v>
      </c>
      <c r="F118" s="185"/>
      <c r="H118" s="184"/>
      <c r="I118" s="184"/>
    </row>
    <row r="119" spans="2:9" x14ac:dyDescent="0.35">
      <c r="B119" s="112" t="s">
        <v>213</v>
      </c>
      <c r="C119" s="113" t="s">
        <v>214</v>
      </c>
      <c r="D119" s="112" t="s">
        <v>215</v>
      </c>
      <c r="E119" s="198">
        <v>1458.6000000000001</v>
      </c>
      <c r="F119" s="185"/>
      <c r="H119" s="184"/>
      <c r="I119" s="184"/>
    </row>
    <row r="120" spans="2:9" x14ac:dyDescent="0.35">
      <c r="B120" s="112" t="s">
        <v>216</v>
      </c>
      <c r="C120" s="113" t="s">
        <v>217</v>
      </c>
      <c r="D120" s="112" t="s">
        <v>218</v>
      </c>
      <c r="E120" s="198">
        <v>3366.0000000000005</v>
      </c>
      <c r="F120" s="185"/>
      <c r="H120" s="184"/>
      <c r="I120" s="184"/>
    </row>
    <row r="121" spans="2:9" x14ac:dyDescent="0.35">
      <c r="B121" s="112"/>
      <c r="C121" s="115" t="s">
        <v>219</v>
      </c>
      <c r="D121" s="112"/>
      <c r="E121" s="198"/>
      <c r="F121" s="185"/>
      <c r="H121" s="184"/>
      <c r="I121" s="184"/>
    </row>
    <row r="122" spans="2:9" x14ac:dyDescent="0.35">
      <c r="B122" s="112" t="s">
        <v>208</v>
      </c>
      <c r="C122" s="113" t="s">
        <v>220</v>
      </c>
      <c r="D122" s="112" t="s">
        <v>70</v>
      </c>
      <c r="E122" s="198">
        <v>1890.9</v>
      </c>
      <c r="F122" s="185"/>
      <c r="H122" s="184"/>
      <c r="I122" s="184"/>
    </row>
    <row r="123" spans="2:9" x14ac:dyDescent="0.35">
      <c r="B123" s="112" t="s">
        <v>211</v>
      </c>
      <c r="C123" s="113" t="s">
        <v>214</v>
      </c>
      <c r="D123" s="112" t="s">
        <v>215</v>
      </c>
      <c r="E123" s="198">
        <v>3781.8</v>
      </c>
      <c r="F123" s="185"/>
      <c r="H123" s="184"/>
      <c r="I123" s="184"/>
    </row>
    <row r="124" spans="2:9" x14ac:dyDescent="0.35">
      <c r="B124" s="112" t="s">
        <v>213</v>
      </c>
      <c r="C124" s="113" t="s">
        <v>221</v>
      </c>
      <c r="D124" s="112" t="s">
        <v>218</v>
      </c>
      <c r="E124" s="198">
        <v>9452.3000000000011</v>
      </c>
      <c r="F124" s="185"/>
      <c r="H124" s="184"/>
      <c r="I124" s="184"/>
    </row>
    <row r="125" spans="2:9" x14ac:dyDescent="0.35">
      <c r="B125" s="112" t="s">
        <v>216</v>
      </c>
      <c r="C125" s="113" t="s">
        <v>222</v>
      </c>
      <c r="D125" s="112" t="s">
        <v>223</v>
      </c>
      <c r="E125" s="198">
        <v>19357.800000000003</v>
      </c>
      <c r="F125" s="185"/>
      <c r="H125" s="184"/>
      <c r="I125" s="184"/>
    </row>
    <row r="126" spans="2:9" x14ac:dyDescent="0.35">
      <c r="B126" s="114"/>
      <c r="C126" s="108"/>
      <c r="D126" s="190"/>
      <c r="E126" s="191"/>
      <c r="H126" s="184"/>
      <c r="I126" s="184"/>
    </row>
    <row r="127" spans="2:9" x14ac:dyDescent="0.35">
      <c r="B127" s="91"/>
      <c r="C127" s="92" t="s">
        <v>224</v>
      </c>
      <c r="D127" s="93"/>
      <c r="E127" s="193"/>
      <c r="H127" s="184"/>
      <c r="I127" s="184"/>
    </row>
    <row r="128" spans="2:9" x14ac:dyDescent="0.35">
      <c r="B128" s="255" t="s">
        <v>225</v>
      </c>
      <c r="C128" s="255"/>
      <c r="D128" s="255"/>
      <c r="E128" s="195"/>
      <c r="H128" s="184"/>
      <c r="I128" s="184"/>
    </row>
    <row r="129" spans="2:9" x14ac:dyDescent="0.35">
      <c r="B129" s="116"/>
      <c r="C129" s="117" t="s">
        <v>226</v>
      </c>
      <c r="D129" s="100" t="s">
        <v>82</v>
      </c>
      <c r="E129" s="197"/>
      <c r="H129" s="184"/>
      <c r="I129" s="184"/>
    </row>
    <row r="130" spans="2:9" x14ac:dyDescent="0.35">
      <c r="B130" s="112">
        <v>1</v>
      </c>
      <c r="C130" s="118" t="s">
        <v>227</v>
      </c>
      <c r="D130" s="199" t="s">
        <v>85</v>
      </c>
      <c r="E130" s="198">
        <v>1720.4</v>
      </c>
      <c r="F130" s="185"/>
      <c r="H130" s="184"/>
      <c r="I130" s="184"/>
    </row>
    <row r="131" spans="2:9" x14ac:dyDescent="0.35">
      <c r="B131" s="112">
        <v>2</v>
      </c>
      <c r="C131" s="118" t="s">
        <v>228</v>
      </c>
      <c r="D131" s="199" t="s">
        <v>85</v>
      </c>
      <c r="E131" s="198">
        <v>7804.5000000000009</v>
      </c>
      <c r="F131" s="185"/>
      <c r="H131" s="184"/>
      <c r="I131" s="184"/>
    </row>
    <row r="132" spans="2:9" x14ac:dyDescent="0.35">
      <c r="B132" s="112">
        <v>3</v>
      </c>
      <c r="C132" s="118" t="s">
        <v>229</v>
      </c>
      <c r="D132" s="199" t="s">
        <v>85</v>
      </c>
      <c r="E132" s="198">
        <v>478.50000000000006</v>
      </c>
      <c r="F132" s="185"/>
      <c r="H132" s="184"/>
      <c r="I132" s="184"/>
    </row>
    <row r="133" spans="2:9" x14ac:dyDescent="0.35">
      <c r="B133" s="112">
        <v>4</v>
      </c>
      <c r="C133" s="118" t="s">
        <v>230</v>
      </c>
      <c r="D133" s="199" t="s">
        <v>85</v>
      </c>
      <c r="E133" s="198">
        <v>1346.4</v>
      </c>
      <c r="F133" s="185"/>
      <c r="H133" s="184"/>
      <c r="I133" s="184"/>
    </row>
    <row r="134" spans="2:9" x14ac:dyDescent="0.35">
      <c r="B134" s="112">
        <v>5</v>
      </c>
      <c r="C134" s="118" t="s">
        <v>231</v>
      </c>
      <c r="D134" s="199" t="s">
        <v>85</v>
      </c>
      <c r="E134" s="198">
        <v>3366.0000000000005</v>
      </c>
      <c r="F134" s="185"/>
      <c r="H134" s="184"/>
      <c r="I134" s="184"/>
    </row>
    <row r="135" spans="2:9" x14ac:dyDescent="0.35">
      <c r="B135" s="112">
        <v>6</v>
      </c>
      <c r="C135" s="118" t="s">
        <v>232</v>
      </c>
      <c r="D135" s="199" t="s">
        <v>233</v>
      </c>
      <c r="E135" s="198">
        <v>14348.400000000001</v>
      </c>
      <c r="F135" s="185"/>
      <c r="H135" s="184"/>
      <c r="I135" s="184"/>
    </row>
    <row r="136" spans="2:9" x14ac:dyDescent="0.35">
      <c r="B136" s="112">
        <v>7</v>
      </c>
      <c r="C136" s="118" t="s">
        <v>234</v>
      </c>
      <c r="D136" s="199" t="s">
        <v>85</v>
      </c>
      <c r="E136" s="198">
        <v>3366.0000000000005</v>
      </c>
      <c r="F136" s="185"/>
      <c r="H136" s="184"/>
      <c r="I136" s="184"/>
    </row>
    <row r="137" spans="2:9" x14ac:dyDescent="0.35">
      <c r="B137" s="112">
        <v>8</v>
      </c>
      <c r="C137" s="118" t="s">
        <v>235</v>
      </c>
      <c r="D137" s="199" t="s">
        <v>236</v>
      </c>
      <c r="E137" s="198">
        <v>8751.6</v>
      </c>
      <c r="F137" s="185"/>
      <c r="H137" s="184"/>
      <c r="I137" s="184"/>
    </row>
    <row r="138" spans="2:9" x14ac:dyDescent="0.35">
      <c r="B138" s="112">
        <v>9</v>
      </c>
      <c r="C138" s="118" t="s">
        <v>237</v>
      </c>
      <c r="D138" s="199" t="s">
        <v>236</v>
      </c>
      <c r="E138" s="198">
        <v>39272.200000000004</v>
      </c>
      <c r="F138" s="185"/>
      <c r="H138" s="184"/>
      <c r="I138" s="184"/>
    </row>
    <row r="139" spans="2:9" x14ac:dyDescent="0.35">
      <c r="B139" s="112">
        <v>10</v>
      </c>
      <c r="C139" s="118" t="s">
        <v>238</v>
      </c>
      <c r="D139" s="199" t="s">
        <v>236</v>
      </c>
      <c r="E139" s="198">
        <v>84604.3</v>
      </c>
      <c r="F139" s="185"/>
      <c r="H139" s="184"/>
      <c r="I139" s="184"/>
    </row>
    <row r="140" spans="2:9" x14ac:dyDescent="0.35">
      <c r="B140" s="112">
        <v>11</v>
      </c>
      <c r="C140" s="118" t="s">
        <v>239</v>
      </c>
      <c r="D140" s="199" t="s">
        <v>240</v>
      </c>
      <c r="E140" s="198">
        <v>11782.1</v>
      </c>
      <c r="F140" s="185"/>
      <c r="H140" s="184"/>
      <c r="I140" s="184"/>
    </row>
    <row r="141" spans="2:9" ht="27" x14ac:dyDescent="0.35">
      <c r="B141" s="112">
        <v>12</v>
      </c>
      <c r="C141" s="118" t="s">
        <v>241</v>
      </c>
      <c r="D141" s="199" t="s">
        <v>242</v>
      </c>
      <c r="E141" s="198">
        <v>4039.2000000000003</v>
      </c>
      <c r="F141" s="185"/>
      <c r="H141" s="184"/>
      <c r="I141" s="184"/>
    </row>
    <row r="142" spans="2:9" x14ac:dyDescent="0.35">
      <c r="B142" s="112">
        <v>13</v>
      </c>
      <c r="C142" s="118" t="s">
        <v>243</v>
      </c>
      <c r="D142" s="199" t="s">
        <v>244</v>
      </c>
      <c r="E142" s="198">
        <v>8415</v>
      </c>
      <c r="F142" s="185"/>
      <c r="H142" s="184"/>
      <c r="I142" s="184"/>
    </row>
    <row r="143" spans="2:9" x14ac:dyDescent="0.35">
      <c r="B143" s="116"/>
      <c r="C143" s="119"/>
      <c r="D143" s="117"/>
      <c r="E143" s="195"/>
      <c r="H143" s="184"/>
      <c r="I143" s="184"/>
    </row>
    <row r="144" spans="2:9" x14ac:dyDescent="0.35">
      <c r="B144" s="120"/>
      <c r="C144" s="92" t="s">
        <v>245</v>
      </c>
      <c r="D144" s="93" t="s">
        <v>82</v>
      </c>
      <c r="E144" s="200"/>
      <c r="H144" s="184"/>
      <c r="I144" s="184"/>
    </row>
    <row r="145" spans="2:9" ht="27" x14ac:dyDescent="0.35">
      <c r="B145" s="121">
        <v>1</v>
      </c>
      <c r="C145" s="122" t="s">
        <v>246</v>
      </c>
      <c r="D145" s="201" t="s">
        <v>158</v>
      </c>
      <c r="E145" s="198">
        <v>154</v>
      </c>
      <c r="F145" s="185"/>
      <c r="H145" s="184"/>
      <c r="I145" s="184"/>
    </row>
    <row r="146" spans="2:9" ht="27" x14ac:dyDescent="0.35">
      <c r="B146" s="121">
        <v>2</v>
      </c>
      <c r="C146" s="122" t="s">
        <v>247</v>
      </c>
      <c r="D146" s="201" t="s">
        <v>158</v>
      </c>
      <c r="E146" s="198">
        <v>1777.6000000000001</v>
      </c>
      <c r="F146" s="185"/>
      <c r="H146" s="184"/>
      <c r="I146" s="184"/>
    </row>
    <row r="147" spans="2:9" ht="27" x14ac:dyDescent="0.35">
      <c r="B147" s="121">
        <v>3</v>
      </c>
      <c r="C147" s="122" t="s">
        <v>248</v>
      </c>
      <c r="D147" s="201" t="s">
        <v>158</v>
      </c>
      <c r="E147" s="198">
        <v>815.1</v>
      </c>
      <c r="F147" s="185"/>
      <c r="H147" s="184"/>
      <c r="I147" s="184"/>
    </row>
    <row r="148" spans="2:9" x14ac:dyDescent="0.35">
      <c r="B148" s="114"/>
      <c r="C148" s="108"/>
      <c r="D148" s="190"/>
      <c r="E148" s="195"/>
      <c r="H148" s="184"/>
      <c r="I148" s="184"/>
    </row>
    <row r="149" spans="2:9" x14ac:dyDescent="0.35">
      <c r="B149" s="120"/>
      <c r="C149" s="92" t="s">
        <v>249</v>
      </c>
      <c r="D149" s="93" t="s">
        <v>82</v>
      </c>
      <c r="E149" s="200"/>
      <c r="H149" s="184"/>
      <c r="I149" s="184"/>
    </row>
    <row r="150" spans="2:9" x14ac:dyDescent="0.35">
      <c r="B150" s="121">
        <v>1</v>
      </c>
      <c r="C150" s="122" t="s">
        <v>250</v>
      </c>
      <c r="D150" s="201" t="s">
        <v>85</v>
      </c>
      <c r="E150" s="198">
        <v>16363.600000000002</v>
      </c>
      <c r="F150" s="185"/>
      <c r="H150" s="184"/>
      <c r="I150" s="184"/>
    </row>
    <row r="151" spans="2:9" x14ac:dyDescent="0.35">
      <c r="B151" s="121">
        <v>2</v>
      </c>
      <c r="C151" s="122" t="s">
        <v>251</v>
      </c>
      <c r="D151" s="201" t="s">
        <v>252</v>
      </c>
      <c r="E151" s="198">
        <v>2244</v>
      </c>
      <c r="F151" s="185"/>
      <c r="H151" s="184"/>
      <c r="I151" s="184"/>
    </row>
    <row r="152" spans="2:9" x14ac:dyDescent="0.35">
      <c r="B152" s="121">
        <v>3</v>
      </c>
      <c r="C152" s="122" t="s">
        <v>253</v>
      </c>
      <c r="D152" s="201" t="s">
        <v>85</v>
      </c>
      <c r="E152" s="198">
        <v>14026.1</v>
      </c>
      <c r="F152" s="185"/>
      <c r="H152" s="184"/>
      <c r="I152" s="184"/>
    </row>
    <row r="153" spans="2:9" x14ac:dyDescent="0.35">
      <c r="B153" s="121">
        <v>4</v>
      </c>
      <c r="C153" s="122" t="s">
        <v>254</v>
      </c>
      <c r="D153" s="201" t="s">
        <v>85</v>
      </c>
      <c r="E153" s="198">
        <v>18514.100000000002</v>
      </c>
      <c r="F153" s="185"/>
      <c r="H153" s="184"/>
      <c r="I153" s="184"/>
    </row>
    <row r="154" spans="2:9" x14ac:dyDescent="0.35">
      <c r="B154" s="121">
        <v>5</v>
      </c>
      <c r="C154" s="122" t="s">
        <v>7</v>
      </c>
      <c r="D154" s="201" t="s">
        <v>147</v>
      </c>
      <c r="E154" s="198">
        <v>1346.4</v>
      </c>
      <c r="F154" s="185"/>
      <c r="H154" s="184"/>
      <c r="I154" s="184"/>
    </row>
    <row r="155" spans="2:9" x14ac:dyDescent="0.35">
      <c r="B155" s="121">
        <v>6</v>
      </c>
      <c r="C155" s="122" t="s">
        <v>255</v>
      </c>
      <c r="D155" s="201" t="s">
        <v>147</v>
      </c>
      <c r="E155" s="198">
        <v>336.6</v>
      </c>
      <c r="F155" s="185"/>
      <c r="H155" s="184"/>
      <c r="I155" s="184"/>
    </row>
    <row r="156" spans="2:9" x14ac:dyDescent="0.35">
      <c r="B156" s="121">
        <v>7</v>
      </c>
      <c r="C156" s="122" t="s">
        <v>256</v>
      </c>
      <c r="D156" s="201" t="s">
        <v>85</v>
      </c>
      <c r="E156" s="198">
        <v>9538.1</v>
      </c>
      <c r="F156" s="185"/>
      <c r="H156" s="184"/>
      <c r="I156" s="184"/>
    </row>
    <row r="157" spans="2:9" x14ac:dyDescent="0.35">
      <c r="B157" s="121">
        <v>8</v>
      </c>
      <c r="C157" s="122" t="s">
        <v>257</v>
      </c>
      <c r="D157" s="201" t="s">
        <v>85</v>
      </c>
      <c r="E157" s="198">
        <v>11782.1</v>
      </c>
      <c r="F157" s="185"/>
      <c r="H157" s="184"/>
      <c r="I157" s="184"/>
    </row>
    <row r="158" spans="2:9" ht="27" x14ac:dyDescent="0.35">
      <c r="B158" s="121">
        <v>9</v>
      </c>
      <c r="C158" s="122" t="s">
        <v>476</v>
      </c>
      <c r="D158" s="121" t="s">
        <v>477</v>
      </c>
      <c r="E158" s="198">
        <v>5610</v>
      </c>
      <c r="F158" s="185"/>
      <c r="H158" s="184"/>
      <c r="I158" s="184"/>
    </row>
    <row r="159" spans="2:9" x14ac:dyDescent="0.35">
      <c r="B159" s="121">
        <v>10</v>
      </c>
      <c r="C159" s="122" t="s">
        <v>258</v>
      </c>
      <c r="D159" s="201" t="s">
        <v>252</v>
      </c>
      <c r="E159" s="198">
        <v>5610</v>
      </c>
      <c r="F159" s="185"/>
      <c r="H159" s="184"/>
      <c r="I159" s="184"/>
    </row>
    <row r="160" spans="2:9" x14ac:dyDescent="0.35">
      <c r="B160" s="121">
        <v>11</v>
      </c>
      <c r="C160" s="122" t="s">
        <v>259</v>
      </c>
      <c r="D160" s="201" t="s">
        <v>85</v>
      </c>
      <c r="E160" s="198">
        <v>233.20000000000002</v>
      </c>
      <c r="F160" s="185"/>
      <c r="H160" s="184"/>
      <c r="I160" s="184"/>
    </row>
    <row r="161" spans="2:9" x14ac:dyDescent="0.35">
      <c r="B161" s="121">
        <v>12</v>
      </c>
      <c r="C161" s="122" t="s">
        <v>260</v>
      </c>
      <c r="D161" s="201" t="s">
        <v>85</v>
      </c>
      <c r="E161" s="198">
        <v>841.50000000000011</v>
      </c>
      <c r="F161" s="185"/>
      <c r="H161" s="184"/>
      <c r="I161" s="184"/>
    </row>
    <row r="162" spans="2:9" x14ac:dyDescent="0.35">
      <c r="B162" s="121">
        <v>13</v>
      </c>
      <c r="C162" s="122" t="s">
        <v>261</v>
      </c>
      <c r="D162" s="201" t="s">
        <v>85</v>
      </c>
      <c r="E162" s="198">
        <v>841.50000000000011</v>
      </c>
      <c r="F162" s="185"/>
      <c r="H162" s="184"/>
      <c r="I162" s="184"/>
    </row>
    <row r="163" spans="2:9" x14ac:dyDescent="0.35">
      <c r="B163" s="121">
        <v>14</v>
      </c>
      <c r="C163" s="122" t="s">
        <v>262</v>
      </c>
      <c r="D163" s="201" t="s">
        <v>85</v>
      </c>
      <c r="E163" s="198">
        <v>2524.5</v>
      </c>
      <c r="F163" s="185"/>
      <c r="H163" s="184"/>
      <c r="I163" s="184"/>
    </row>
    <row r="164" spans="2:9" x14ac:dyDescent="0.35">
      <c r="B164" s="121">
        <v>15</v>
      </c>
      <c r="C164" s="122" t="s">
        <v>263</v>
      </c>
      <c r="D164" s="201" t="s">
        <v>85</v>
      </c>
      <c r="E164" s="198">
        <v>1870.0000000000002</v>
      </c>
      <c r="F164" s="185"/>
      <c r="H164" s="184"/>
      <c r="I164" s="184"/>
    </row>
    <row r="165" spans="2:9" x14ac:dyDescent="0.35">
      <c r="B165" s="121">
        <v>16</v>
      </c>
      <c r="C165" s="122" t="s">
        <v>264</v>
      </c>
      <c r="D165" s="201" t="s">
        <v>85</v>
      </c>
      <c r="E165" s="198">
        <v>1215.5</v>
      </c>
      <c r="F165" s="185"/>
      <c r="H165" s="184"/>
      <c r="I165" s="184"/>
    </row>
    <row r="166" spans="2:9" x14ac:dyDescent="0.35">
      <c r="B166" s="121">
        <v>17</v>
      </c>
      <c r="C166" s="122" t="s">
        <v>265</v>
      </c>
      <c r="D166" s="201" t="s">
        <v>85</v>
      </c>
      <c r="E166" s="198">
        <v>2805</v>
      </c>
      <c r="F166" s="185"/>
      <c r="H166" s="184"/>
      <c r="I166" s="184"/>
    </row>
    <row r="167" spans="2:9" x14ac:dyDescent="0.35">
      <c r="B167" s="114"/>
      <c r="C167" s="108"/>
      <c r="D167" s="190"/>
      <c r="E167" s="195"/>
      <c r="H167" s="184"/>
      <c r="I167" s="184"/>
    </row>
    <row r="168" spans="2:9" x14ac:dyDescent="0.35">
      <c r="B168" s="120"/>
      <c r="C168" s="92" t="s">
        <v>266</v>
      </c>
      <c r="D168" s="93" t="s">
        <v>82</v>
      </c>
      <c r="E168" s="200"/>
      <c r="H168" s="184"/>
      <c r="I168" s="184"/>
    </row>
    <row r="169" spans="2:9" x14ac:dyDescent="0.35">
      <c r="B169" s="121">
        <v>1</v>
      </c>
      <c r="C169" s="122" t="s">
        <v>267</v>
      </c>
      <c r="D169" s="201" t="s">
        <v>85</v>
      </c>
      <c r="E169" s="198">
        <v>2805</v>
      </c>
      <c r="F169" s="185"/>
      <c r="H169" s="184"/>
      <c r="I169" s="184"/>
    </row>
    <row r="170" spans="2:9" x14ac:dyDescent="0.35">
      <c r="B170" s="121">
        <v>2</v>
      </c>
      <c r="C170" s="122" t="s">
        <v>268</v>
      </c>
      <c r="D170" s="201" t="s">
        <v>85</v>
      </c>
      <c r="E170" s="198">
        <v>2356.2000000000003</v>
      </c>
      <c r="F170" s="185"/>
      <c r="H170" s="184"/>
      <c r="I170" s="184"/>
    </row>
    <row r="171" spans="2:9" x14ac:dyDescent="0.35">
      <c r="B171" s="121">
        <v>3</v>
      </c>
      <c r="C171" s="122" t="s">
        <v>269</v>
      </c>
      <c r="D171" s="201" t="s">
        <v>85</v>
      </c>
      <c r="E171" s="198">
        <v>14026.1</v>
      </c>
      <c r="F171" s="185"/>
      <c r="H171" s="184"/>
      <c r="I171" s="184"/>
    </row>
    <row r="172" spans="2:9" x14ac:dyDescent="0.35">
      <c r="B172" s="121">
        <v>4</v>
      </c>
      <c r="C172" s="122" t="s">
        <v>270</v>
      </c>
      <c r="D172" s="201" t="s">
        <v>271</v>
      </c>
      <c r="E172" s="198">
        <v>1122</v>
      </c>
      <c r="F172" s="185"/>
      <c r="H172" s="184"/>
      <c r="I172" s="184"/>
    </row>
    <row r="173" spans="2:9" x14ac:dyDescent="0.35">
      <c r="B173" s="121">
        <v>5</v>
      </c>
      <c r="C173" s="122" t="s">
        <v>272</v>
      </c>
      <c r="D173" s="201" t="s">
        <v>85</v>
      </c>
      <c r="E173" s="198">
        <v>1122</v>
      </c>
      <c r="F173" s="185"/>
      <c r="H173" s="184"/>
      <c r="I173" s="184"/>
    </row>
    <row r="174" spans="2:9" x14ac:dyDescent="0.35">
      <c r="B174" s="121">
        <v>6</v>
      </c>
      <c r="C174" s="122" t="s">
        <v>273</v>
      </c>
      <c r="D174" s="201" t="s">
        <v>85</v>
      </c>
      <c r="E174" s="198">
        <v>1122</v>
      </c>
      <c r="F174" s="185"/>
      <c r="H174" s="184"/>
      <c r="I174" s="184"/>
    </row>
    <row r="175" spans="2:9" x14ac:dyDescent="0.35">
      <c r="B175" s="121">
        <v>7</v>
      </c>
      <c r="C175" s="122" t="s">
        <v>274</v>
      </c>
      <c r="D175" s="201" t="s">
        <v>85</v>
      </c>
      <c r="E175" s="198">
        <v>2356.2000000000003</v>
      </c>
      <c r="F175" s="185"/>
      <c r="H175" s="184"/>
      <c r="I175" s="184"/>
    </row>
    <row r="176" spans="2:9" x14ac:dyDescent="0.35">
      <c r="B176" s="121">
        <v>8</v>
      </c>
      <c r="C176" s="122" t="s">
        <v>275</v>
      </c>
      <c r="D176" s="201" t="s">
        <v>8</v>
      </c>
      <c r="E176" s="198">
        <v>6.6000000000000005</v>
      </c>
      <c r="F176" s="185"/>
      <c r="H176" s="184"/>
      <c r="I176" s="184"/>
    </row>
    <row r="177" spans="2:9" x14ac:dyDescent="0.35">
      <c r="B177" s="121">
        <v>9</v>
      </c>
      <c r="C177" s="122" t="s">
        <v>276</v>
      </c>
      <c r="D177" s="201" t="s">
        <v>277</v>
      </c>
      <c r="E177" s="198">
        <v>561</v>
      </c>
      <c r="F177" s="185"/>
      <c r="H177" s="184"/>
      <c r="I177" s="184"/>
    </row>
    <row r="178" spans="2:9" x14ac:dyDescent="0.35">
      <c r="B178" s="121"/>
      <c r="C178" s="122"/>
      <c r="D178" s="201"/>
      <c r="E178" s="198"/>
      <c r="F178" s="185"/>
      <c r="H178" s="184"/>
      <c r="I178" s="184"/>
    </row>
    <row r="179" spans="2:9" x14ac:dyDescent="0.35">
      <c r="B179" s="114"/>
      <c r="C179" s="108"/>
      <c r="D179" s="190"/>
      <c r="E179" s="195"/>
      <c r="H179" s="184"/>
      <c r="I179" s="184"/>
    </row>
    <row r="180" spans="2:9" x14ac:dyDescent="0.35">
      <c r="B180" s="120"/>
      <c r="C180" s="92" t="s">
        <v>278</v>
      </c>
      <c r="D180" s="93" t="s">
        <v>82</v>
      </c>
      <c r="E180" s="200"/>
      <c r="H180" s="184"/>
      <c r="I180" s="184"/>
    </row>
    <row r="181" spans="2:9" x14ac:dyDescent="0.35">
      <c r="B181" s="121">
        <v>1</v>
      </c>
      <c r="C181" s="122" t="s">
        <v>279</v>
      </c>
      <c r="D181" s="201" t="s">
        <v>147</v>
      </c>
      <c r="E181" s="198">
        <v>336.6</v>
      </c>
      <c r="F181" s="185"/>
      <c r="H181" s="184"/>
      <c r="I181" s="184"/>
    </row>
    <row r="182" spans="2:9" x14ac:dyDescent="0.35">
      <c r="B182" s="121">
        <v>2</v>
      </c>
      <c r="C182" s="122" t="s">
        <v>280</v>
      </c>
      <c r="D182" s="201" t="s">
        <v>147</v>
      </c>
      <c r="E182" s="198">
        <v>1683.0000000000002</v>
      </c>
      <c r="F182" s="185"/>
      <c r="H182" s="184"/>
      <c r="I182" s="184"/>
    </row>
    <row r="183" spans="2:9" x14ac:dyDescent="0.35">
      <c r="B183" s="121">
        <v>3</v>
      </c>
      <c r="C183" s="122" t="s">
        <v>281</v>
      </c>
      <c r="D183" s="201" t="s">
        <v>244</v>
      </c>
      <c r="E183" s="198">
        <v>1683.0000000000002</v>
      </c>
      <c r="F183" s="185"/>
      <c r="H183" s="184"/>
      <c r="I183" s="184"/>
    </row>
    <row r="184" spans="2:9" x14ac:dyDescent="0.35">
      <c r="B184" s="121">
        <v>4</v>
      </c>
      <c r="C184" s="122" t="s">
        <v>282</v>
      </c>
      <c r="D184" s="201" t="s">
        <v>147</v>
      </c>
      <c r="E184" s="198">
        <v>112.2</v>
      </c>
      <c r="F184" s="185"/>
      <c r="H184" s="184"/>
      <c r="I184" s="184"/>
    </row>
    <row r="185" spans="2:9" x14ac:dyDescent="0.35">
      <c r="B185" s="121">
        <v>5</v>
      </c>
      <c r="C185" s="122" t="s">
        <v>283</v>
      </c>
      <c r="D185" s="201" t="s">
        <v>284</v>
      </c>
      <c r="E185" s="198">
        <v>6171.0000000000009</v>
      </c>
      <c r="F185" s="185"/>
      <c r="H185" s="184"/>
      <c r="I185" s="184"/>
    </row>
    <row r="186" spans="2:9" x14ac:dyDescent="0.35">
      <c r="B186" s="121">
        <v>6</v>
      </c>
      <c r="C186" s="122" t="s">
        <v>285</v>
      </c>
      <c r="D186" s="201" t="s">
        <v>158</v>
      </c>
      <c r="E186" s="198">
        <v>673.2</v>
      </c>
      <c r="F186" s="185"/>
      <c r="H186" s="184"/>
      <c r="I186" s="184"/>
    </row>
    <row r="187" spans="2:9" x14ac:dyDescent="0.35">
      <c r="B187" s="121">
        <v>7</v>
      </c>
      <c r="C187" s="122" t="s">
        <v>286</v>
      </c>
      <c r="D187" s="201" t="s">
        <v>85</v>
      </c>
      <c r="E187" s="198">
        <v>1683.0000000000002</v>
      </c>
      <c r="F187" s="185"/>
      <c r="H187" s="184"/>
      <c r="I187" s="184"/>
    </row>
    <row r="188" spans="2:9" x14ac:dyDescent="0.35">
      <c r="B188" s="121">
        <v>8</v>
      </c>
      <c r="C188" s="122" t="s">
        <v>287</v>
      </c>
      <c r="D188" s="201" t="s">
        <v>288</v>
      </c>
      <c r="E188" s="198">
        <v>3366.0000000000005</v>
      </c>
      <c r="F188" s="185"/>
      <c r="H188" s="184"/>
      <c r="I188" s="184"/>
    </row>
    <row r="189" spans="2:9" x14ac:dyDescent="0.35">
      <c r="B189" s="121">
        <v>9</v>
      </c>
      <c r="C189" s="122" t="s">
        <v>289</v>
      </c>
      <c r="D189" s="201" t="s">
        <v>288</v>
      </c>
      <c r="E189" s="198">
        <v>8415</v>
      </c>
      <c r="F189" s="185"/>
      <c r="H189" s="184"/>
      <c r="I189" s="184"/>
    </row>
    <row r="190" spans="2:9" x14ac:dyDescent="0.35">
      <c r="B190" s="121">
        <v>10</v>
      </c>
      <c r="C190" s="122" t="s">
        <v>290</v>
      </c>
      <c r="D190" s="201" t="s">
        <v>288</v>
      </c>
      <c r="E190" s="198">
        <v>3366.0000000000005</v>
      </c>
      <c r="F190" s="185"/>
      <c r="H190" s="184"/>
      <c r="I190" s="184"/>
    </row>
    <row r="191" spans="2:9" x14ac:dyDescent="0.35">
      <c r="B191" s="121">
        <v>11</v>
      </c>
      <c r="C191" s="122" t="s">
        <v>291</v>
      </c>
      <c r="D191" s="201" t="s">
        <v>288</v>
      </c>
      <c r="E191" s="198">
        <v>8415</v>
      </c>
      <c r="F191" s="185"/>
      <c r="H191" s="184"/>
      <c r="I191" s="184"/>
    </row>
    <row r="192" spans="2:9" x14ac:dyDescent="0.35">
      <c r="B192" s="121">
        <v>12</v>
      </c>
      <c r="C192" s="122" t="s">
        <v>292</v>
      </c>
      <c r="D192" s="201" t="s">
        <v>288</v>
      </c>
      <c r="E192" s="198">
        <v>3366.0000000000005</v>
      </c>
      <c r="F192" s="185"/>
      <c r="H192" s="184"/>
      <c r="I192" s="184"/>
    </row>
    <row r="193" spans="2:9" x14ac:dyDescent="0.35">
      <c r="B193" s="121">
        <v>13</v>
      </c>
      <c r="C193" s="122" t="s">
        <v>293</v>
      </c>
      <c r="D193" s="201" t="s">
        <v>288</v>
      </c>
      <c r="E193" s="198">
        <v>6171.0000000000009</v>
      </c>
      <c r="F193" s="185"/>
      <c r="H193" s="184"/>
      <c r="I193" s="184"/>
    </row>
    <row r="194" spans="2:9" x14ac:dyDescent="0.35">
      <c r="B194" s="121">
        <v>14</v>
      </c>
      <c r="C194" s="122" t="s">
        <v>294</v>
      </c>
      <c r="D194" s="201" t="s">
        <v>288</v>
      </c>
      <c r="E194" s="198">
        <v>3366.0000000000005</v>
      </c>
      <c r="F194" s="185"/>
      <c r="H194" s="184"/>
      <c r="I194" s="184"/>
    </row>
    <row r="195" spans="2:9" x14ac:dyDescent="0.35">
      <c r="B195" s="121">
        <v>15</v>
      </c>
      <c r="C195" s="122" t="s">
        <v>295</v>
      </c>
      <c r="D195" s="201" t="s">
        <v>288</v>
      </c>
      <c r="E195" s="198">
        <v>8415</v>
      </c>
      <c r="F195" s="185"/>
      <c r="H195" s="184"/>
      <c r="I195" s="184"/>
    </row>
    <row r="196" spans="2:9" x14ac:dyDescent="0.35">
      <c r="B196" s="121">
        <v>16</v>
      </c>
      <c r="C196" s="122" t="s">
        <v>296</v>
      </c>
      <c r="D196" s="201" t="s">
        <v>288</v>
      </c>
      <c r="E196" s="198">
        <v>3366.0000000000005</v>
      </c>
      <c r="F196" s="185"/>
      <c r="H196" s="184"/>
      <c r="I196" s="184"/>
    </row>
    <row r="197" spans="2:9" x14ac:dyDescent="0.35">
      <c r="B197" s="121">
        <v>17</v>
      </c>
      <c r="C197" s="122" t="s">
        <v>297</v>
      </c>
      <c r="D197" s="201" t="s">
        <v>288</v>
      </c>
      <c r="E197" s="198">
        <v>8415</v>
      </c>
      <c r="F197" s="185"/>
      <c r="H197" s="184"/>
      <c r="I197" s="184"/>
    </row>
    <row r="198" spans="2:9" x14ac:dyDescent="0.35">
      <c r="B198" s="121">
        <v>18</v>
      </c>
      <c r="C198" s="122" t="s">
        <v>298</v>
      </c>
      <c r="D198" s="201" t="s">
        <v>288</v>
      </c>
      <c r="E198" s="198">
        <v>3366.0000000000005</v>
      </c>
      <c r="F198" s="185"/>
      <c r="H198" s="184"/>
      <c r="I198" s="184"/>
    </row>
    <row r="199" spans="2:9" x14ac:dyDescent="0.35">
      <c r="B199" s="121">
        <v>19</v>
      </c>
      <c r="C199" s="122" t="s">
        <v>299</v>
      </c>
      <c r="D199" s="201" t="s">
        <v>288</v>
      </c>
      <c r="E199" s="198">
        <v>8415</v>
      </c>
      <c r="F199" s="185"/>
      <c r="H199" s="184"/>
      <c r="I199" s="184"/>
    </row>
    <row r="200" spans="2:9" x14ac:dyDescent="0.35">
      <c r="B200" s="121">
        <v>20</v>
      </c>
      <c r="C200" s="122" t="s">
        <v>300</v>
      </c>
      <c r="D200" s="201" t="s">
        <v>140</v>
      </c>
      <c r="E200" s="198">
        <v>1683.0000000000002</v>
      </c>
      <c r="F200" s="185"/>
      <c r="H200" s="184"/>
      <c r="I200" s="184"/>
    </row>
    <row r="201" spans="2:9" x14ac:dyDescent="0.35">
      <c r="B201" s="121">
        <v>21</v>
      </c>
      <c r="C201" s="122" t="s">
        <v>301</v>
      </c>
      <c r="D201" s="201" t="s">
        <v>85</v>
      </c>
      <c r="E201" s="198">
        <v>28052.2</v>
      </c>
      <c r="F201" s="185"/>
      <c r="H201" s="184"/>
      <c r="I201" s="184"/>
    </row>
    <row r="202" spans="2:9" x14ac:dyDescent="0.35">
      <c r="B202" s="121">
        <v>22</v>
      </c>
      <c r="C202" s="122" t="s">
        <v>302</v>
      </c>
      <c r="D202" s="201" t="s">
        <v>85</v>
      </c>
      <c r="E202" s="198">
        <v>22441.100000000002</v>
      </c>
      <c r="F202" s="185"/>
      <c r="H202" s="184"/>
      <c r="I202" s="184"/>
    </row>
    <row r="203" spans="2:9" x14ac:dyDescent="0.35">
      <c r="B203" s="121">
        <v>23</v>
      </c>
      <c r="C203" s="122" t="s">
        <v>303</v>
      </c>
      <c r="D203" s="201" t="s">
        <v>85</v>
      </c>
      <c r="E203" s="198">
        <v>14026.1</v>
      </c>
      <c r="F203" s="185"/>
      <c r="H203" s="184"/>
      <c r="I203" s="184"/>
    </row>
    <row r="204" spans="2:9" x14ac:dyDescent="0.35">
      <c r="B204" s="121">
        <v>24</v>
      </c>
      <c r="C204" s="122" t="s">
        <v>304</v>
      </c>
      <c r="D204" s="201" t="s">
        <v>85</v>
      </c>
      <c r="E204" s="198">
        <v>5049</v>
      </c>
      <c r="F204" s="185"/>
      <c r="H204" s="184"/>
      <c r="I204" s="184"/>
    </row>
    <row r="205" spans="2:9" x14ac:dyDescent="0.35">
      <c r="B205" s="121">
        <v>25</v>
      </c>
      <c r="C205" s="122" t="s">
        <v>281</v>
      </c>
      <c r="D205" s="201" t="s">
        <v>85</v>
      </c>
      <c r="E205" s="198">
        <v>1683.0000000000002</v>
      </c>
      <c r="F205" s="185"/>
      <c r="H205" s="184"/>
      <c r="I205" s="184"/>
    </row>
    <row r="206" spans="2:9" x14ac:dyDescent="0.35">
      <c r="B206" s="121">
        <v>26</v>
      </c>
      <c r="C206" s="122" t="s">
        <v>305</v>
      </c>
      <c r="D206" s="201" t="s">
        <v>85</v>
      </c>
      <c r="E206" s="198">
        <v>8415</v>
      </c>
      <c r="F206" s="185"/>
      <c r="H206" s="184"/>
      <c r="I206" s="184"/>
    </row>
    <row r="207" spans="2:9" x14ac:dyDescent="0.35">
      <c r="B207" s="121">
        <v>27</v>
      </c>
      <c r="C207" s="122" t="s">
        <v>306</v>
      </c>
      <c r="D207" s="201" t="s">
        <v>307</v>
      </c>
      <c r="E207" s="198">
        <v>3366.0000000000005</v>
      </c>
      <c r="F207" s="185"/>
      <c r="H207" s="184"/>
      <c r="I207" s="184"/>
    </row>
    <row r="208" spans="2:9" x14ac:dyDescent="0.35">
      <c r="B208" s="121">
        <v>28</v>
      </c>
      <c r="C208" s="122" t="s">
        <v>308</v>
      </c>
      <c r="D208" s="201" t="s">
        <v>307</v>
      </c>
      <c r="E208" s="198">
        <v>14026.1</v>
      </c>
      <c r="F208" s="185"/>
      <c r="H208" s="184"/>
      <c r="I208" s="184"/>
    </row>
    <row r="209" spans="2:9" x14ac:dyDescent="0.35">
      <c r="B209" s="121">
        <v>29</v>
      </c>
      <c r="C209" s="122" t="s">
        <v>309</v>
      </c>
      <c r="D209" s="201" t="s">
        <v>85</v>
      </c>
      <c r="E209" s="198">
        <v>1683.0000000000002</v>
      </c>
      <c r="F209" s="185"/>
      <c r="H209" s="184"/>
      <c r="I209" s="184"/>
    </row>
    <row r="210" spans="2:9" x14ac:dyDescent="0.35">
      <c r="B210" s="121">
        <v>30</v>
      </c>
      <c r="C210" s="122" t="s">
        <v>310</v>
      </c>
      <c r="D210" s="201" t="s">
        <v>85</v>
      </c>
      <c r="E210" s="198">
        <v>1683.0000000000002</v>
      </c>
      <c r="F210" s="185"/>
      <c r="H210" s="184"/>
      <c r="I210" s="184"/>
    </row>
    <row r="211" spans="2:9" x14ac:dyDescent="0.35">
      <c r="B211" s="121">
        <v>31</v>
      </c>
      <c r="C211" s="122" t="s">
        <v>311</v>
      </c>
      <c r="D211" s="201" t="s">
        <v>85</v>
      </c>
      <c r="E211" s="198">
        <v>2244</v>
      </c>
      <c r="F211" s="185"/>
      <c r="H211" s="184"/>
      <c r="I211" s="184"/>
    </row>
    <row r="212" spans="2:9" x14ac:dyDescent="0.35">
      <c r="B212" s="121">
        <v>32</v>
      </c>
      <c r="C212" s="122" t="s">
        <v>312</v>
      </c>
      <c r="D212" s="201" t="s">
        <v>313</v>
      </c>
      <c r="E212" s="198">
        <v>3927.0000000000005</v>
      </c>
      <c r="F212" s="185"/>
      <c r="H212" s="184"/>
      <c r="I212" s="184"/>
    </row>
    <row r="213" spans="2:9" x14ac:dyDescent="0.35">
      <c r="D213" s="184"/>
      <c r="E213" s="202"/>
      <c r="H213" s="184"/>
      <c r="I213" s="184"/>
    </row>
    <row r="214" spans="2:9" x14ac:dyDescent="0.35">
      <c r="B214" s="114"/>
      <c r="C214" s="108"/>
      <c r="D214" s="190"/>
      <c r="E214" s="195"/>
      <c r="H214" s="184"/>
      <c r="I214" s="184"/>
    </row>
    <row r="215" spans="2:9" x14ac:dyDescent="0.35">
      <c r="B215" s="120"/>
      <c r="C215" s="92" t="s">
        <v>314</v>
      </c>
      <c r="D215" s="93" t="s">
        <v>82</v>
      </c>
      <c r="E215" s="203"/>
      <c r="H215" s="184"/>
      <c r="I215" s="184"/>
    </row>
    <row r="216" spans="2:9" x14ac:dyDescent="0.35">
      <c r="B216" s="123">
        <v>1</v>
      </c>
      <c r="C216" s="124" t="s">
        <v>315</v>
      </c>
      <c r="D216" s="204" t="s">
        <v>6</v>
      </c>
      <c r="E216" s="205">
        <v>1629.1000000000001</v>
      </c>
      <c r="F216" s="185"/>
      <c r="H216" s="184"/>
      <c r="I216" s="184"/>
    </row>
    <row r="217" spans="2:9" x14ac:dyDescent="0.35">
      <c r="B217" s="123">
        <v>2</v>
      </c>
      <c r="C217" s="124" t="s">
        <v>316</v>
      </c>
      <c r="D217" s="204" t="s">
        <v>6</v>
      </c>
      <c r="E217" s="205">
        <v>4887.3</v>
      </c>
      <c r="F217" s="185"/>
      <c r="H217" s="184"/>
      <c r="I217" s="184"/>
    </row>
    <row r="218" spans="2:9" x14ac:dyDescent="0.35">
      <c r="B218" s="123">
        <v>3</v>
      </c>
      <c r="C218" s="124" t="s">
        <v>317</v>
      </c>
      <c r="D218" s="204" t="s">
        <v>6</v>
      </c>
      <c r="E218" s="205">
        <v>3927.0000000000005</v>
      </c>
      <c r="F218" s="185"/>
      <c r="H218" s="184"/>
      <c r="I218" s="184"/>
    </row>
    <row r="219" spans="2:9" x14ac:dyDescent="0.35">
      <c r="B219" s="123">
        <v>4</v>
      </c>
      <c r="C219" s="124" t="s">
        <v>318</v>
      </c>
      <c r="D219" s="204" t="s">
        <v>6</v>
      </c>
      <c r="E219" s="205">
        <v>11782.1</v>
      </c>
      <c r="F219" s="185"/>
      <c r="H219" s="184"/>
      <c r="I219" s="184"/>
    </row>
    <row r="220" spans="2:9" x14ac:dyDescent="0.35">
      <c r="B220" s="123"/>
      <c r="C220" s="124"/>
      <c r="D220" s="204"/>
      <c r="E220" s="205"/>
      <c r="F220" s="185"/>
      <c r="H220" s="184"/>
      <c r="I220" s="184"/>
    </row>
    <row r="221" spans="2:9" x14ac:dyDescent="0.35">
      <c r="B221" s="206">
        <v>5</v>
      </c>
      <c r="C221" s="124" t="s">
        <v>319</v>
      </c>
      <c r="D221" s="204"/>
      <c r="E221" s="205"/>
      <c r="F221" s="185"/>
      <c r="H221" s="184"/>
      <c r="I221" s="184"/>
    </row>
    <row r="222" spans="2:9" x14ac:dyDescent="0.35">
      <c r="B222" s="123">
        <v>5.0999999999999996</v>
      </c>
      <c r="C222" s="125" t="s">
        <v>320</v>
      </c>
      <c r="D222" s="204" t="s">
        <v>85</v>
      </c>
      <c r="E222" s="205">
        <v>2934.8</v>
      </c>
      <c r="F222" s="185"/>
      <c r="H222" s="184"/>
      <c r="I222" s="184"/>
    </row>
    <row r="223" spans="2:9" x14ac:dyDescent="0.35">
      <c r="B223" s="123">
        <v>5.2</v>
      </c>
      <c r="C223" s="125" t="s">
        <v>321</v>
      </c>
      <c r="D223" s="204" t="s">
        <v>85</v>
      </c>
      <c r="E223" s="205">
        <v>3366.0000000000005</v>
      </c>
      <c r="F223" s="185"/>
      <c r="H223" s="184"/>
      <c r="I223" s="184"/>
    </row>
    <row r="224" spans="2:9" x14ac:dyDescent="0.35">
      <c r="B224" s="123">
        <v>5.3</v>
      </c>
      <c r="C224" s="125" t="s">
        <v>322</v>
      </c>
      <c r="D224" s="204" t="s">
        <v>85</v>
      </c>
      <c r="E224" s="205">
        <v>3581.6000000000004</v>
      </c>
      <c r="F224" s="185"/>
      <c r="H224" s="184"/>
      <c r="I224" s="184"/>
    </row>
    <row r="225" spans="2:9" x14ac:dyDescent="0.35">
      <c r="B225" s="123">
        <v>5.4</v>
      </c>
      <c r="C225" s="125" t="s">
        <v>323</v>
      </c>
      <c r="D225" s="204" t="s">
        <v>85</v>
      </c>
      <c r="E225" s="205">
        <v>4442.9000000000005</v>
      </c>
      <c r="F225" s="185"/>
      <c r="H225" s="184"/>
      <c r="I225" s="184"/>
    </row>
    <row r="226" spans="2:9" x14ac:dyDescent="0.35">
      <c r="B226" s="123">
        <v>5.5</v>
      </c>
      <c r="C226" s="125" t="s">
        <v>324</v>
      </c>
      <c r="D226" s="204" t="s">
        <v>85</v>
      </c>
      <c r="E226" s="205">
        <v>5305.3</v>
      </c>
      <c r="F226" s="185"/>
      <c r="H226" s="184"/>
      <c r="I226" s="184"/>
    </row>
    <row r="227" spans="2:9" x14ac:dyDescent="0.35">
      <c r="B227" s="123">
        <v>5.6</v>
      </c>
      <c r="C227" s="125" t="s">
        <v>325</v>
      </c>
      <c r="D227" s="204" t="s">
        <v>85</v>
      </c>
      <c r="E227" s="205">
        <v>6166.6</v>
      </c>
      <c r="F227" s="185"/>
      <c r="H227" s="184"/>
      <c r="I227" s="184"/>
    </row>
    <row r="228" spans="2:9" x14ac:dyDescent="0.35">
      <c r="B228" s="123">
        <v>5.7</v>
      </c>
      <c r="C228" s="125" t="s">
        <v>326</v>
      </c>
      <c r="D228" s="204" t="s">
        <v>85</v>
      </c>
      <c r="E228" s="205">
        <v>4228.4000000000005</v>
      </c>
      <c r="F228" s="185"/>
      <c r="H228" s="184"/>
      <c r="I228" s="184"/>
    </row>
    <row r="229" spans="2:9" x14ac:dyDescent="0.35">
      <c r="B229" s="123">
        <v>5.8</v>
      </c>
      <c r="C229" s="125" t="s">
        <v>327</v>
      </c>
      <c r="D229" s="204" t="s">
        <v>85</v>
      </c>
      <c r="E229" s="205">
        <v>5520.9000000000005</v>
      </c>
      <c r="F229" s="185"/>
      <c r="H229" s="184"/>
      <c r="I229" s="184"/>
    </row>
    <row r="230" spans="2:9" x14ac:dyDescent="0.35">
      <c r="B230" s="123">
        <v>5.9</v>
      </c>
      <c r="C230" s="125" t="s">
        <v>328</v>
      </c>
      <c r="D230" s="204" t="s">
        <v>85</v>
      </c>
      <c r="E230" s="205">
        <v>6382.2000000000007</v>
      </c>
      <c r="F230" s="185"/>
      <c r="H230" s="184"/>
      <c r="I230" s="184"/>
    </row>
    <row r="231" spans="2:9" x14ac:dyDescent="0.35">
      <c r="B231" s="126">
        <v>5.0999999999999996</v>
      </c>
      <c r="C231" s="125" t="s">
        <v>329</v>
      </c>
      <c r="D231" s="204" t="s">
        <v>85</v>
      </c>
      <c r="E231" s="205">
        <v>4874.1000000000004</v>
      </c>
      <c r="F231" s="185"/>
      <c r="H231" s="184"/>
      <c r="I231" s="184"/>
    </row>
    <row r="232" spans="2:9" x14ac:dyDescent="0.35">
      <c r="B232" s="126">
        <v>5.1100000000000003</v>
      </c>
      <c r="C232" s="125" t="s">
        <v>330</v>
      </c>
      <c r="D232" s="204" t="s">
        <v>85</v>
      </c>
      <c r="E232" s="205">
        <v>6597.8</v>
      </c>
      <c r="F232" s="185"/>
      <c r="H232" s="184"/>
      <c r="I232" s="184"/>
    </row>
    <row r="233" spans="2:9" x14ac:dyDescent="0.35">
      <c r="B233" s="123">
        <v>5.12</v>
      </c>
      <c r="C233" s="125" t="s">
        <v>331</v>
      </c>
      <c r="D233" s="204" t="s">
        <v>85</v>
      </c>
      <c r="E233" s="205">
        <v>9182.8000000000011</v>
      </c>
      <c r="F233" s="185"/>
      <c r="H233" s="184"/>
      <c r="I233" s="184"/>
    </row>
    <row r="234" spans="2:9" x14ac:dyDescent="0.35">
      <c r="B234" s="126">
        <v>5.13</v>
      </c>
      <c r="C234" s="125" t="s">
        <v>332</v>
      </c>
      <c r="D234" s="204" t="s">
        <v>85</v>
      </c>
      <c r="E234" s="205">
        <v>10045.200000000001</v>
      </c>
      <c r="F234" s="185"/>
      <c r="H234" s="184"/>
      <c r="I234" s="184"/>
    </row>
    <row r="235" spans="2:9" x14ac:dyDescent="0.35">
      <c r="B235" s="126">
        <v>5.14</v>
      </c>
      <c r="C235" s="125" t="s">
        <v>333</v>
      </c>
      <c r="D235" s="204" t="s">
        <v>85</v>
      </c>
      <c r="E235" s="205">
        <v>16938.900000000001</v>
      </c>
      <c r="F235" s="185"/>
      <c r="H235" s="184"/>
      <c r="I235" s="184"/>
    </row>
    <row r="236" spans="2:9" x14ac:dyDescent="0.35">
      <c r="B236" s="123">
        <v>5.15</v>
      </c>
      <c r="C236" s="125" t="s">
        <v>334</v>
      </c>
      <c r="D236" s="204" t="s">
        <v>85</v>
      </c>
      <c r="E236" s="205">
        <v>30726.300000000003</v>
      </c>
      <c r="F236" s="185"/>
      <c r="H236" s="184"/>
      <c r="I236" s="184"/>
    </row>
    <row r="237" spans="2:9" x14ac:dyDescent="0.35">
      <c r="B237" s="126">
        <v>5.16</v>
      </c>
      <c r="C237" s="125" t="s">
        <v>335</v>
      </c>
      <c r="D237" s="204" t="s">
        <v>85</v>
      </c>
      <c r="E237" s="205">
        <v>5951.0000000000009</v>
      </c>
      <c r="F237" s="185"/>
      <c r="H237" s="184"/>
      <c r="I237" s="184"/>
    </row>
    <row r="238" spans="2:9" x14ac:dyDescent="0.35">
      <c r="B238" s="126">
        <v>5.17</v>
      </c>
      <c r="C238" s="125" t="s">
        <v>336</v>
      </c>
      <c r="D238" s="204" t="s">
        <v>85</v>
      </c>
      <c r="E238" s="205">
        <v>6813.4000000000005</v>
      </c>
      <c r="F238" s="185"/>
      <c r="H238" s="184"/>
      <c r="I238" s="184"/>
    </row>
    <row r="239" spans="2:9" x14ac:dyDescent="0.35">
      <c r="B239" s="123">
        <v>5.1800000000000104</v>
      </c>
      <c r="C239" s="125" t="s">
        <v>337</v>
      </c>
      <c r="D239" s="204" t="s">
        <v>85</v>
      </c>
      <c r="E239" s="205">
        <v>4874.1000000000004</v>
      </c>
      <c r="F239" s="185"/>
      <c r="H239" s="184"/>
      <c r="I239" s="184"/>
    </row>
    <row r="240" spans="2:9" x14ac:dyDescent="0.35">
      <c r="B240" s="126">
        <v>5.1900000000000102</v>
      </c>
      <c r="C240" s="125" t="s">
        <v>338</v>
      </c>
      <c r="D240" s="204" t="s">
        <v>85</v>
      </c>
      <c r="E240" s="205">
        <v>5305.3</v>
      </c>
      <c r="F240" s="185"/>
      <c r="H240" s="184"/>
      <c r="I240" s="184"/>
    </row>
    <row r="241" spans="2:9" x14ac:dyDescent="0.35">
      <c r="B241" s="126">
        <v>5.2000000000000099</v>
      </c>
      <c r="C241" s="125" t="s">
        <v>339</v>
      </c>
      <c r="D241" s="204" t="s">
        <v>85</v>
      </c>
      <c r="E241" s="205">
        <v>7029.0000000000009</v>
      </c>
      <c r="F241" s="185"/>
      <c r="H241" s="184"/>
      <c r="I241" s="184"/>
    </row>
    <row r="242" spans="2:9" x14ac:dyDescent="0.35">
      <c r="B242" s="123">
        <v>5.2100000000000097</v>
      </c>
      <c r="C242" s="125" t="s">
        <v>340</v>
      </c>
      <c r="D242" s="204" t="s">
        <v>85</v>
      </c>
      <c r="E242" s="205">
        <v>8751.6</v>
      </c>
      <c r="F242" s="185"/>
      <c r="H242" s="184"/>
      <c r="I242" s="184"/>
    </row>
    <row r="243" spans="2:9" x14ac:dyDescent="0.35">
      <c r="B243" s="126">
        <v>5.2200000000000104</v>
      </c>
      <c r="C243" s="125" t="s">
        <v>341</v>
      </c>
      <c r="D243" s="204" t="s">
        <v>85</v>
      </c>
      <c r="E243" s="205">
        <v>10475.300000000001</v>
      </c>
      <c r="F243" s="185"/>
      <c r="H243" s="184"/>
      <c r="I243" s="184"/>
    </row>
    <row r="244" spans="2:9" x14ac:dyDescent="0.35">
      <c r="B244" s="126">
        <v>5.2300000000000102</v>
      </c>
      <c r="C244" s="125" t="s">
        <v>342</v>
      </c>
      <c r="D244" s="204" t="s">
        <v>85</v>
      </c>
      <c r="E244" s="205">
        <v>17370.100000000002</v>
      </c>
      <c r="F244" s="185"/>
      <c r="H244" s="184"/>
      <c r="I244" s="184"/>
    </row>
    <row r="245" spans="2:9" x14ac:dyDescent="0.35">
      <c r="B245" s="123">
        <v>5.24000000000001</v>
      </c>
      <c r="C245" s="125" t="s">
        <v>343</v>
      </c>
      <c r="D245" s="204" t="s">
        <v>85</v>
      </c>
      <c r="E245" s="205">
        <v>6813.4000000000005</v>
      </c>
      <c r="F245" s="185"/>
      <c r="H245" s="184"/>
      <c r="I245" s="184"/>
    </row>
    <row r="246" spans="2:9" x14ac:dyDescent="0.35">
      <c r="B246" s="126">
        <v>5.2500000000000098</v>
      </c>
      <c r="C246" s="125" t="s">
        <v>344</v>
      </c>
      <c r="D246" s="204" t="s">
        <v>85</v>
      </c>
      <c r="E246" s="205">
        <v>7244.6</v>
      </c>
      <c r="F246" s="185"/>
      <c r="H246" s="184"/>
      <c r="I246" s="184"/>
    </row>
    <row r="247" spans="2:9" x14ac:dyDescent="0.35">
      <c r="B247" s="126">
        <v>5.2600000000000096</v>
      </c>
      <c r="C247" s="125" t="s">
        <v>345</v>
      </c>
      <c r="D247" s="204" t="s">
        <v>85</v>
      </c>
      <c r="E247" s="205">
        <v>10690.900000000001</v>
      </c>
      <c r="F247" s="185"/>
      <c r="H247" s="184"/>
      <c r="I247" s="184"/>
    </row>
    <row r="248" spans="2:9" x14ac:dyDescent="0.35">
      <c r="B248" s="123">
        <v>5.2700000000000102</v>
      </c>
      <c r="C248" s="125" t="s">
        <v>346</v>
      </c>
      <c r="D248" s="204" t="s">
        <v>85</v>
      </c>
      <c r="E248" s="205">
        <v>17584.600000000002</v>
      </c>
      <c r="F248" s="185"/>
      <c r="H248" s="184"/>
      <c r="I248" s="184"/>
    </row>
    <row r="249" spans="2:9" x14ac:dyDescent="0.35">
      <c r="B249" s="126">
        <v>5.28000000000001</v>
      </c>
      <c r="C249" s="125" t="s">
        <v>347</v>
      </c>
      <c r="D249" s="204" t="s">
        <v>85</v>
      </c>
      <c r="E249" s="205">
        <v>5736.5000000000009</v>
      </c>
      <c r="F249" s="185"/>
      <c r="H249" s="184"/>
      <c r="I249" s="184"/>
    </row>
    <row r="250" spans="2:9" x14ac:dyDescent="0.35">
      <c r="B250" s="126">
        <v>5.2900000000000098</v>
      </c>
      <c r="C250" s="125" t="s">
        <v>348</v>
      </c>
      <c r="D250" s="204" t="s">
        <v>85</v>
      </c>
      <c r="E250" s="205">
        <v>7459.1</v>
      </c>
      <c r="F250" s="185"/>
      <c r="H250" s="184"/>
      <c r="I250" s="184"/>
    </row>
    <row r="251" spans="2:9" x14ac:dyDescent="0.35">
      <c r="B251" s="123">
        <v>5.3000000000000096</v>
      </c>
      <c r="C251" s="125" t="s">
        <v>349</v>
      </c>
      <c r="D251" s="204" t="s">
        <v>85</v>
      </c>
      <c r="E251" s="205">
        <v>17800.2</v>
      </c>
      <c r="F251" s="185"/>
      <c r="H251" s="184"/>
      <c r="I251" s="184"/>
    </row>
    <row r="252" spans="2:9" x14ac:dyDescent="0.35">
      <c r="B252" s="126">
        <v>5.3100000000000103</v>
      </c>
      <c r="C252" s="125" t="s">
        <v>350</v>
      </c>
      <c r="D252" s="204" t="s">
        <v>85</v>
      </c>
      <c r="E252" s="205">
        <v>31588.700000000004</v>
      </c>
      <c r="F252" s="185"/>
      <c r="H252" s="184"/>
      <c r="I252" s="184"/>
    </row>
    <row r="253" spans="2:9" x14ac:dyDescent="0.35">
      <c r="B253" s="126">
        <v>5.3200000000000101</v>
      </c>
      <c r="C253" s="125" t="s">
        <v>351</v>
      </c>
      <c r="D253" s="204" t="s">
        <v>85</v>
      </c>
      <c r="E253" s="205">
        <v>9182.8000000000011</v>
      </c>
      <c r="F253" s="185"/>
      <c r="H253" s="184"/>
      <c r="I253" s="184"/>
    </row>
    <row r="254" spans="2:9" x14ac:dyDescent="0.35">
      <c r="B254" s="123">
        <v>5.3300000000000196</v>
      </c>
      <c r="C254" s="125" t="s">
        <v>352</v>
      </c>
      <c r="D254" s="204" t="s">
        <v>85</v>
      </c>
      <c r="E254" s="205">
        <v>12630.2</v>
      </c>
      <c r="F254" s="185"/>
      <c r="H254" s="184"/>
      <c r="I254" s="184"/>
    </row>
    <row r="255" spans="2:9" x14ac:dyDescent="0.35">
      <c r="B255" s="126">
        <v>5.3400000000000203</v>
      </c>
      <c r="C255" s="125" t="s">
        <v>353</v>
      </c>
      <c r="D255" s="204" t="s">
        <v>85</v>
      </c>
      <c r="E255" s="205">
        <v>19523.900000000001</v>
      </c>
      <c r="F255" s="185"/>
      <c r="H255" s="184"/>
      <c r="I255" s="184"/>
    </row>
    <row r="256" spans="2:9" ht="27" x14ac:dyDescent="0.35">
      <c r="B256" s="126">
        <v>5.3500000000000201</v>
      </c>
      <c r="C256" s="125" t="s">
        <v>354</v>
      </c>
      <c r="D256" s="204" t="s">
        <v>85</v>
      </c>
      <c r="E256" s="205">
        <v>17584.600000000002</v>
      </c>
      <c r="F256" s="185"/>
      <c r="H256" s="184"/>
      <c r="I256" s="184"/>
    </row>
    <row r="257" spans="1:9" x14ac:dyDescent="0.35">
      <c r="B257" s="123">
        <v>5.3600000000000199</v>
      </c>
      <c r="C257" s="125" t="s">
        <v>355</v>
      </c>
      <c r="D257" s="204" t="s">
        <v>85</v>
      </c>
      <c r="E257" s="205">
        <v>31588.700000000004</v>
      </c>
      <c r="F257" s="185"/>
      <c r="H257" s="184"/>
      <c r="I257" s="184"/>
    </row>
    <row r="258" spans="1:9" x14ac:dyDescent="0.35">
      <c r="B258" s="126">
        <v>5.3700000000000196</v>
      </c>
      <c r="C258" s="125" t="s">
        <v>356</v>
      </c>
      <c r="D258" s="204" t="s">
        <v>85</v>
      </c>
      <c r="E258" s="205">
        <v>59164.600000000006</v>
      </c>
      <c r="F258" s="185"/>
      <c r="H258" s="184"/>
      <c r="I258" s="184"/>
    </row>
    <row r="259" spans="1:9" x14ac:dyDescent="0.35">
      <c r="B259" s="126">
        <v>5.3800000000000203</v>
      </c>
      <c r="C259" s="125" t="s">
        <v>357</v>
      </c>
      <c r="D259" s="204" t="s">
        <v>85</v>
      </c>
      <c r="E259" s="205">
        <v>33312.400000000001</v>
      </c>
      <c r="F259" s="185"/>
      <c r="H259" s="184"/>
      <c r="I259" s="184"/>
    </row>
    <row r="260" spans="1:9" x14ac:dyDescent="0.35">
      <c r="B260" s="123">
        <v>5.3900000000000201</v>
      </c>
      <c r="C260" s="125" t="s">
        <v>358</v>
      </c>
      <c r="D260" s="204" t="s">
        <v>85</v>
      </c>
      <c r="E260" s="205">
        <v>60888.3</v>
      </c>
      <c r="F260" s="185"/>
      <c r="H260" s="184"/>
      <c r="I260" s="184"/>
    </row>
    <row r="261" spans="1:9" x14ac:dyDescent="0.35">
      <c r="B261" s="126">
        <v>5.4000000000000199</v>
      </c>
      <c r="C261" s="125" t="s">
        <v>359</v>
      </c>
      <c r="D261" s="204" t="s">
        <v>85</v>
      </c>
      <c r="E261" s="205">
        <v>22971.300000000003</v>
      </c>
      <c r="F261" s="185"/>
      <c r="H261" s="184"/>
      <c r="I261" s="184"/>
    </row>
    <row r="262" spans="1:9" x14ac:dyDescent="0.35">
      <c r="B262" s="126">
        <v>5.4100000000000197</v>
      </c>
      <c r="C262" s="125" t="s">
        <v>360</v>
      </c>
      <c r="D262" s="204" t="s">
        <v>85</v>
      </c>
      <c r="E262" s="205">
        <v>36758.700000000004</v>
      </c>
      <c r="F262" s="185"/>
      <c r="H262" s="184"/>
      <c r="I262" s="184"/>
    </row>
    <row r="263" spans="1:9" x14ac:dyDescent="0.35">
      <c r="B263" s="123">
        <v>5.4200000000000204</v>
      </c>
      <c r="C263" s="125" t="s">
        <v>361</v>
      </c>
      <c r="D263" s="204" t="s">
        <v>85</v>
      </c>
      <c r="E263" s="205">
        <v>64334.600000000006</v>
      </c>
      <c r="F263" s="185"/>
      <c r="H263" s="184"/>
      <c r="I263" s="184"/>
    </row>
    <row r="264" spans="1:9" x14ac:dyDescent="0.35">
      <c r="B264" s="126">
        <v>5.4300000000000201</v>
      </c>
      <c r="C264" s="125" t="s">
        <v>362</v>
      </c>
      <c r="D264" s="204" t="s">
        <v>85</v>
      </c>
      <c r="E264" s="205">
        <v>43652.4</v>
      </c>
      <c r="F264" s="185"/>
      <c r="H264" s="184"/>
      <c r="I264" s="184"/>
    </row>
    <row r="265" spans="1:9" x14ac:dyDescent="0.35">
      <c r="B265" s="126">
        <v>5.4400000000000199</v>
      </c>
      <c r="C265" s="125" t="s">
        <v>363</v>
      </c>
      <c r="D265" s="204" t="s">
        <v>85</v>
      </c>
      <c r="E265" s="205">
        <v>85016.8</v>
      </c>
      <c r="F265" s="185"/>
      <c r="H265" s="184"/>
      <c r="I265" s="184"/>
    </row>
    <row r="266" spans="1:9" x14ac:dyDescent="0.35">
      <c r="B266" s="123">
        <v>5.4500000000000197</v>
      </c>
      <c r="C266" s="125" t="s">
        <v>364</v>
      </c>
      <c r="D266" s="204" t="s">
        <v>85</v>
      </c>
      <c r="E266" s="205">
        <v>140168.6</v>
      </c>
      <c r="F266" s="185"/>
      <c r="H266" s="184"/>
      <c r="I266" s="184"/>
    </row>
    <row r="267" spans="1:9" x14ac:dyDescent="0.35">
      <c r="B267" s="123"/>
      <c r="C267" s="125"/>
      <c r="D267" s="204"/>
      <c r="E267" s="205">
        <v>0</v>
      </c>
      <c r="F267" s="185"/>
      <c r="H267" s="184"/>
      <c r="I267" s="184"/>
    </row>
    <row r="268" spans="1:9" x14ac:dyDescent="0.35">
      <c r="B268" s="123">
        <v>6</v>
      </c>
      <c r="C268" s="124" t="s">
        <v>365</v>
      </c>
      <c r="D268" s="204" t="s">
        <v>366</v>
      </c>
      <c r="E268" s="205">
        <v>1122</v>
      </c>
      <c r="F268" s="185"/>
      <c r="H268" s="184"/>
      <c r="I268" s="184"/>
    </row>
    <row r="269" spans="1:9" x14ac:dyDescent="0.35">
      <c r="B269" s="123">
        <v>7</v>
      </c>
      <c r="C269" s="124" t="s">
        <v>367</v>
      </c>
      <c r="D269" s="204" t="s">
        <v>366</v>
      </c>
      <c r="E269" s="205">
        <v>6.6000000000000005</v>
      </c>
      <c r="F269" s="185"/>
      <c r="H269" s="184"/>
      <c r="I269" s="184"/>
    </row>
    <row r="270" spans="1:9" ht="14.5" x14ac:dyDescent="0.35">
      <c r="B270" s="123">
        <v>8</v>
      </c>
      <c r="C270" s="127" t="s">
        <v>368</v>
      </c>
      <c r="D270" s="204" t="s">
        <v>85</v>
      </c>
      <c r="E270" s="205">
        <v>1122</v>
      </c>
      <c r="F270" s="185"/>
      <c r="H270" s="184"/>
      <c r="I270" s="184"/>
    </row>
    <row r="271" spans="1:9" ht="14" thickBot="1" x14ac:dyDescent="0.4">
      <c r="B271" s="114"/>
      <c r="C271" s="108"/>
      <c r="D271" s="190"/>
      <c r="E271" s="195"/>
      <c r="F271" s="207"/>
      <c r="H271" s="184"/>
      <c r="I271" s="184"/>
    </row>
    <row r="272" spans="1:9" x14ac:dyDescent="0.35">
      <c r="A272" s="128"/>
      <c r="B272" s="120"/>
      <c r="C272" s="92" t="s">
        <v>369</v>
      </c>
      <c r="D272" s="93" t="s">
        <v>82</v>
      </c>
      <c r="E272" s="203"/>
      <c r="F272" s="208"/>
      <c r="H272" s="184"/>
      <c r="I272" s="184"/>
    </row>
    <row r="273" spans="1:9" x14ac:dyDescent="0.35">
      <c r="A273" s="129"/>
      <c r="B273" s="123">
        <v>1</v>
      </c>
      <c r="C273" s="125" t="s">
        <v>370</v>
      </c>
      <c r="D273" s="204" t="s">
        <v>85</v>
      </c>
      <c r="E273" s="205">
        <v>7566.9000000000005</v>
      </c>
      <c r="F273" s="185"/>
      <c r="H273" s="184"/>
      <c r="I273" s="184"/>
    </row>
    <row r="274" spans="1:9" x14ac:dyDescent="0.35">
      <c r="A274" s="129"/>
      <c r="B274" s="123">
        <v>2</v>
      </c>
      <c r="C274" s="125" t="s">
        <v>371</v>
      </c>
      <c r="D274" s="204" t="s">
        <v>85</v>
      </c>
      <c r="E274" s="205">
        <v>11431.2</v>
      </c>
      <c r="F274" s="185"/>
      <c r="H274" s="184"/>
      <c r="I274" s="184"/>
    </row>
    <row r="275" spans="1:9" x14ac:dyDescent="0.35">
      <c r="A275" s="129"/>
      <c r="B275" s="123">
        <v>3</v>
      </c>
      <c r="C275" s="125" t="s">
        <v>372</v>
      </c>
      <c r="D275" s="204" t="s">
        <v>85</v>
      </c>
      <c r="E275" s="205">
        <v>9182.8000000000011</v>
      </c>
      <c r="F275" s="185"/>
      <c r="H275" s="184"/>
      <c r="I275" s="184"/>
    </row>
    <row r="276" spans="1:9" x14ac:dyDescent="0.35">
      <c r="A276" s="129"/>
      <c r="B276" s="123">
        <v>4</v>
      </c>
      <c r="C276" s="125" t="s">
        <v>373</v>
      </c>
      <c r="D276" s="204" t="s">
        <v>85</v>
      </c>
      <c r="E276" s="205">
        <v>14663.000000000002</v>
      </c>
      <c r="F276" s="185"/>
      <c r="H276" s="184"/>
      <c r="I276" s="184"/>
    </row>
    <row r="277" spans="1:9" x14ac:dyDescent="0.35">
      <c r="A277" s="129"/>
      <c r="B277" s="123">
        <v>5</v>
      </c>
      <c r="C277" s="125" t="s">
        <v>374</v>
      </c>
      <c r="D277" s="204" t="s">
        <v>85</v>
      </c>
      <c r="E277" s="205">
        <v>12414.6</v>
      </c>
      <c r="F277" s="185"/>
      <c r="H277" s="184"/>
      <c r="I277" s="184"/>
    </row>
    <row r="278" spans="1:9" x14ac:dyDescent="0.35">
      <c r="A278" s="129"/>
      <c r="B278" s="123">
        <v>6</v>
      </c>
      <c r="C278" s="125" t="s">
        <v>375</v>
      </c>
      <c r="D278" s="204" t="s">
        <v>85</v>
      </c>
      <c r="E278" s="205">
        <v>21126.600000000002</v>
      </c>
      <c r="F278" s="185"/>
      <c r="H278" s="184"/>
      <c r="I278" s="184"/>
    </row>
    <row r="279" spans="1:9" x14ac:dyDescent="0.35">
      <c r="A279" s="129"/>
      <c r="B279" s="123">
        <v>7</v>
      </c>
      <c r="C279" s="125" t="s">
        <v>376</v>
      </c>
      <c r="D279" s="204" t="s">
        <v>85</v>
      </c>
      <c r="E279" s="205">
        <v>18878.2</v>
      </c>
      <c r="F279" s="185"/>
      <c r="H279" s="184"/>
      <c r="I279" s="184"/>
    </row>
    <row r="280" spans="1:9" x14ac:dyDescent="0.35">
      <c r="A280" s="129"/>
      <c r="B280" s="123">
        <v>8</v>
      </c>
      <c r="C280" s="125" t="s">
        <v>377</v>
      </c>
      <c r="D280" s="204" t="s">
        <v>85</v>
      </c>
      <c r="E280" s="205">
        <v>34052.700000000004</v>
      </c>
      <c r="F280" s="185"/>
      <c r="H280" s="184"/>
      <c r="I280" s="184"/>
    </row>
    <row r="281" spans="1:9" x14ac:dyDescent="0.35">
      <c r="A281" s="129"/>
      <c r="B281" s="123">
        <v>9</v>
      </c>
      <c r="C281" s="125" t="s">
        <v>378</v>
      </c>
      <c r="D281" s="204" t="s">
        <v>85</v>
      </c>
      <c r="E281" s="205">
        <v>25340.7</v>
      </c>
      <c r="F281" s="185"/>
      <c r="H281" s="184"/>
      <c r="I281" s="184"/>
    </row>
    <row r="282" spans="1:9" ht="14" thickBot="1" x14ac:dyDescent="0.4">
      <c r="A282" s="130"/>
      <c r="B282" s="123">
        <v>10</v>
      </c>
      <c r="C282" s="125" t="s">
        <v>379</v>
      </c>
      <c r="D282" s="204" t="s">
        <v>85</v>
      </c>
      <c r="E282" s="205">
        <v>46978.8</v>
      </c>
      <c r="F282" s="185"/>
      <c r="H282" s="184"/>
      <c r="I282" s="184"/>
    </row>
  </sheetData>
  <mergeCells count="2">
    <mergeCell ref="B98:D98"/>
    <mergeCell ref="B128:D1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H27"/>
  <sheetViews>
    <sheetView topLeftCell="A13" workbookViewId="0">
      <selection activeCell="E6" sqref="E6"/>
    </sheetView>
  </sheetViews>
  <sheetFormatPr defaultColWidth="8.6328125" defaultRowHeight="12.5" x14ac:dyDescent="0.25"/>
  <cols>
    <col min="1" max="1" width="9.08984375" style="148" customWidth="1"/>
    <col min="2" max="2" width="38" style="149" customWidth="1"/>
    <col min="3" max="3" width="45" style="150" customWidth="1"/>
    <col min="4" max="4" width="14.453125" style="150" bestFit="1" customWidth="1"/>
    <col min="5" max="5" width="18" style="149" customWidth="1"/>
    <col min="6" max="6" width="15.08984375" style="149" customWidth="1"/>
    <col min="7" max="7" width="53.453125" style="149" customWidth="1"/>
    <col min="8" max="8" width="26.08984375" style="139" customWidth="1"/>
    <col min="9" max="16384" width="8.6328125" style="139"/>
  </cols>
  <sheetData>
    <row r="2" spans="1:8" s="135" customFormat="1" ht="42" x14ac:dyDescent="0.35">
      <c r="A2" s="132" t="s">
        <v>380</v>
      </c>
      <c r="B2" s="132" t="s">
        <v>381</v>
      </c>
      <c r="C2" s="133" t="s">
        <v>382</v>
      </c>
      <c r="D2" s="133" t="s">
        <v>82</v>
      </c>
      <c r="E2" s="133" t="s">
        <v>383</v>
      </c>
      <c r="F2" s="133" t="s">
        <v>384</v>
      </c>
      <c r="G2" s="132" t="s">
        <v>385</v>
      </c>
      <c r="H2" s="134"/>
    </row>
    <row r="3" spans="1:8" x14ac:dyDescent="0.25">
      <c r="A3" s="136"/>
      <c r="B3" s="137" t="s">
        <v>386</v>
      </c>
      <c r="C3" s="138" t="s">
        <v>387</v>
      </c>
      <c r="D3" s="138"/>
      <c r="E3" s="137"/>
      <c r="F3" s="137"/>
      <c r="G3" s="137"/>
    </row>
    <row r="4" spans="1:8" ht="87.5" x14ac:dyDescent="0.25">
      <c r="A4" s="140">
        <v>1</v>
      </c>
      <c r="B4" s="141" t="s">
        <v>388</v>
      </c>
      <c r="C4" s="142"/>
      <c r="D4" s="141" t="s">
        <v>389</v>
      </c>
      <c r="E4" s="140">
        <v>3594.8</v>
      </c>
      <c r="F4" s="140">
        <v>6.51</v>
      </c>
      <c r="G4" s="141" t="s">
        <v>390</v>
      </c>
    </row>
    <row r="5" spans="1:8" x14ac:dyDescent="0.25">
      <c r="A5" s="140" t="s">
        <v>391</v>
      </c>
      <c r="B5" s="141"/>
      <c r="C5" s="142" t="s">
        <v>392</v>
      </c>
      <c r="D5" s="141" t="s">
        <v>193</v>
      </c>
      <c r="E5" s="140">
        <v>16.5</v>
      </c>
      <c r="F5" s="143">
        <v>0</v>
      </c>
      <c r="G5" s="144"/>
    </row>
    <row r="6" spans="1:8" x14ac:dyDescent="0.25">
      <c r="A6" s="140" t="s">
        <v>393</v>
      </c>
      <c r="B6" s="141"/>
      <c r="C6" s="142" t="s">
        <v>394</v>
      </c>
      <c r="D6" s="141" t="s">
        <v>242</v>
      </c>
      <c r="E6" s="140">
        <v>477.40000000000003</v>
      </c>
      <c r="F6" s="143">
        <v>0</v>
      </c>
      <c r="G6" s="144"/>
    </row>
    <row r="7" spans="1:8" x14ac:dyDescent="0.25">
      <c r="A7" s="136"/>
      <c r="B7" s="137" t="s">
        <v>386</v>
      </c>
      <c r="C7" s="138" t="s">
        <v>387</v>
      </c>
      <c r="D7" s="145"/>
      <c r="E7" s="136"/>
      <c r="F7" s="137"/>
      <c r="G7" s="146"/>
    </row>
    <row r="8" spans="1:8" ht="50" x14ac:dyDescent="0.25">
      <c r="A8" s="140">
        <v>2</v>
      </c>
      <c r="B8" s="141" t="s">
        <v>395</v>
      </c>
      <c r="C8" s="142"/>
      <c r="D8" s="141" t="s">
        <v>396</v>
      </c>
      <c r="E8" s="140">
        <v>224413.2</v>
      </c>
      <c r="F8" s="140">
        <v>5.0999999999999996</v>
      </c>
      <c r="G8" s="141" t="s">
        <v>397</v>
      </c>
    </row>
    <row r="9" spans="1:8" ht="25" x14ac:dyDescent="0.25">
      <c r="A9" s="140" t="s">
        <v>398</v>
      </c>
      <c r="B9" s="144"/>
      <c r="C9" s="142" t="s">
        <v>399</v>
      </c>
      <c r="D9" s="141" t="s">
        <v>400</v>
      </c>
      <c r="E9" s="140">
        <v>134647.70000000001</v>
      </c>
      <c r="F9" s="143">
        <v>0</v>
      </c>
      <c r="G9" s="144"/>
    </row>
    <row r="10" spans="1:8" ht="25" x14ac:dyDescent="0.25">
      <c r="A10" s="140" t="s">
        <v>401</v>
      </c>
      <c r="B10" s="144"/>
      <c r="C10" s="142" t="s">
        <v>402</v>
      </c>
      <c r="D10" s="141" t="s">
        <v>400</v>
      </c>
      <c r="E10" s="140">
        <v>201972.1</v>
      </c>
      <c r="F10" s="143">
        <v>0</v>
      </c>
      <c r="G10" s="144"/>
    </row>
    <row r="11" spans="1:8" ht="25" x14ac:dyDescent="0.25">
      <c r="A11" s="140" t="s">
        <v>403</v>
      </c>
      <c r="B11" s="144"/>
      <c r="C11" s="142" t="s">
        <v>404</v>
      </c>
      <c r="D11" s="141" t="s">
        <v>400</v>
      </c>
      <c r="E11" s="140">
        <v>403944.2</v>
      </c>
      <c r="F11" s="143">
        <v>0</v>
      </c>
      <c r="G11" s="144"/>
    </row>
    <row r="12" spans="1:8" x14ac:dyDescent="0.25">
      <c r="A12" s="136"/>
      <c r="B12" s="137" t="s">
        <v>386</v>
      </c>
      <c r="C12" s="138" t="s">
        <v>387</v>
      </c>
      <c r="D12" s="145"/>
      <c r="E12" s="136"/>
      <c r="F12" s="137"/>
      <c r="G12" s="146"/>
    </row>
    <row r="13" spans="1:8" ht="25" x14ac:dyDescent="0.25">
      <c r="A13" s="140">
        <v>3</v>
      </c>
      <c r="B13" s="141" t="s">
        <v>405</v>
      </c>
      <c r="C13" s="142" t="s">
        <v>406</v>
      </c>
      <c r="D13" s="141" t="s">
        <v>407</v>
      </c>
      <c r="E13" s="140">
        <v>0</v>
      </c>
      <c r="F13" s="143">
        <v>10.199999999999999</v>
      </c>
      <c r="G13" s="141" t="s">
        <v>408</v>
      </c>
    </row>
    <row r="14" spans="1:8" x14ac:dyDescent="0.25">
      <c r="A14" s="140"/>
      <c r="B14" s="144"/>
      <c r="C14" s="142" t="s">
        <v>409</v>
      </c>
      <c r="D14" s="141" t="s">
        <v>400</v>
      </c>
      <c r="E14" s="140">
        <v>224413.2</v>
      </c>
      <c r="F14" s="143">
        <v>0</v>
      </c>
      <c r="G14" s="256" t="s">
        <v>410</v>
      </c>
    </row>
    <row r="15" spans="1:8" x14ac:dyDescent="0.25">
      <c r="A15" s="140"/>
      <c r="B15" s="144"/>
      <c r="C15" s="142" t="s">
        <v>411</v>
      </c>
      <c r="D15" s="141" t="s">
        <v>400</v>
      </c>
      <c r="E15" s="140">
        <v>359062</v>
      </c>
      <c r="F15" s="143">
        <v>0</v>
      </c>
      <c r="G15" s="256"/>
    </row>
    <row r="16" spans="1:8" x14ac:dyDescent="0.25">
      <c r="A16" s="140"/>
      <c r="B16" s="144"/>
      <c r="C16" s="142" t="s">
        <v>412</v>
      </c>
      <c r="D16" s="141" t="s">
        <v>400</v>
      </c>
      <c r="E16" s="140">
        <v>561034.10000000009</v>
      </c>
      <c r="F16" s="143">
        <v>0</v>
      </c>
      <c r="G16" s="256"/>
    </row>
    <row r="17" spans="1:7" x14ac:dyDescent="0.25">
      <c r="A17" s="140"/>
      <c r="B17" s="144"/>
      <c r="C17" s="142" t="s">
        <v>413</v>
      </c>
      <c r="D17" s="141" t="s">
        <v>414</v>
      </c>
      <c r="E17" s="140">
        <v>617137.4</v>
      </c>
      <c r="F17" s="143">
        <v>0</v>
      </c>
      <c r="G17" s="256"/>
    </row>
    <row r="18" spans="1:7" x14ac:dyDescent="0.25">
      <c r="A18" s="136"/>
      <c r="B18" s="137" t="s">
        <v>386</v>
      </c>
      <c r="C18" s="138" t="s">
        <v>387</v>
      </c>
      <c r="D18" s="145"/>
      <c r="E18" s="136"/>
      <c r="F18" s="137"/>
      <c r="G18" s="146"/>
    </row>
    <row r="19" spans="1:7" ht="25" x14ac:dyDescent="0.25">
      <c r="A19" s="140">
        <v>4</v>
      </c>
      <c r="B19" s="141" t="s">
        <v>415</v>
      </c>
      <c r="C19" s="142"/>
      <c r="D19" s="141"/>
      <c r="E19" s="140"/>
      <c r="F19" s="143"/>
      <c r="G19" s="141" t="s">
        <v>416</v>
      </c>
    </row>
    <row r="20" spans="1:7" ht="26" x14ac:dyDescent="0.35">
      <c r="A20" s="140">
        <v>5</v>
      </c>
      <c r="B20" s="147" t="s">
        <v>417</v>
      </c>
      <c r="C20" s="142"/>
      <c r="D20" s="141"/>
      <c r="E20" s="140"/>
      <c r="F20" s="143"/>
      <c r="G20" s="141" t="s">
        <v>416</v>
      </c>
    </row>
    <row r="21" spans="1:7" ht="37.5" x14ac:dyDescent="0.25">
      <c r="A21" s="140">
        <v>6</v>
      </c>
      <c r="B21" s="144" t="s">
        <v>418</v>
      </c>
      <c r="C21" s="142"/>
      <c r="D21" s="141" t="s">
        <v>419</v>
      </c>
      <c r="E21" s="140">
        <v>2468.4</v>
      </c>
      <c r="F21" s="143">
        <v>10.199999999999999</v>
      </c>
      <c r="G21" s="141" t="s">
        <v>420</v>
      </c>
    </row>
    <row r="22" spans="1:7" ht="37.5" x14ac:dyDescent="0.25">
      <c r="A22" s="140">
        <v>7</v>
      </c>
      <c r="B22" s="144" t="s">
        <v>421</v>
      </c>
      <c r="C22" s="142"/>
      <c r="D22" s="141" t="s">
        <v>419</v>
      </c>
      <c r="E22" s="140">
        <v>2244</v>
      </c>
      <c r="F22" s="143">
        <v>10.199999999999999</v>
      </c>
      <c r="G22" s="141" t="s">
        <v>420</v>
      </c>
    </row>
    <row r="23" spans="1:7" ht="25" x14ac:dyDescent="0.25">
      <c r="A23" s="140">
        <v>8</v>
      </c>
      <c r="B23" s="141" t="s">
        <v>422</v>
      </c>
      <c r="C23" s="142"/>
      <c r="D23" s="141" t="s">
        <v>423</v>
      </c>
      <c r="E23" s="140">
        <v>0</v>
      </c>
      <c r="F23" s="143"/>
      <c r="G23" s="144" t="s">
        <v>424</v>
      </c>
    </row>
    <row r="24" spans="1:7" x14ac:dyDescent="0.25">
      <c r="A24" s="140">
        <v>9</v>
      </c>
      <c r="B24" s="144" t="s">
        <v>425</v>
      </c>
      <c r="C24" s="142"/>
      <c r="D24" s="141" t="s">
        <v>426</v>
      </c>
      <c r="E24" s="140">
        <v>6732.0000000000009</v>
      </c>
      <c r="F24" s="143"/>
      <c r="G24" s="144" t="s">
        <v>427</v>
      </c>
    </row>
    <row r="25" spans="1:7" x14ac:dyDescent="0.25">
      <c r="G25" s="151"/>
    </row>
    <row r="26" spans="1:7" x14ac:dyDescent="0.25">
      <c r="G26" s="151"/>
    </row>
    <row r="27" spans="1:7" x14ac:dyDescent="0.25">
      <c r="G27" s="151"/>
    </row>
  </sheetData>
  <mergeCells count="1">
    <mergeCell ref="G14:G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C1831C99B5564C890F8EDF25050E03" ma:contentTypeVersion="14" ma:contentTypeDescription="Create a new document." ma:contentTypeScope="" ma:versionID="756b9e7638591348cdbed792fa8ae229">
  <xsd:schema xmlns:xsd="http://www.w3.org/2001/XMLSchema" xmlns:xs="http://www.w3.org/2001/XMLSchema" xmlns:p="http://schemas.microsoft.com/office/2006/metadata/properties" xmlns:ns3="51fa9597-03c6-4b72-8e2e-c66ae6b9ff5c" xmlns:ns4="51a591f7-e178-41d6-85c9-5096aac15b5c" targetNamespace="http://schemas.microsoft.com/office/2006/metadata/properties" ma:root="true" ma:fieldsID="449fa7222f5141148d6e9f61dbad895f" ns3:_="" ns4:_="">
    <xsd:import namespace="51fa9597-03c6-4b72-8e2e-c66ae6b9ff5c"/>
    <xsd:import namespace="51a591f7-e178-41d6-85c9-5096aac15b5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a9597-03c6-4b72-8e2e-c66ae6b9ff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a591f7-e178-41d6-85c9-5096aac15b5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1a591f7-e178-41d6-85c9-5096aac15b5c" xsi:nil="true"/>
  </documentManagement>
</p:properties>
</file>

<file path=customXml/itemProps1.xml><?xml version="1.0" encoding="utf-8"?>
<ds:datastoreItem xmlns:ds="http://schemas.openxmlformats.org/officeDocument/2006/customXml" ds:itemID="{62A1E972-8A2A-446A-90FA-99772B3C8B8B}">
  <ds:schemaRefs>
    <ds:schemaRef ds:uri="http://schemas.microsoft.com/sharepoint/v3/contenttype/forms"/>
  </ds:schemaRefs>
</ds:datastoreItem>
</file>

<file path=customXml/itemProps2.xml><?xml version="1.0" encoding="utf-8"?>
<ds:datastoreItem xmlns:ds="http://schemas.openxmlformats.org/officeDocument/2006/customXml" ds:itemID="{1D90FD23-0BE1-4483-8158-0DFA9AF7AF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a9597-03c6-4b72-8e2e-c66ae6b9ff5c"/>
    <ds:schemaRef ds:uri="51a591f7-e178-41d6-85c9-5096aac15b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01B010-5749-44AF-AC6D-34159E7253E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1fa9597-03c6-4b72-8e2e-c66ae6b9ff5c"/>
    <ds:schemaRef ds:uri="http://purl.org/dc/elements/1.1/"/>
    <ds:schemaRef ds:uri="http://schemas.microsoft.com/office/2006/metadata/properties"/>
    <ds:schemaRef ds:uri="51a591f7-e178-41d6-85c9-5096aac15b5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ESDS DC</vt:lpstr>
      <vt:lpstr>ESDS DC NON HA</vt:lpstr>
      <vt:lpstr>ESDS DR P</vt:lpstr>
      <vt:lpstr>Server Sizing</vt:lpstr>
      <vt:lpstr>MRSAC Rate Card</vt:lpstr>
      <vt:lpstr>SOC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Nimbekar</dc:creator>
  <cp:lastModifiedBy>Pooja Kale</cp:lastModifiedBy>
  <dcterms:created xsi:type="dcterms:W3CDTF">2022-10-13T10:59:01Z</dcterms:created>
  <dcterms:modified xsi:type="dcterms:W3CDTF">2025-09-11T09:45:36Z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0x01010036C1831C99B5564C890F8EDF25050E03</vt:lpwstr>
  </property>
</Properties>
</file>