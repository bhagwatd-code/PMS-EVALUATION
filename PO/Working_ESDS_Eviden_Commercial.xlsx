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ooja Kale\Pooja Kale\Working Folder\2025\June 2025\EVIDEN - Commercial for Renewal Order\"/>
    </mc:Choice>
  </mc:AlternateContent>
  <xr:revisionPtr revIDLastSave="0" documentId="8_{D909E165-C6DB-440A-AB58-8C001DC3F1A9}" xr6:coauthVersionLast="47" xr6:coauthVersionMax="47" xr10:uidLastSave="{00000000-0000-0000-0000-000000000000}"/>
  <bookViews>
    <workbookView xWindow="-110" yWindow="-110" windowWidth="19420" windowHeight="11500" tabRatio="740" xr2:uid="{D53EF528-4C6A-4CCF-8E66-16ED46DC999A}"/>
  </bookViews>
  <sheets>
    <sheet name="Summary" sheetId="11" r:id="rId1"/>
    <sheet name="DC Site" sheetId="4" r:id="rId2"/>
    <sheet name="Primary site" sheetId="15" r:id="rId3"/>
    <sheet name="Sheet2" sheetId="13" r:id="rId4"/>
    <sheet name="Discount Sheet" sheetId="6" r:id="rId5"/>
    <sheet name="Quotation" sheetId="1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s>
  <definedNames>
    <definedName name="\aq" localSheetId="1">#REF!</definedName>
    <definedName name="\aq" localSheetId="4">#REF!</definedName>
    <definedName name="\aq">#REF!</definedName>
    <definedName name="\c" localSheetId="4">#REF!</definedName>
    <definedName name="\c">#REF!</definedName>
    <definedName name="\e" localSheetId="4">#REF!</definedName>
    <definedName name="\e">#REF!</definedName>
    <definedName name="\f" localSheetId="4">#REF!</definedName>
    <definedName name="\f">#REF!</definedName>
    <definedName name="\l" localSheetId="4">#REF!</definedName>
    <definedName name="\l" localSheetId="0">#REF!</definedName>
    <definedName name="\l">#REF!</definedName>
    <definedName name="\p" localSheetId="4">#REF!</definedName>
    <definedName name="\p" localSheetId="0">#REF!</definedName>
    <definedName name="\p">#REF!</definedName>
    <definedName name="\q" localSheetId="4">#REF!</definedName>
    <definedName name="\q">#REF!</definedName>
    <definedName name="\s" localSheetId="1">'[1]Originating Station'!#REF!</definedName>
    <definedName name="\s">'[2]Originating Station'!#REF!</definedName>
    <definedName name="\u" localSheetId="1">'[1]Originating Station'!#REF!</definedName>
    <definedName name="\u">'[2]Originating Station'!#REF!</definedName>
    <definedName name="\w" localSheetId="4">#REF!</definedName>
    <definedName name="\w">#REF!</definedName>
    <definedName name="\x" localSheetId="4">#REF!</definedName>
    <definedName name="\x">#REF!</definedName>
    <definedName name="\y">'[3]SCADA(MCC-SCC)-Koyali'!#REF!</definedName>
    <definedName name="\z">#N/A</definedName>
    <definedName name="______________DEF1" localSheetId="4">#REF!</definedName>
    <definedName name="______________DEF1">#REF!</definedName>
    <definedName name="______________DEF2" localSheetId="4">#REF!</definedName>
    <definedName name="______________DEF2">#REF!</definedName>
    <definedName name="______________SE1" localSheetId="4">#REF!</definedName>
    <definedName name="______________SE1">#REF!</definedName>
    <definedName name="______________SET1" localSheetId="4">#REF!</definedName>
    <definedName name="______________SET1">#REF!</definedName>
    <definedName name="______________SET2" localSheetId="4">#REF!</definedName>
    <definedName name="______________SET2">#REF!</definedName>
    <definedName name="______________SET21" localSheetId="4">#REF!</definedName>
    <definedName name="______________SET21">#REF!</definedName>
    <definedName name="______________TB2" localSheetId="4">'[4]SPT vs PHI'!$B$2:$C$65</definedName>
    <definedName name="______________TB2">#REF!</definedName>
    <definedName name="_____________DEF1" localSheetId="4">#REF!</definedName>
    <definedName name="_____________DEF1">#REF!</definedName>
    <definedName name="_____________DEF2" localSheetId="4">#REF!</definedName>
    <definedName name="_____________DEF2">#REF!</definedName>
    <definedName name="_____________SE1" localSheetId="4">#REF!</definedName>
    <definedName name="_____________SE1">#REF!</definedName>
    <definedName name="_____________SET1" localSheetId="4">#REF!</definedName>
    <definedName name="_____________SET1">#REF!</definedName>
    <definedName name="_____________SET2" localSheetId="4">#REF!</definedName>
    <definedName name="_____________SET2">#REF!</definedName>
    <definedName name="_____________SET21" localSheetId="4">#REF!</definedName>
    <definedName name="_____________SET21">#REF!</definedName>
    <definedName name="_____________TB2" localSheetId="4">'[4]SPT vs PHI'!$B$2:$C$65</definedName>
    <definedName name="_____________TB2">#REF!</definedName>
    <definedName name="____________DEF1" localSheetId="4">#REF!</definedName>
    <definedName name="____________DEF1">#REF!</definedName>
    <definedName name="____________DEF2" localSheetId="4">#REF!</definedName>
    <definedName name="____________DEF2">#REF!</definedName>
    <definedName name="____________SE1" localSheetId="4">#REF!</definedName>
    <definedName name="____________SE1">#REF!</definedName>
    <definedName name="____________SET1" localSheetId="4">#REF!</definedName>
    <definedName name="____________SET1">#REF!</definedName>
    <definedName name="____________SET2" localSheetId="4">#REF!</definedName>
    <definedName name="____________SET2">#REF!</definedName>
    <definedName name="____________SET21" localSheetId="4">#REF!</definedName>
    <definedName name="____________SET21">#REF!</definedName>
    <definedName name="____________TB2" localSheetId="4">'[4]SPT vs PHI'!$B$2:$C$65</definedName>
    <definedName name="____________TB2">#REF!</definedName>
    <definedName name="___________DEF1" localSheetId="4">#REF!</definedName>
    <definedName name="___________DEF1">#REF!</definedName>
    <definedName name="___________DEF2" localSheetId="4">#REF!</definedName>
    <definedName name="___________DEF2">#REF!</definedName>
    <definedName name="___________SE1" localSheetId="4">#REF!</definedName>
    <definedName name="___________SE1">#REF!</definedName>
    <definedName name="___________SET1" localSheetId="4">#REF!</definedName>
    <definedName name="___________SET1">#REF!</definedName>
    <definedName name="___________SET2" localSheetId="4">#REF!</definedName>
    <definedName name="___________SET2">#REF!</definedName>
    <definedName name="___________SET21" localSheetId="4">#REF!</definedName>
    <definedName name="___________SET21">#REF!</definedName>
    <definedName name="___________TB2" localSheetId="4">'[4]SPT vs PHI'!$B$2:$C$65</definedName>
    <definedName name="___________TB2">#REF!</definedName>
    <definedName name="__________DEF1" localSheetId="4">#REF!</definedName>
    <definedName name="__________DEF1">#REF!</definedName>
    <definedName name="__________DEF2" localSheetId="4">#REF!</definedName>
    <definedName name="__________DEF2">#REF!</definedName>
    <definedName name="__________SE1" localSheetId="4">#REF!</definedName>
    <definedName name="__________SE1">#REF!</definedName>
    <definedName name="__________SET1" localSheetId="4">#REF!</definedName>
    <definedName name="__________SET1">#REF!</definedName>
    <definedName name="__________SET2" localSheetId="4">#REF!</definedName>
    <definedName name="__________SET2">#REF!</definedName>
    <definedName name="__________SET21" localSheetId="4">#REF!</definedName>
    <definedName name="__________SET21">#REF!</definedName>
    <definedName name="__________TB2" localSheetId="4">'[4]SPT vs PHI'!$B$2:$C$65</definedName>
    <definedName name="__________TB2">#REF!</definedName>
    <definedName name="_________DEF1" localSheetId="4">#REF!</definedName>
    <definedName name="_________DEF1">#REF!</definedName>
    <definedName name="_________DEF2" localSheetId="4">#REF!</definedName>
    <definedName name="_________DEF2">#REF!</definedName>
    <definedName name="_________SE1" localSheetId="4">#REF!</definedName>
    <definedName name="_________SE1">#REF!</definedName>
    <definedName name="_________SET1" localSheetId="4">#REF!</definedName>
    <definedName name="_________SET1">#REF!</definedName>
    <definedName name="_________SET2" localSheetId="4">#REF!</definedName>
    <definedName name="_________SET2">#REF!</definedName>
    <definedName name="_________SET21" localSheetId="4">#REF!</definedName>
    <definedName name="_________SET21">#REF!</definedName>
    <definedName name="_________TB2" localSheetId="4">'[4]SPT vs PHI'!$B$2:$C$65</definedName>
    <definedName name="_________TB2">#REF!</definedName>
    <definedName name="________DEF1" localSheetId="4">#REF!</definedName>
    <definedName name="________DEF1">#REF!</definedName>
    <definedName name="________DEF2" localSheetId="4">#REF!</definedName>
    <definedName name="________DEF2">#REF!</definedName>
    <definedName name="________SE1" localSheetId="4">#REF!</definedName>
    <definedName name="________SE1">#REF!</definedName>
    <definedName name="________SET1" localSheetId="4">#REF!</definedName>
    <definedName name="________SET1">#REF!</definedName>
    <definedName name="________SET2" localSheetId="4">#REF!</definedName>
    <definedName name="________SET2">#REF!</definedName>
    <definedName name="________SET21" localSheetId="4">#REF!</definedName>
    <definedName name="________SET21">#REF!</definedName>
    <definedName name="________TB2" localSheetId="4">'[4]SPT vs PHI'!$B$2:$C$65</definedName>
    <definedName name="________TB2">#REF!</definedName>
    <definedName name="_______DEF1" localSheetId="4">#REF!</definedName>
    <definedName name="_______DEF1">#REF!</definedName>
    <definedName name="_______DEF2" localSheetId="4">#REF!</definedName>
    <definedName name="_______DEF2">#REF!</definedName>
    <definedName name="_______RL2" localSheetId="4">#REF!</definedName>
    <definedName name="_______RL2">#REF!</definedName>
    <definedName name="_______SE1" localSheetId="4">#REF!</definedName>
    <definedName name="_______SE1">#REF!</definedName>
    <definedName name="_______SET1" localSheetId="4">#REF!</definedName>
    <definedName name="_______SET1">#REF!</definedName>
    <definedName name="_______SET2" localSheetId="4">#REF!</definedName>
    <definedName name="_______SET2">#REF!</definedName>
    <definedName name="_______SET21" localSheetId="4">#REF!</definedName>
    <definedName name="_______SET21">#REF!</definedName>
    <definedName name="_______SI1" localSheetId="4">#REF!</definedName>
    <definedName name="_______SI1">#REF!</definedName>
    <definedName name="_______TB2" localSheetId="4">'[4]SPT vs PHI'!$B$2:$C$65</definedName>
    <definedName name="_______TB2">#REF!</definedName>
    <definedName name="______DEF1" localSheetId="4">#REF!</definedName>
    <definedName name="______DEF1">#REF!</definedName>
    <definedName name="______DEF2" localSheetId="4">#REF!</definedName>
    <definedName name="______DEF2">#REF!</definedName>
    <definedName name="______SE1" localSheetId="4">#REF!</definedName>
    <definedName name="______SE1">#REF!</definedName>
    <definedName name="______SET1" localSheetId="4">#REF!</definedName>
    <definedName name="______SET1">#REF!</definedName>
    <definedName name="______SET2" localSheetId="4">#REF!</definedName>
    <definedName name="______SET2">#REF!</definedName>
    <definedName name="______SET21" localSheetId="4">#REF!</definedName>
    <definedName name="______SET21">#REF!</definedName>
    <definedName name="______TB2" localSheetId="4">'[4]SPT vs PHI'!$B$2:$C$65</definedName>
    <definedName name="______TB2">#REF!</definedName>
    <definedName name="_____DEF1" localSheetId="4">#REF!</definedName>
    <definedName name="_____DEF1">#REF!</definedName>
    <definedName name="_____DEF2" localSheetId="4">#REF!</definedName>
    <definedName name="_____DEF2">#REF!</definedName>
    <definedName name="_____del1" localSheetId="4">#REF!</definedName>
    <definedName name="_____del1">#REF!</definedName>
    <definedName name="_____Ki1" localSheetId="4">#REF!</definedName>
    <definedName name="_____Ki1">#REF!</definedName>
    <definedName name="_____Ki2" localSheetId="4">#REF!</definedName>
    <definedName name="_____Ki2">#REF!</definedName>
    <definedName name="_____RL2" localSheetId="4">#REF!</definedName>
    <definedName name="_____RL2">#REF!</definedName>
    <definedName name="_____SE1" localSheetId="4">#REF!</definedName>
    <definedName name="_____SE1">#REF!</definedName>
    <definedName name="_____SET1" localSheetId="4">#REF!</definedName>
    <definedName name="_____SET1">#REF!</definedName>
    <definedName name="_____SET2" localSheetId="4">#REF!</definedName>
    <definedName name="_____SET2">#REF!</definedName>
    <definedName name="_____SET21" localSheetId="4">#REF!</definedName>
    <definedName name="_____SET21">#REF!</definedName>
    <definedName name="_____SI1" localSheetId="4">#REF!</definedName>
    <definedName name="_____SI1">#REF!</definedName>
    <definedName name="_____TB2" localSheetId="4">'[4]SPT vs PHI'!$B$2:$C$65</definedName>
    <definedName name="_____TB2">#REF!</definedName>
    <definedName name="_____Tk1" localSheetId="4">#REF!</definedName>
    <definedName name="_____Tk1">#REF!</definedName>
    <definedName name="_____Tkl1" localSheetId="4">#REF!</definedName>
    <definedName name="_____Tkl1">#REF!</definedName>
    <definedName name="____DEF1">"$#REF!.$X$3:$Y$10"</definedName>
    <definedName name="____DEF2">"$#REF!.$AA$3:$AF$10"</definedName>
    <definedName name="____del1" localSheetId="4">#REF!</definedName>
    <definedName name="____del1">#REF!</definedName>
    <definedName name="____dim4">"$#REF!.$#REF!$#REF!"</definedName>
    <definedName name="____Ki1" localSheetId="4">#REF!</definedName>
    <definedName name="____Ki1">#REF!</definedName>
    <definedName name="____Ki2" localSheetId="4">#REF!</definedName>
    <definedName name="____Ki2">#REF!</definedName>
    <definedName name="____rm4">"$#REF!.$#REF!$#REF!"</definedName>
    <definedName name="____SE1">"$#REF!.$E$3:$F$19"</definedName>
    <definedName name="____SET1">"$#REF!.$E$3:$F$10"</definedName>
    <definedName name="____SET2">"$#REF!.$G$3:$L$41"</definedName>
    <definedName name="____SET21">"$#REF!.$G$3:$L$41"</definedName>
    <definedName name="____TB2" localSheetId="4">#REF!</definedName>
    <definedName name="____TB2">#REF!</definedName>
    <definedName name="____Tk1" localSheetId="4">#REF!</definedName>
    <definedName name="____Tk1">#REF!</definedName>
    <definedName name="____Tkl1" localSheetId="4">#REF!</definedName>
    <definedName name="____Tkl1">#REF!</definedName>
    <definedName name="___a1" localSheetId="1" hidden="1">{#N/A,#N/A,TRUE,"Overall";#N/A,#N/A,TRUE,"Region Wise ";#N/A,#N/A,TRUE,"Client Wise"}</definedName>
    <definedName name="___a1" localSheetId="4" hidden="1">{#N/A,#N/A,TRUE,"Overall";#N/A,#N/A,TRUE,"Region Wise ";#N/A,#N/A,TRUE,"Client Wise"}</definedName>
    <definedName name="___a1" localSheetId="0" hidden="1">{#N/A,#N/A,TRUE,"Overall";#N/A,#N/A,TRUE,"Region Wise ";#N/A,#N/A,TRUE,"Client Wise"}</definedName>
    <definedName name="___a1" hidden="1">{#N/A,#N/A,TRUE,"Overall";#N/A,#N/A,TRUE,"Region Wise ";#N/A,#N/A,TRUE,"Client Wise"}</definedName>
    <definedName name="___DEF1" localSheetId="4">#REF!</definedName>
    <definedName name="___DEF1">#REF!</definedName>
    <definedName name="___DEF2" localSheetId="4">#REF!</definedName>
    <definedName name="___DEF2">#REF!</definedName>
    <definedName name="___del1">"$#REF!.$D$108"</definedName>
    <definedName name="___dim4" localSheetId="4">#REF!</definedName>
    <definedName name="___dim4">#REF!</definedName>
    <definedName name="___Ki1">"$#REF!.$C$147"</definedName>
    <definedName name="___Ki2">"$#REF!.$C$162"</definedName>
    <definedName name="___RL2">"$#REF!.$#REF!$#REF!"</definedName>
    <definedName name="___rm4" localSheetId="4">#REF!</definedName>
    <definedName name="___rm4">#REF!</definedName>
    <definedName name="___SE1" localSheetId="4">#REF!</definedName>
    <definedName name="___SE1">#REF!</definedName>
    <definedName name="___SET1" localSheetId="4">#REF!</definedName>
    <definedName name="___SET1">#REF!</definedName>
    <definedName name="___SET2" localSheetId="4">#REF!</definedName>
    <definedName name="___SET2">#REF!</definedName>
    <definedName name="___SET21" localSheetId="4">#REF!</definedName>
    <definedName name="___SET21">#REF!</definedName>
    <definedName name="___SI1">"$#REF!.$#REF!$#REF!"</definedName>
    <definedName name="___TB2" localSheetId="4">'[4]SPT vs PHI'!$B$2:$C$65</definedName>
    <definedName name="___TB2">#REF!</definedName>
    <definedName name="___Tk1">"$#REF!.$D$138"</definedName>
    <definedName name="___Tkl1">"$#REF!.$#REF!$36"</definedName>
    <definedName name="__123Graph_X" localSheetId="4" hidden="1">#REF!</definedName>
    <definedName name="__123Graph_X" hidden="1">#REF!</definedName>
    <definedName name="__A1" localSheetId="4">#REF!</definedName>
    <definedName name="__A1">#REF!</definedName>
    <definedName name="__a2" localSheetId="4">#REF!</definedName>
    <definedName name="__a2">#REF!</definedName>
    <definedName name="__a3" localSheetId="4">#REF!</definedName>
    <definedName name="__a3">#REF!</definedName>
    <definedName name="__DEF1" localSheetId="4">#REF!</definedName>
    <definedName name="__DEF1">#REF!</definedName>
    <definedName name="__DEF2" localSheetId="4">#REF!</definedName>
    <definedName name="__DEF2">#REF!</definedName>
    <definedName name="__del1">"$#REF!.$D$108"</definedName>
    <definedName name="__dim4">"$#REF!.$#REF!$#REF!"</definedName>
    <definedName name="__JL91">#N/A</definedName>
    <definedName name="__Ki1">"$#REF!.$C$147"</definedName>
    <definedName name="__Ki2">"$#REF!.$C$162"</definedName>
    <definedName name="__rim4" localSheetId="4">#REF!</definedName>
    <definedName name="__rim4">#REF!</definedName>
    <definedName name="__RL2">"$#REF!.$#REF!$#REF!"</definedName>
    <definedName name="__rm4">"$#REF!.$#REF!$#REF!"</definedName>
    <definedName name="__SE1" localSheetId="4">#REF!</definedName>
    <definedName name="__SE1">#REF!</definedName>
    <definedName name="__SET1" localSheetId="4">#REF!</definedName>
    <definedName name="__SET1">#REF!</definedName>
    <definedName name="__SET2" localSheetId="4">#REF!</definedName>
    <definedName name="__SET2">#REF!</definedName>
    <definedName name="__SET21" localSheetId="4">#REF!</definedName>
    <definedName name="__SET21">#REF!</definedName>
    <definedName name="__SI1">"$#REF!.$#REF!$#REF!"</definedName>
    <definedName name="__TB2" localSheetId="4">'[4]SPT vs PHI'!$B$2:$C$65</definedName>
    <definedName name="__TB2">#REF!</definedName>
    <definedName name="__Tk1">"$#REF!.$D$138"</definedName>
    <definedName name="__Tkl1">"$#REF!.$#REF!$36"</definedName>
    <definedName name="__xlnm._FilterDatabase">"$#REF!.$B$1:$X$18"</definedName>
    <definedName name="_192.168.50.66" localSheetId="1">#REF!</definedName>
    <definedName name="_192.168.50.66" localSheetId="4">#REF!</definedName>
    <definedName name="_192.168.50.66">#REF!</definedName>
    <definedName name="_1Excel_BuiltIn_Print_Titles_3_1" localSheetId="1">#REF!,#REF!</definedName>
    <definedName name="_1Excel_BuiltIn_Print_Titles_3_1" localSheetId="4">[5]PMCC3!$A$1:$M$65501,[5]PMCC3!$A$6:$IV$8</definedName>
    <definedName name="_1Excel_BuiltIn_Print_Titles_3_1">#REF!,#REF!</definedName>
    <definedName name="_88">#N/A</definedName>
    <definedName name="_A1" localSheetId="4">#REF!</definedName>
    <definedName name="_A1">#REF!</definedName>
    <definedName name="_a2" localSheetId="4">#REF!</definedName>
    <definedName name="_a2">#REF!</definedName>
    <definedName name="_a3" localSheetId="4">#REF!</definedName>
    <definedName name="_a3">#REF!</definedName>
    <definedName name="_BAA1" localSheetId="4">#REF!</definedName>
    <definedName name="_BAA1">#REF!</definedName>
    <definedName name="_bbl34" localSheetId="4">'[6]load data'!$Q$8:$S$41</definedName>
    <definedName name="_bbl34">#REF!</definedName>
    <definedName name="_BNB" localSheetId="4">#REF!</definedName>
    <definedName name="_BNB">#REF!</definedName>
    <definedName name="_c">NA()</definedName>
    <definedName name="_cgl34" localSheetId="4">'[6]load data'!$AA$8:$AC$41</definedName>
    <definedName name="_cgl34">#REF!</definedName>
    <definedName name="_d4" localSheetId="4">'[7]Design basis-C'!$F$11</definedName>
    <definedName name="_d4">#REF!</definedName>
    <definedName name="_DEF1" localSheetId="4">#REF!</definedName>
    <definedName name="_DEF1">#REF!</definedName>
    <definedName name="_DEF2" localSheetId="4">#REF!</definedName>
    <definedName name="_DEF2">#REF!</definedName>
    <definedName name="_del1">"$#REF!.$D$108"</definedName>
    <definedName name="_df1" localSheetId="4">#REF!</definedName>
    <definedName name="_df1">#REF!</definedName>
    <definedName name="_df2" localSheetId="4">#REF!</definedName>
    <definedName name="_df2">#REF!</definedName>
    <definedName name="_df3" localSheetId="4">#REF!</definedName>
    <definedName name="_df3">#REF!</definedName>
    <definedName name="_df4" localSheetId="4">#REF!</definedName>
    <definedName name="_df4">#REF!</definedName>
    <definedName name="_df5" localSheetId="4">#REF!</definedName>
    <definedName name="_df5">#REF!</definedName>
    <definedName name="_df6" localSheetId="4">#REF!</definedName>
    <definedName name="_df6">#REF!</definedName>
    <definedName name="_df7" localSheetId="4">#REF!</definedName>
    <definedName name="_df7">#REF!</definedName>
    <definedName name="_df8" localSheetId="4">#REF!</definedName>
    <definedName name="_df8">#REF!</definedName>
    <definedName name="_dim4" localSheetId="4">#REF!</definedName>
    <definedName name="_dim4">#REF!</definedName>
    <definedName name="_doc1" localSheetId="4">'[7]Design basis-C'!$E$6</definedName>
    <definedName name="_doc1">#REF!</definedName>
    <definedName name="_doc4" localSheetId="4">'[7]Design basis-C'!$E$6</definedName>
    <definedName name="_doc4">#REF!</definedName>
    <definedName name="_EMC2" localSheetId="4">#REF!</definedName>
    <definedName name="_EMC2">#REF!</definedName>
    <definedName name="_Fill" localSheetId="4" hidden="1">#REF!</definedName>
    <definedName name="_Fill" hidden="1">#REF!</definedName>
    <definedName name="_h">NA()</definedName>
    <definedName name="_H264" localSheetId="4">#REF!</definedName>
    <definedName name="_H264" localSheetId="0">#REF!</definedName>
    <definedName name="_H264">#REF!</definedName>
    <definedName name="_H264FACTOR" localSheetId="4">#REF!</definedName>
    <definedName name="_H264FACTOR" localSheetId="0">#REF!</definedName>
    <definedName name="_H264FACTOR">#REF!</definedName>
    <definedName name="_HRP1001" localSheetId="4">#REF!</definedName>
    <definedName name="_HRP1001">#REF!</definedName>
    <definedName name="_HRP1023" localSheetId="4">#REF!</definedName>
    <definedName name="_HRP1023">#REF!</definedName>
    <definedName name="_HRP1025" localSheetId="4">#REF!</definedName>
    <definedName name="_HRP1025">#REF!</definedName>
    <definedName name="_HRP1026" localSheetId="4">#REF!</definedName>
    <definedName name="_HRP1026">#REF!</definedName>
    <definedName name="_HRP1027" localSheetId="4">#REF!</definedName>
    <definedName name="_HRP1027">#REF!</definedName>
    <definedName name="_HRP1028" localSheetId="4">#REF!</definedName>
    <definedName name="_HRP1028">#REF!</definedName>
    <definedName name="_HRP1035" localSheetId="4">#REF!</definedName>
    <definedName name="_HRP1035">#REF!</definedName>
    <definedName name="_HRP1038" localSheetId="4">#REF!</definedName>
    <definedName name="_HRP1038">#REF!</definedName>
    <definedName name="_HRP1042" localSheetId="4">#REF!</definedName>
    <definedName name="_HRP1042">#REF!</definedName>
    <definedName name="_HRT1035" localSheetId="4">#REF!</definedName>
    <definedName name="_HRT1035">#REF!</definedName>
    <definedName name="_HRT1042" localSheetId="4">#REF!</definedName>
    <definedName name="_HRT1042">#REF!</definedName>
    <definedName name="_JL91">#N/A</definedName>
    <definedName name="_Key1" localSheetId="4" hidden="1">#REF!</definedName>
    <definedName name="_Key1" hidden="1">#REF!</definedName>
    <definedName name="_Ki1">"$#REF!.$C$147"</definedName>
    <definedName name="_Ki2">"$#REF!.$C$162"</definedName>
    <definedName name="_mix1" localSheetId="4">#REF!</definedName>
    <definedName name="_mix1">#REF!</definedName>
    <definedName name="_mix2" localSheetId="4">#REF!</definedName>
    <definedName name="_mix2">#REF!</definedName>
    <definedName name="_miy1" localSheetId="4">#REF!</definedName>
    <definedName name="_miy1">#REF!</definedName>
    <definedName name="_miy2" localSheetId="4">#REF!</definedName>
    <definedName name="_miy2">#REF!</definedName>
    <definedName name="_MJPEG" localSheetId="4">#REF!</definedName>
    <definedName name="_MJPEG" localSheetId="0">#REF!</definedName>
    <definedName name="_MJPEG">#REF!</definedName>
    <definedName name="_MJPEGFACTOR" localSheetId="4">#REF!</definedName>
    <definedName name="_MJPEGFACTOR" localSheetId="0">#REF!</definedName>
    <definedName name="_MJPEGFACTOR">#REF!</definedName>
    <definedName name="_MPEG4" localSheetId="4">#REF!</definedName>
    <definedName name="_MPEG4" localSheetId="0">#REF!</definedName>
    <definedName name="_MPEG4">#REF!</definedName>
    <definedName name="_MPEG4FACTOR" localSheetId="4">#REF!</definedName>
    <definedName name="_MPEG4FACTOR" localSheetId="0">#REF!</definedName>
    <definedName name="_MPEG4FACTOR">#REF!</definedName>
    <definedName name="_mux1" localSheetId="4">#REF!</definedName>
    <definedName name="_mux1">#REF!</definedName>
    <definedName name="_muy1" localSheetId="4">#REF!</definedName>
    <definedName name="_muy1">#REF!</definedName>
    <definedName name="_nil" localSheetId="4" hidden="1">#REF!</definedName>
    <definedName name="_nil" hidden="1">#REF!</definedName>
    <definedName name="_Order1" hidden="1">255</definedName>
    <definedName name="_Order2" hidden="1">255</definedName>
    <definedName name="_p">NA()</definedName>
    <definedName name="_p4" localSheetId="4">'[7]Design basis-C'!$G$8</definedName>
    <definedName name="_p4">#REF!</definedName>
    <definedName name="_Pil1" localSheetId="4">#REF!</definedName>
    <definedName name="_Pil1">#REF!</definedName>
    <definedName name="_Pil2" localSheetId="4">#REF!</definedName>
    <definedName name="_Pil2">#REF!</definedName>
    <definedName name="_PT1001022" localSheetId="4">#REF!</definedName>
    <definedName name="_PT1001022">#REF!</definedName>
    <definedName name="_PT1001023" localSheetId="4">#REF!</definedName>
    <definedName name="_PT1001023">#REF!</definedName>
    <definedName name="_PT1001025" localSheetId="4">#REF!</definedName>
    <definedName name="_PT1001025">#REF!</definedName>
    <definedName name="_PT1001027" localSheetId="4">#REF!</definedName>
    <definedName name="_PT1001027">#REF!</definedName>
    <definedName name="_PT1001031" localSheetId="4">#REF!</definedName>
    <definedName name="_PT1001031">#REF!</definedName>
    <definedName name="_PT1001040" localSheetId="4">#REF!</definedName>
    <definedName name="_PT1001040">#REF!</definedName>
    <definedName name="_PT1002" localSheetId="4">#REF!</definedName>
    <definedName name="_PT1002">#REF!</definedName>
    <definedName name="_r">NA()</definedName>
    <definedName name="_rim4" localSheetId="4">#REF!</definedName>
    <definedName name="_rim4">#REF!</definedName>
    <definedName name="_RL2">"$#REF!.$#REF!$#REF!"</definedName>
    <definedName name="_rm4" localSheetId="4">#REF!</definedName>
    <definedName name="_rm4">#REF!</definedName>
    <definedName name="_s">NA()</definedName>
    <definedName name="_SE1" localSheetId="4">#REF!</definedName>
    <definedName name="_SE1">#REF!</definedName>
    <definedName name="_SET1" localSheetId="4">#REF!</definedName>
    <definedName name="_SET1">#REF!</definedName>
    <definedName name="_SET2" localSheetId="4">#REF!</definedName>
    <definedName name="_SET2">#REF!</definedName>
    <definedName name="_SET21" localSheetId="4">#REF!</definedName>
    <definedName name="_SET21">#REF!</definedName>
    <definedName name="_SI1">"$#REF!.$#REF!$#REF!"</definedName>
    <definedName name="_Sort" localSheetId="1" hidden="1">[8]consolidated!#REF!</definedName>
    <definedName name="_Sort" localSheetId="4" hidden="1">[8]consolidated!#REF!</definedName>
    <definedName name="_Sort" hidden="1">[8]consolidated!#REF!</definedName>
    <definedName name="_TB2" localSheetId="1">#REF!</definedName>
    <definedName name="_TB2" localSheetId="4">'[4]SPT vs PHI'!$B$2:$C$65</definedName>
    <definedName name="_TB2">#REF!</definedName>
    <definedName name="_Tk1">"$#REF!.$D$138"</definedName>
    <definedName name="_Tkl1">"$#REF!.$#REF!$36"</definedName>
    <definedName name="a" localSheetId="1">#REF!</definedName>
    <definedName name="a" localSheetId="4">#REF!</definedName>
    <definedName name="a">#REF!</definedName>
    <definedName name="A_1" localSheetId="4">#REF!</definedName>
    <definedName name="A_1">#REF!</definedName>
    <definedName name="A_2" localSheetId="4">#REF!</definedName>
    <definedName name="A_2">#REF!</definedName>
    <definedName name="A1_" localSheetId="4">#REF!</definedName>
    <definedName name="A1_">#REF!</definedName>
    <definedName name="A10_" localSheetId="4">#REF!</definedName>
    <definedName name="A10_">#REF!</definedName>
    <definedName name="A13_" localSheetId="4">#REF!</definedName>
    <definedName name="A13_">#REF!</definedName>
    <definedName name="A2_" localSheetId="4">#REF!</definedName>
    <definedName name="A2_">#REF!</definedName>
    <definedName name="A3_" localSheetId="4">#REF!</definedName>
    <definedName name="A3_">#REF!</definedName>
    <definedName name="A4_" localSheetId="4">#REF!</definedName>
    <definedName name="A4_">#REF!</definedName>
    <definedName name="A5_" localSheetId="4">#REF!</definedName>
    <definedName name="A5_">#REF!</definedName>
    <definedName name="A6_" localSheetId="4">#REF!</definedName>
    <definedName name="A6_">#REF!</definedName>
    <definedName name="A7_" localSheetId="4">#REF!</definedName>
    <definedName name="A7_">#REF!</definedName>
    <definedName name="A8_" localSheetId="4">#REF!</definedName>
    <definedName name="A8_">#REF!</definedName>
    <definedName name="A9_" localSheetId="4">#REF!</definedName>
    <definedName name="A9_">#REF!</definedName>
    <definedName name="aa" localSheetId="1" hidden="1">{"'LTITL'!$A$1:$P$35"}</definedName>
    <definedName name="aa" localSheetId="4" hidden="1">{"'LTITL'!$A$1:$P$35"}</definedName>
    <definedName name="aa" localSheetId="0" hidden="1">{"'LTITL'!$A$1:$P$35"}</definedName>
    <definedName name="aa" hidden="1">{"'LTITL'!$A$1:$P$35"}</definedName>
    <definedName name="aaa" localSheetId="1">[9]Sachin!#REF!</definedName>
    <definedName name="aaa" localSheetId="4">#REF!</definedName>
    <definedName name="aaa">[10]Sachin!#REF!</definedName>
    <definedName name="aaDSada" localSheetId="4">#REF!</definedName>
    <definedName name="aaDSada">#REF!</definedName>
    <definedName name="aamin">"$#REF!.$D$225"</definedName>
    <definedName name="ab" localSheetId="4">#REF!</definedName>
    <definedName name="ab">#REF!</definedName>
    <definedName name="abc" localSheetId="4">#REF!</definedName>
    <definedName name="abc">#REF!</definedName>
    <definedName name="acab">"$#REF!.$AQ$3"</definedName>
    <definedName name="accab">"$#REF!.$AS$3"</definedName>
    <definedName name="AccessDatabase" hidden="1">"C:\Documents and Settings\JUNAGADH DAIRY\My Documents\priti\Priti\MIS &amp; A.C\January 07\January 07.mdb"</definedName>
    <definedName name="Account_Balance" localSheetId="1">#REF!</definedName>
    <definedName name="Account_Balance" localSheetId="4">#REF!</definedName>
    <definedName name="Account_Balance">#REF!</definedName>
    <definedName name="acon">"$#REF!.$AR$3"</definedName>
    <definedName name="ActCode" localSheetId="4">#REF!</definedName>
    <definedName name="ActCode">#REF!</definedName>
    <definedName name="ACTEA" localSheetId="4">#REF!</definedName>
    <definedName name="ACTEA">#REF!</definedName>
    <definedName name="ActPilot" localSheetId="4">#REF!</definedName>
    <definedName name="ActPilot">#REF!</definedName>
    <definedName name="ActSignal" localSheetId="4">#REF!</definedName>
    <definedName name="ActSignal">#REF!</definedName>
    <definedName name="ActType" localSheetId="4">#REF!</definedName>
    <definedName name="ActType">#REF!</definedName>
    <definedName name="ActualCv" localSheetId="4">#REF!</definedName>
    <definedName name="ActualCv">#REF!</definedName>
    <definedName name="ActualPress" localSheetId="4">#REF!</definedName>
    <definedName name="ActualPress">#REF!</definedName>
    <definedName name="AD" localSheetId="4">#REF!</definedName>
    <definedName name="AD">#REF!</definedName>
    <definedName name="ADaasas" localSheetId="4">#REF!</definedName>
    <definedName name="ADaasas">#REF!</definedName>
    <definedName name="AdditionalServicesList" localSheetId="4">OFFSET(#REF!,0,0,COUNTA(#REF!)-1,1)</definedName>
    <definedName name="AdditionalServicesList">OFFSET(#REF!,0,0,COUNTA(#REF!)-1,1)</definedName>
    <definedName name="adsasasads" localSheetId="4">#REF!</definedName>
    <definedName name="adsasasads">#REF!</definedName>
    <definedName name="adsfasdf" localSheetId="4">#REF!</definedName>
    <definedName name="adsfasdf" localSheetId="0">#REF!</definedName>
    <definedName name="adsfasdf">#REF!</definedName>
    <definedName name="afb" localSheetId="4">#REF!</definedName>
    <definedName name="afb">#REF!</definedName>
    <definedName name="Ag" localSheetId="4">#REF!</definedName>
    <definedName name="Ag">#REF!</definedName>
    <definedName name="ald" localSheetId="4">#REF!</definedName>
    <definedName name="ald">#REF!</definedName>
    <definedName name="AllPrice" localSheetId="4">#REF!</definedName>
    <definedName name="AllPrice">#REF!</definedName>
    <definedName name="alpan" localSheetId="4">#REF!</definedName>
    <definedName name="alpan">#REF!</definedName>
    <definedName name="alw" localSheetId="4">#REF!</definedName>
    <definedName name="alw">#REF!</definedName>
    <definedName name="AMC">'[11]Master data'!$B$60</definedName>
    <definedName name="amin">"$#REF!.$D$191"</definedName>
    <definedName name="amin1">"$#REF!.$D$191"</definedName>
    <definedName name="amin2">"$#REF!.$D$191"</definedName>
    <definedName name="an" localSheetId="1">#REF!</definedName>
    <definedName name="an" localSheetId="4">#REF!</definedName>
    <definedName name="an">#REF!</definedName>
    <definedName name="APP_AA">"$#REF!.$#REF!$7"</definedName>
    <definedName name="APP_AP_OS">"$#REF!.$#REF!$5"</definedName>
    <definedName name="app_server_compute_requirement_cores" localSheetId="1">[12]Calculations!$H$83</definedName>
    <definedName name="app_server_compute_requirement_cores" localSheetId="0">[13]Calculations!$H$83</definedName>
    <definedName name="app_server_compute_requirement_cores">[14]Calculations!$H$83</definedName>
    <definedName name="app_server_localdisk_requirement_gb" localSheetId="1">[12]Calculations!$H$114</definedName>
    <definedName name="app_server_localdisk_requirement_gb" localSheetId="0">[13]Calculations!$H$114</definedName>
    <definedName name="app_server_localdisk_requirement_gb">[14]Calculations!$H$114</definedName>
    <definedName name="app_server_localdisk_requirement_iops" localSheetId="1">[12]Calculations!$H$131</definedName>
    <definedName name="app_server_localdisk_requirement_iops" localSheetId="0">[13]Calculations!$H$131</definedName>
    <definedName name="app_server_localdisk_requirement_iops">[14]Calculations!$H$131</definedName>
    <definedName name="app_server_localdisk_requirement_mib_s" localSheetId="1">[12]Calculations!$H$132</definedName>
    <definedName name="app_server_localdisk_requirement_mib_s" localSheetId="0">[13]Calculations!$H$132</definedName>
    <definedName name="app_server_localdisk_requirement_mib_s">[14]Calculations!$H$132</definedName>
    <definedName name="app_server_ram_requirement_gib" localSheetId="1">[12]Calculations!$H$94</definedName>
    <definedName name="app_server_ram_requirement_gib" localSheetId="0">[13]Calculations!$H$94</definedName>
    <definedName name="app_server_ram_requirement_gib">[14]Calculations!$H$94</definedName>
    <definedName name="Apples" localSheetId="4">#REF!</definedName>
    <definedName name="Apples">#REF!</definedName>
    <definedName name="Applicable" localSheetId="1">[15]Sheet2!$A$1:$A$2</definedName>
    <definedName name="Applicable" localSheetId="4">[15]Sheet2!$A$1:$A$2</definedName>
    <definedName name="Applicable">[16]Sheet2!$A$1:$A$2</definedName>
    <definedName name="application" localSheetId="4">#REF!</definedName>
    <definedName name="application">#REF!</definedName>
    <definedName name="APRIL_2000" localSheetId="4">#REF!</definedName>
    <definedName name="APRIL_2000">#REF!</definedName>
    <definedName name="ARCHIVE_DURATION" localSheetId="4">#REF!</definedName>
    <definedName name="ARCHIVE_DURATION">#REF!</definedName>
    <definedName name="ARCHIVE_GSIZE" localSheetId="4">#REF!</definedName>
    <definedName name="ARCHIVE_GSIZE">#REF!</definedName>
    <definedName name="ARCHIVE_SDURATION" localSheetId="4">#REF!</definedName>
    <definedName name="ARCHIVE_SDURATION">#REF!</definedName>
    <definedName name="as" localSheetId="4">#REF!</definedName>
    <definedName name="as">#REF!</definedName>
    <definedName name="AS2HasNoAutoHeaderFooter" hidden="1">" "</definedName>
    <definedName name="AS2ReportLS" hidden="1">1</definedName>
    <definedName name="AS2SyncStepLS" hidden="1">0</definedName>
    <definedName name="AS2TickmarkLS" localSheetId="1" hidden="1">#REF!</definedName>
    <definedName name="AS2TickmarkLS" localSheetId="4" hidden="1">#REF!</definedName>
    <definedName name="AS2TickmarkLS" hidden="1">#REF!</definedName>
    <definedName name="AS2VersionLS" hidden="1">300</definedName>
    <definedName name="asd" localSheetId="1" hidden="1">{#N/A,#N/A,TRUE,"Overall";#N/A,#N/A,TRUE,"Region Wise ";#N/A,#N/A,TRUE,"Client Wise"}</definedName>
    <definedName name="asd" localSheetId="4" hidden="1">{#N/A,#N/A,TRUE,"Overall";#N/A,#N/A,TRUE,"Region Wise ";#N/A,#N/A,TRUE,"Client Wise"}</definedName>
    <definedName name="asd" localSheetId="0" hidden="1">{#N/A,#N/A,TRUE,"Overall";#N/A,#N/A,TRUE,"Region Wise ";#N/A,#N/A,TRUE,"Client Wise"}</definedName>
    <definedName name="asd" hidden="1">{#N/A,#N/A,TRUE,"Overall";#N/A,#N/A,TRUE,"Region Wise ";#N/A,#N/A,TRUE,"Client Wise"}</definedName>
    <definedName name="asdd" localSheetId="1" hidden="1">{"'LTITL'!$A$1:$P$35"}</definedName>
    <definedName name="asdd" localSheetId="4" hidden="1">{"'LTITL'!$A$1:$P$35"}</definedName>
    <definedName name="asdd" localSheetId="0" hidden="1">{"'LTITL'!$A$1:$P$35"}</definedName>
    <definedName name="asdd" hidden="1">{"'LTITL'!$A$1:$P$35"}</definedName>
    <definedName name="asf" localSheetId="4">#REF!</definedName>
    <definedName name="asf">#REF!</definedName>
    <definedName name="asfsffaf" localSheetId="4">#REF!</definedName>
    <definedName name="asfsffaf">#REF!</definedName>
    <definedName name="Ast" localSheetId="4">#REF!</definedName>
    <definedName name="Ast">#REF!</definedName>
    <definedName name="astb" localSheetId="4">#REF!</definedName>
    <definedName name="astb">#REF!</definedName>
    <definedName name="Astmin" localSheetId="4">#REF!</definedName>
    <definedName name="Astmin">#REF!</definedName>
    <definedName name="astt" localSheetId="4">#REF!</definedName>
    <definedName name="astt">#REF!</definedName>
    <definedName name="atm" localSheetId="4">#REF!</definedName>
    <definedName name="atm">#REF!</definedName>
    <definedName name="atm_1" localSheetId="4">#REF!</definedName>
    <definedName name="atm_1">#REF!</definedName>
    <definedName name="atm_2" localSheetId="4">#REF!</definedName>
    <definedName name="atm_2">#REF!</definedName>
    <definedName name="atm_3">"$#REF!.$#REF!$#REF!"</definedName>
    <definedName name="atm_4" localSheetId="4">#REF!</definedName>
    <definedName name="atm_4">#REF!</definedName>
    <definedName name="atm_5" localSheetId="4">#REF!</definedName>
    <definedName name="atm_5">#REF!</definedName>
    <definedName name="atm_6" localSheetId="4">#REF!</definedName>
    <definedName name="atm_6">#REF!</definedName>
    <definedName name="Auftragswert" localSheetId="4">#REF!</definedName>
    <definedName name="Auftragswert">#REF!</definedName>
    <definedName name="Auxiliary" localSheetId="4">#REF!</definedName>
    <definedName name="Auxiliary">#REF!</definedName>
    <definedName name="auxlp" localSheetId="4">#REF!</definedName>
    <definedName name="auxlp">#REF!</definedName>
    <definedName name="AWSRT" localSheetId="4">#REF!</definedName>
    <definedName name="AWSRT">#REF!</definedName>
    <definedName name="B" localSheetId="1">'[17]PRECAST lightconc-II'!$K$19</definedName>
    <definedName name="B">'[18]PRECAST lightconc-II'!$K$19</definedName>
    <definedName name="Bananas" localSheetId="4">#REF!</definedName>
    <definedName name="Bananas">#REF!</definedName>
    <definedName name="Band">[19]Labels!$E$3:$E$9</definedName>
    <definedName name="bas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BaseModel" localSheetId="1">#REF!</definedName>
    <definedName name="BaseModel" localSheetId="4">#REF!</definedName>
    <definedName name="BaseModel">#REF!</definedName>
    <definedName name="BaseModelPrice" localSheetId="4">#REF!</definedName>
    <definedName name="BaseModelPrice">#REF!</definedName>
    <definedName name="BasePrice" localSheetId="4">#REF!</definedName>
    <definedName name="BasePrice">#REF!</definedName>
    <definedName name="bbbb" localSheetId="4">'[7]Design basis-C'!$F$10</definedName>
    <definedName name="bbbb">#REF!</definedName>
    <definedName name="bbbbbb" localSheetId="4">'[7]Design basis-C'!$F$10</definedName>
    <definedName name="bbbbbb">#REF!</definedName>
    <definedName name="bblfull" localSheetId="4">'[6]load data'!$V$8:$X$41</definedName>
    <definedName name="bblfull">#REF!</definedName>
    <definedName name="bc">"$#REF!.$D$117"</definedName>
    <definedName name="bcol" localSheetId="4">#REF!</definedName>
    <definedName name="bcol">#REF!</definedName>
    <definedName name="BEx3O85IKWARA6NCJOLRBRJFMEWW" localSheetId="1" hidden="1">'[20]Volume 09-10'!#REF!</definedName>
    <definedName name="BEx3O85IKWARA6NCJOLRBRJFMEWW" localSheetId="4" hidden="1">'[20]Volume 09-10'!#REF!</definedName>
    <definedName name="BEx3O85IKWARA6NCJOLRBRJFMEWW" localSheetId="0" hidden="1">#REF!</definedName>
    <definedName name="BEx3O85IKWARA6NCJOLRBRJFMEWW" hidden="1">'[20]Volume 09-10'!#REF!</definedName>
    <definedName name="BEx5MLQZM68YQSKARVWTTPINFQ2C" localSheetId="1" hidden="1">'[20]Volume 09-10'!#REF!</definedName>
    <definedName name="BEx5MLQZM68YQSKARVWTTPINFQ2C" localSheetId="4" hidden="1">'[20]Volume 09-10'!#REF!</definedName>
    <definedName name="BEx5MLQZM68YQSKARVWTTPINFQ2C" localSheetId="0" hidden="1">#REF!</definedName>
    <definedName name="BEx5MLQZM68YQSKARVWTTPINFQ2C" hidden="1">'[20]Volume 09-10'!#REF!</definedName>
    <definedName name="BExERWCEBKQRYWRQLYJ4UCMMKTHG" localSheetId="1" hidden="1">'[20]Volume 09-10'!#REF!</definedName>
    <definedName name="BExERWCEBKQRYWRQLYJ4UCMMKTHG" localSheetId="4" hidden="1">'[20]Volume 09-10'!#REF!</definedName>
    <definedName name="BExERWCEBKQRYWRQLYJ4UCMMKTHG" localSheetId="0" hidden="1">#REF!</definedName>
    <definedName name="BExERWCEBKQRYWRQLYJ4UCMMKTHG" hidden="1">'[20]Volume 09-10'!#REF!</definedName>
    <definedName name="BExMBYPQDG9AYDQ5E8IECVFREPO6" localSheetId="1" hidden="1">'[20]Volume 09-10'!#REF!</definedName>
    <definedName name="BExMBYPQDG9AYDQ5E8IECVFREPO6" localSheetId="4" hidden="1">'[20]Volume 09-10'!#REF!</definedName>
    <definedName name="BExMBYPQDG9AYDQ5E8IECVFREPO6" localSheetId="0" hidden="1">#REF!</definedName>
    <definedName name="BExMBYPQDG9AYDQ5E8IECVFREPO6" hidden="1">'[20]Volume 09-10'!#REF!</definedName>
    <definedName name="BExQ9ZLYHWABXAA9NJDW8ZS0UQ9P" localSheetId="1" hidden="1">'[20]Volume 09-10'!#REF!</definedName>
    <definedName name="BExQ9ZLYHWABXAA9NJDW8ZS0UQ9P" localSheetId="4" hidden="1">'[20]Volume 09-10'!#REF!</definedName>
    <definedName name="BExQ9ZLYHWABXAA9NJDW8ZS0UQ9P" localSheetId="0" hidden="1">#REF!</definedName>
    <definedName name="BExQ9ZLYHWABXAA9NJDW8ZS0UQ9P" hidden="1">'[20]Volume 09-10'!#REF!</definedName>
    <definedName name="BExTUY9WNSJ91GV8CP0SKJTEIV82" localSheetId="1" hidden="1">'[20]Volume 09-10'!#REF!</definedName>
    <definedName name="BExTUY9WNSJ91GV8CP0SKJTEIV82" localSheetId="4" hidden="1">'[20]Volume 09-10'!#REF!</definedName>
    <definedName name="BExTUY9WNSJ91GV8CP0SKJTEIV82" localSheetId="0" hidden="1">#REF!</definedName>
    <definedName name="BExTUY9WNSJ91GV8CP0SKJTEIV82" hidden="1">'[20]Volume 09-10'!#REF!</definedName>
    <definedName name="bfoot" localSheetId="1">#REF!</definedName>
    <definedName name="bfoot" localSheetId="4">#REF!</definedName>
    <definedName name="bfoot">#REF!</definedName>
    <definedName name="BG_Del" hidden="1">15</definedName>
    <definedName name="BG_Ins" hidden="1">4</definedName>
    <definedName name="BG_Mod" hidden="1">6</definedName>
    <definedName name="bh">"$#REF!.$D$231"</definedName>
    <definedName name="BILL_TO_ADDRESS" localSheetId="1">[9]Sachin!#REF!</definedName>
    <definedName name="BILL_TO_ADDRESS" localSheetId="4">[21]Sachin!#REF!</definedName>
    <definedName name="BILL_TO_ADDRESS" localSheetId="0">[21]Sachin!#REF!</definedName>
    <definedName name="BILL_TO_ADDRESS">[9]Sachin!#REF!</definedName>
    <definedName name="BILL_TO_CONTACT" localSheetId="1">[9]Sachin!#REF!</definedName>
    <definedName name="BILL_TO_CONTACT" localSheetId="4">[21]Sachin!#REF!</definedName>
    <definedName name="BILL_TO_CONTACT" localSheetId="0">[21]Sachin!#REF!</definedName>
    <definedName name="BILL_TO_CONTACT">[9]Sachin!#REF!</definedName>
    <definedName name="BILL_TO_LABEL" localSheetId="1">[9]Sachin!#REF!</definedName>
    <definedName name="BILL_TO_LABEL" localSheetId="4">[21]Sachin!#REF!</definedName>
    <definedName name="BILL_TO_LABEL" localSheetId="0">[21]Sachin!#REF!</definedName>
    <definedName name="BILL_TO_LABEL">[9]Sachin!#REF!</definedName>
    <definedName name="BILL_TO_NAME" localSheetId="1">[9]Sachin!#REF!</definedName>
    <definedName name="BILL_TO_NAME" localSheetId="4">[21]Sachin!#REF!</definedName>
    <definedName name="BILL_TO_NAME" localSheetId="0">[21]Sachin!#REF!</definedName>
    <definedName name="BILL_TO_NAME">[9]Sachin!#REF!</definedName>
    <definedName name="BILL_TO_PHONE" localSheetId="1">[9]Sachin!#REF!</definedName>
    <definedName name="BILL_TO_PHONE" localSheetId="4">[21]Sachin!#REF!</definedName>
    <definedName name="BILL_TO_PHONE" localSheetId="0">[21]Sachin!#REF!</definedName>
    <definedName name="BILL_TO_PHONE">[9]Sachin!#REF!</definedName>
    <definedName name="BIOS" localSheetId="1">#REF!</definedName>
    <definedName name="BIOS" localSheetId="4">#REF!</definedName>
    <definedName name="BIOS">#REF!</definedName>
    <definedName name="bit" localSheetId="1">[22]Reference!$B$2:$B$6</definedName>
    <definedName name="bit" localSheetId="4">[22]Reference!$B$2:$B$6</definedName>
    <definedName name="bit">#REF!</definedName>
    <definedName name="BITRATE" localSheetId="1">#REF!</definedName>
    <definedName name="BITRATE" localSheetId="4">#REF!</definedName>
    <definedName name="BITRATE">#REF!</definedName>
    <definedName name="BldgQty">"$#REF!.$M$4"</definedName>
    <definedName name="BMxxi" localSheetId="4">#REF!</definedName>
    <definedName name="BMxxi">#REF!</definedName>
    <definedName name="BMxxii" localSheetId="4">#REF!</definedName>
    <definedName name="BMxxii">#REF!</definedName>
    <definedName name="BMxxiii" localSheetId="4">#REF!</definedName>
    <definedName name="BMxxiii">#REF!</definedName>
    <definedName name="BMyyi" localSheetId="4">#REF!</definedName>
    <definedName name="BMyyi">#REF!</definedName>
    <definedName name="bol" localSheetId="4">#REF!</definedName>
    <definedName name="bol">#REF!</definedName>
    <definedName name="boml" localSheetId="4">#REF!</definedName>
    <definedName name="boml">#REF!</definedName>
    <definedName name="BOQ" localSheetId="4">#REF!</definedName>
    <definedName name="BOQ">#REF!</definedName>
    <definedName name="boq_type" localSheetId="4">#REF!</definedName>
    <definedName name="boq_type">#REF!</definedName>
    <definedName name="boq_version" localSheetId="1">[23]Config!$C$2:$C$3</definedName>
    <definedName name="boq_version" localSheetId="0">[24]Config!$C$2:$C$3</definedName>
    <definedName name="boq_version">[25]Config!$C$2:$C$3</definedName>
    <definedName name="botl" localSheetId="4">#REF!</definedName>
    <definedName name="botl">#REF!</definedName>
    <definedName name="botn" localSheetId="4">#REF!</definedName>
    <definedName name="botn">#REF!</definedName>
    <definedName name="Bph" localSheetId="4">#REF!</definedName>
    <definedName name="Bph">#REF!</definedName>
    <definedName name="breadth" localSheetId="4">#REF!</definedName>
    <definedName name="breadth">#REF!</definedName>
    <definedName name="Breaks" localSheetId="4">#REF!</definedName>
    <definedName name="Breaks">#REF!</definedName>
    <definedName name="Breakup" localSheetId="4">#REF!</definedName>
    <definedName name="Breakup">#REF!</definedName>
    <definedName name="BRS_FLOOR_ANALYSIS_LINES_TO_FORMAT0" localSheetId="4">[21]Sachin!#REF!</definedName>
    <definedName name="BRS_FLOOR_ANALYSIS_LINES_TO_FORMAT0" localSheetId="0">[21]Sachin!#REF!</definedName>
    <definedName name="BRS_FLOOR_ANALYSIS_LINES_TO_FORMAT0">[9]Sachin!#REF!</definedName>
    <definedName name="BRS_FLOOR_ANALYSIS_LINES_TO_FORMAT1" localSheetId="4">[21]Sachin!#REF!</definedName>
    <definedName name="BRS_FLOOR_ANALYSIS_LINES_TO_FORMAT1" localSheetId="0">[21]Sachin!#REF!</definedName>
    <definedName name="BRS_FLOOR_ANALYSIS_LINES_TO_FORMAT1">[9]Sachin!#REF!</definedName>
    <definedName name="BRS_FLOOR_ANALYSIS_SECTION" localSheetId="4">[21]Sachin!#REF!</definedName>
    <definedName name="BRS_FLOOR_ANALYSIS_SECTION" localSheetId="0">[21]Sachin!#REF!</definedName>
    <definedName name="BRS_FLOOR_ANALYSIS_SECTION">[9]Sachin!#REF!</definedName>
    <definedName name="BRStage" localSheetId="1">#REF!</definedName>
    <definedName name="BRStage" localSheetId="4">#REF!</definedName>
    <definedName name="BRStage" localSheetId="0">#REF!</definedName>
    <definedName name="BRStage">#REF!</definedName>
    <definedName name="BSB5_Reinigung_in_BiopurC" localSheetId="1">#REF!</definedName>
    <definedName name="BSB5_Reinigung_in_BiopurC" localSheetId="4">[26]BALAN1!#REF!</definedName>
    <definedName name="BSB5_Reinigung_in_BiopurC">#REF!</definedName>
    <definedName name="BSB5_Reinigung_in_BiopurN" localSheetId="4">[26]BALAN1!#REF!</definedName>
    <definedName name="BSB5_Reinigung_in_BiopurN">#REF!</definedName>
    <definedName name="BSB5Rückläufekg" localSheetId="4">[26]BALAN1!$E$15</definedName>
    <definedName name="BSB5Rückläufekg">#REF!</definedName>
    <definedName name="BSB5vorklkg" localSheetId="4">[26]BALAN1!$F$15</definedName>
    <definedName name="BSB5vorklkg">#REF!</definedName>
    <definedName name="BSB5vorklmg" localSheetId="4">[26]BALAN1!$F$16</definedName>
    <definedName name="BSB5vorklmg">#REF!</definedName>
    <definedName name="BSSpn" localSheetId="4">#REF!</definedName>
    <definedName name="BSSpn">#REF!</definedName>
    <definedName name="Bsump" localSheetId="4">#REF!</definedName>
    <definedName name="Bsump">#REF!</definedName>
    <definedName name="bua" localSheetId="4">#REF!</definedName>
    <definedName name="bua">#REF!</definedName>
    <definedName name="Bus_bays">[27]Input!$B$17</definedName>
    <definedName name="bwfb" localSheetId="4">#REF!</definedName>
    <definedName name="bwfb">#REF!</definedName>
    <definedName name="bwl" localSheetId="4">#REF!</definedName>
    <definedName name="bwl">#REF!</definedName>
    <definedName name="bwld" localSheetId="4">#REF!</definedName>
    <definedName name="bwld">#REF!</definedName>
    <definedName name="bww" localSheetId="4">#REF!</definedName>
    <definedName name="bww">#REF!</definedName>
    <definedName name="Bx">"$#REF!.$E$26"</definedName>
    <definedName name="bxnvxnd" localSheetId="4">#REF!</definedName>
    <definedName name="bxnvxnd">#REF!</definedName>
    <definedName name="C_">#N/A</definedName>
    <definedName name="CA" localSheetId="4">#REF!</definedName>
    <definedName name="CA">#REF!</definedName>
    <definedName name="CA_1">"$#REF!.$I$23"</definedName>
    <definedName name="CA_2" localSheetId="4">#REF!</definedName>
    <definedName name="CA_2">#REF!</definedName>
    <definedName name="CA_3" localSheetId="4">#REF!</definedName>
    <definedName name="CA_3">#REF!</definedName>
    <definedName name="CA_4" localSheetId="4">#REF!</definedName>
    <definedName name="CA_4">#REF!</definedName>
    <definedName name="cab" localSheetId="4">#REF!</definedName>
    <definedName name="cab">#REF!</definedName>
    <definedName name="cab21.5tp" localSheetId="4">#REF!</definedName>
    <definedName name="cab21.5tp">#REF!</definedName>
    <definedName name="cab21s" localSheetId="4">#REF!</definedName>
    <definedName name="cab21s">#REF!</definedName>
    <definedName name="cab21us" localSheetId="4">#REF!</definedName>
    <definedName name="cab21us">#REF!</definedName>
    <definedName name="cab31s" localSheetId="4">#REF!</definedName>
    <definedName name="cab31s">#REF!</definedName>
    <definedName name="cab31us" localSheetId="4">#REF!</definedName>
    <definedName name="cab31us">#REF!</definedName>
    <definedName name="cab41s" localSheetId="4">#REF!</definedName>
    <definedName name="cab41s">#REF!</definedName>
    <definedName name="cab41us" localSheetId="4">#REF!</definedName>
    <definedName name="cab41us">#REF!</definedName>
    <definedName name="cabd">"$#REF!.$#REF!$#REF!"</definedName>
    <definedName name="cabf">"$#REF!.$#REF!$#REF!"</definedName>
    <definedName name="cabinet" localSheetId="4">#REF!</definedName>
    <definedName name="cabinet" localSheetId="0">#REF!</definedName>
    <definedName name="cabinet">#REF!</definedName>
    <definedName name="Cable" localSheetId="4">#REF!</definedName>
    <definedName name="Cable">#REF!</definedName>
    <definedName name="Cable_SW" localSheetId="4">#REF!</definedName>
    <definedName name="Cable_SW">#REF!</definedName>
    <definedName name="Cable1" localSheetId="4">#REF!</definedName>
    <definedName name="Cable1">#REF!</definedName>
    <definedName name="cald">"$#REF!.$B$11"</definedName>
    <definedName name="CALf" localSheetId="4">#REF!</definedName>
    <definedName name="CALf">#REF!</definedName>
    <definedName name="CALIMP">"'file://Vijay/d/Offers/GRUNDFOSS/Grundfoss Offer 4A12/Final Offer - 4C16/IO List 4C08.xls'#$factors.$#REF!$#REF!"</definedName>
    <definedName name="calpersteel" localSheetId="4">#REF!</definedName>
    <definedName name="calpersteel">#REF!</definedName>
    <definedName name="cant" localSheetId="1">'[28]Staff Acco.'!#REF!</definedName>
    <definedName name="cant" localSheetId="4">'[29]Staff Acco.'!#REF!</definedName>
    <definedName name="cant">'[29]Staff Acco.'!#REF!</definedName>
    <definedName name="Capital1" localSheetId="1">#REF!</definedName>
    <definedName name="Capital1" localSheetId="4">#REF!</definedName>
    <definedName name="Capital1">#REF!</definedName>
    <definedName name="CardReaderInd400" localSheetId="1">[30]CCTV_EST1!#REF!</definedName>
    <definedName name="CardReaderInd400" localSheetId="4">[30]CCTV_EST1!#REF!</definedName>
    <definedName name="CardReaderInd400">[30]CCTV_EST1!#REF!</definedName>
    <definedName name="cat" localSheetId="1">#REF!</definedName>
    <definedName name="cat" localSheetId="4">#REF!</definedName>
    <definedName name="cat">#REF!</definedName>
    <definedName name="Catégories_SCT" localSheetId="4">#REF!</definedName>
    <definedName name="Catégories_SCT">#REF!</definedName>
    <definedName name="cbcbccb" localSheetId="1" hidden="1">[31]consolidated!#REF!</definedName>
    <definedName name="cbcbccb" localSheetId="4" hidden="1">[31]consolidated!#REF!</definedName>
    <definedName name="cbcbccb" localSheetId="0" hidden="1">[32]consolidated!#REF!</definedName>
    <definedName name="cbcbccb" hidden="1">[33]consolidated!#REF!</definedName>
    <definedName name="ccc">"$#REF!.$F$25"</definedName>
    <definedName name="ccrate" localSheetId="4">#REF!</definedName>
    <definedName name="ccrate">#REF!</definedName>
    <definedName name="cctr" localSheetId="4">#REF!</definedName>
    <definedName name="cctr">#REF!</definedName>
    <definedName name="CCVCVCV" localSheetId="4">#REF!</definedName>
    <definedName name="CCVCVCV">#REF!</definedName>
    <definedName name="Cd">"$#REF!.$D$227"</definedName>
    <definedName name="cdd" localSheetId="4">#REF!</definedName>
    <definedName name="cdd">#REF!</definedName>
    <definedName name="cdf" localSheetId="4">#REF!</definedName>
    <definedName name="cdf">#REF!</definedName>
    <definedName name="cffdf" localSheetId="4">#REF!</definedName>
    <definedName name="cffdf">#REF!</definedName>
    <definedName name="CFG_SECTION" localSheetId="4">#REF!</definedName>
    <definedName name="CFG_SECTION">#REF!</definedName>
    <definedName name="CFG_SUBTOTAL_ALL" localSheetId="1">[9]Sachin!#REF!</definedName>
    <definedName name="CFG_SUBTOTAL_ALL" localSheetId="4">[21]Sachin!#REF!</definedName>
    <definedName name="CFG_SUBTOTAL_ALL" localSheetId="0">[21]Sachin!#REF!</definedName>
    <definedName name="CFG_SUBTOTAL_ALL">[9]Sachin!#REF!</definedName>
    <definedName name="CFG_SUBTOTAL_HW" localSheetId="1">[9]Sachin!#REF!</definedName>
    <definedName name="CFG_SUBTOTAL_HW" localSheetId="4">[21]Sachin!#REF!</definedName>
    <definedName name="CFG_SUBTOTAL_HW" localSheetId="0">[21]Sachin!#REF!</definedName>
    <definedName name="CFG_SUBTOTAL_HW">[9]Sachin!#REF!</definedName>
    <definedName name="CFG_SUBTOTAL_MW" localSheetId="1">[9]Sachin!#REF!</definedName>
    <definedName name="CFG_SUBTOTAL_MW" localSheetId="4">[21]Sachin!#REF!</definedName>
    <definedName name="CFG_SUBTOTAL_MW" localSheetId="0">[21]Sachin!#REF!</definedName>
    <definedName name="CFG_SUBTOTAL_MW">[9]Sachin!#REF!</definedName>
    <definedName name="CFG_SUBTOTAL_PS" localSheetId="1">[9]Sachin!#REF!</definedName>
    <definedName name="CFG_SUBTOTAL_PS" localSheetId="4">[21]Sachin!#REF!</definedName>
    <definedName name="CFG_SUBTOTAL_PS" localSheetId="0">[21]Sachin!#REF!</definedName>
    <definedName name="CFG_SUBTOTAL_PS">[9]Sachin!#REF!</definedName>
    <definedName name="CFG_SUBTOTAL_SECTION" localSheetId="1">[9]Sachin!#REF!</definedName>
    <definedName name="CFG_SUBTOTAL_SECTION" localSheetId="4">[21]Sachin!#REF!</definedName>
    <definedName name="CFG_SUBTOTAL_SECTION" localSheetId="0">[21]Sachin!#REF!</definedName>
    <definedName name="CFG_SUBTOTAL_SECTION">[9]Sachin!#REF!</definedName>
    <definedName name="CFG_SUBTOTAL_SW" localSheetId="1">[9]Sachin!#REF!</definedName>
    <definedName name="CFG_SUBTOTAL_SW" localSheetId="4">[21]Sachin!#REF!</definedName>
    <definedName name="CFG_SUBTOTAL_SW" localSheetId="0">[21]Sachin!#REF!</definedName>
    <definedName name="CFG_SUBTOTAL_SW">[9]Sachin!#REF!</definedName>
    <definedName name="CFG_TITLE_FLD_CFG_NAME" localSheetId="1">#REF!</definedName>
    <definedName name="CFG_TITLE_FLD_CFG_NAME" localSheetId="4">#REF!</definedName>
    <definedName name="CFG_TITLE_FLD_CFG_NAME">#REF!</definedName>
    <definedName name="CFG_TITLE_SECTION" localSheetId="4">#REF!</definedName>
    <definedName name="CFG_TITLE_SECTION">#REF!</definedName>
    <definedName name="cglfull" localSheetId="4">'[6]load data'!$AF$8:$AH$41</definedName>
    <definedName name="cglfull">#REF!</definedName>
    <definedName name="check" localSheetId="4">'[7]Design basis-C'!$F$8</definedName>
    <definedName name="check">#REF!</definedName>
    <definedName name="check1" localSheetId="4">'[7]Design basis-C'!$F$8</definedName>
    <definedName name="check1">#REF!</definedName>
    <definedName name="check3" localSheetId="4">'[7]Design basis-C'!$F$8</definedName>
    <definedName name="check3">#REF!</definedName>
    <definedName name="checked" localSheetId="4">#REF!</definedName>
    <definedName name="checked">#REF!</definedName>
    <definedName name="chfinr" localSheetId="4">#REF!</definedName>
    <definedName name="chfinr">#REF!</definedName>
    <definedName name="china" localSheetId="1" hidden="1">{#N/A,#N/A,TRUE,"Overall";#N/A,#N/A,TRUE,"Region Wise ";#N/A,#N/A,TRUE,"Client Wise"}</definedName>
    <definedName name="china" localSheetId="4" hidden="1">{#N/A,#N/A,TRUE,"Overall";#N/A,#N/A,TRUE,"Region Wise ";#N/A,#N/A,TRUE,"Client Wise"}</definedName>
    <definedName name="china" localSheetId="0" hidden="1">{#N/A,#N/A,TRUE,"Overall";#N/A,#N/A,TRUE,"Region Wise ";#N/A,#N/A,TRUE,"Client Wise"}</definedName>
    <definedName name="china" hidden="1">{#N/A,#N/A,TRUE,"Overall";#N/A,#N/A,TRUE,"Region Wise ";#N/A,#N/A,TRUE,"Client Wise"}</definedName>
    <definedName name="ciff" localSheetId="4">#REF!</definedName>
    <definedName name="ciff">#REF!</definedName>
    <definedName name="Cisco_Category" localSheetId="4">#REF!</definedName>
    <definedName name="Cisco_Category">#REF!</definedName>
    <definedName name="Cisco_MA" localSheetId="4">#REF!</definedName>
    <definedName name="Cisco_MA">#REF!</definedName>
    <definedName name="CleintEmail" localSheetId="4">#REF!</definedName>
    <definedName name="CleintEmail">#REF!</definedName>
    <definedName name="ClientAddress1" localSheetId="4">#REF!</definedName>
    <definedName name="ClientAddress1">#REF!</definedName>
    <definedName name="ClientAddress2" localSheetId="4">#REF!</definedName>
    <definedName name="ClientAddress2">#REF!</definedName>
    <definedName name="ClientCity" localSheetId="4">#REF!</definedName>
    <definedName name="ClientCity">#REF!</definedName>
    <definedName name="ClientComp0" localSheetId="4">#REF!</definedName>
    <definedName name="ClientComp0">#REF!</definedName>
    <definedName name="ClientCompany" localSheetId="4">#REF!</definedName>
    <definedName name="ClientCompany">#REF!</definedName>
    <definedName name="ClientCountry" localSheetId="4">#REF!</definedName>
    <definedName name="ClientCountry">#REF!</definedName>
    <definedName name="ClientEmail" localSheetId="4">#REF!</definedName>
    <definedName name="ClientEmail">#REF!</definedName>
    <definedName name="ClientFax" localSheetId="4">#REF!</definedName>
    <definedName name="ClientFax">#REF!</definedName>
    <definedName name="ClientLand" localSheetId="4">#REF!</definedName>
    <definedName name="ClientLand">#REF!</definedName>
    <definedName name="ClientName" localSheetId="4">#REF!</definedName>
    <definedName name="ClientName">#REF!</definedName>
    <definedName name="ClientPhone" localSheetId="4">#REF!</definedName>
    <definedName name="ClientPhone">#REF!</definedName>
    <definedName name="ClientState" localSheetId="4">#REF!</definedName>
    <definedName name="ClientState">#REF!</definedName>
    <definedName name="ClientStreet" localSheetId="4">#REF!</definedName>
    <definedName name="ClientStreet">#REF!</definedName>
    <definedName name="ClientTel" localSheetId="4">#REF!</definedName>
    <definedName name="ClientTel">#REF!</definedName>
    <definedName name="ClientTown" localSheetId="4">#REF!</definedName>
    <definedName name="ClientTown">#REF!</definedName>
    <definedName name="ClientZip" localSheetId="4">#REF!</definedName>
    <definedName name="ClientZip">#REF!</definedName>
    <definedName name="clrf" localSheetId="4">#REF!</definedName>
    <definedName name="clrf">#REF!</definedName>
    <definedName name="Cluster" localSheetId="4">#REF!</definedName>
    <definedName name="Cluster">#REF!</definedName>
    <definedName name="Cluster_tech" localSheetId="4">#REF!</definedName>
    <definedName name="Cluster_tech">#REF!</definedName>
    <definedName name="clustered_p" localSheetId="1">[12]Calculations!$H$52</definedName>
    <definedName name="clustered_p" localSheetId="0">[13]Calculations!$H$52</definedName>
    <definedName name="clustered_p">[14]Calculations!$H$52</definedName>
    <definedName name="COAD" localSheetId="1">'[34]Civil Works'!$K$7</definedName>
    <definedName name="COAD">'[35]Civil Works'!$K$7</definedName>
    <definedName name="codecode" localSheetId="4">#REF!</definedName>
    <definedName name="codecode">#REF!</definedName>
    <definedName name="Codelines" localSheetId="1">[36]Controls!$B$3:$B$7</definedName>
    <definedName name="Codelines" localSheetId="0">#REF!</definedName>
    <definedName name="Codelines">[37]Controls!$B$3:$B$7</definedName>
    <definedName name="Codelines_Score" localSheetId="1">[36]Controls!$C$3:$C$7</definedName>
    <definedName name="Codelines_Score" localSheetId="0">#REF!</definedName>
    <definedName name="Codelines_Score">[37]Controls!$C$3:$C$7</definedName>
    <definedName name="CoLocation" localSheetId="1">#REF!</definedName>
    <definedName name="CoLocation" localSheetId="4">#REF!</definedName>
    <definedName name="CoLocation">#REF!</definedName>
    <definedName name="COLOR_BITS" localSheetId="4">#REF!</definedName>
    <definedName name="COLOR_BITS">#REF!</definedName>
    <definedName name="Columns" localSheetId="4">#REF!</definedName>
    <definedName name="Columns">#REF!</definedName>
    <definedName name="Comment1" localSheetId="4">#REF!</definedName>
    <definedName name="Comment1">#REF!</definedName>
    <definedName name="Comment2" localSheetId="4">#REF!</definedName>
    <definedName name="Comment2">#REF!</definedName>
    <definedName name="Comment3" localSheetId="4">#REF!</definedName>
    <definedName name="Comment3">#REF!</definedName>
    <definedName name="Comment4" localSheetId="4">#REF!</definedName>
    <definedName name="Comment4">#REF!</definedName>
    <definedName name="Comment5" localSheetId="4">#REF!</definedName>
    <definedName name="Comment5">#REF!</definedName>
    <definedName name="Comment6" localSheetId="4">#REF!</definedName>
    <definedName name="Comment6">#REF!</definedName>
    <definedName name="Comment7" localSheetId="4">#REF!</definedName>
    <definedName name="Comment7">#REF!</definedName>
    <definedName name="Comment8" localSheetId="4">#REF!</definedName>
    <definedName name="Comment8">#REF!</definedName>
    <definedName name="Comments" localSheetId="4">#REF!</definedName>
    <definedName name="Comments">#REF!</definedName>
    <definedName name="COMP_RATIO" localSheetId="4">#REF!</definedName>
    <definedName name="COMP_RATIO">#REF!</definedName>
    <definedName name="Company" localSheetId="4">#REF!</definedName>
    <definedName name="Company">#REF!</definedName>
    <definedName name="CompanyInfo1">"JCI"</definedName>
    <definedName name="CompanyInfo2">"JCI"</definedName>
    <definedName name="ComplianceStatus" localSheetId="1">[38]General!$B$18:$B$19</definedName>
    <definedName name="ComplianceStatus" localSheetId="4">[38]General!$B$18:$B$19</definedName>
    <definedName name="ComplianceStatus" localSheetId="0">[38]General!$B$18:$B$19</definedName>
    <definedName name="ComplianceStatus">[39]General!$B$18:$B$19</definedName>
    <definedName name="Component" localSheetId="1">#REF!</definedName>
    <definedName name="Component" localSheetId="4">#REF!</definedName>
    <definedName name="Component">#REF!</definedName>
    <definedName name="CONCATENATE" localSheetId="1">#REF!</definedName>
    <definedName name="CONCATENATE" localSheetId="4">#REF!</definedName>
    <definedName name="CONCATENATE">#REF!</definedName>
    <definedName name="Concurrent_Users" localSheetId="1">[36]Controls!$B$10:$B$14</definedName>
    <definedName name="Concurrent_Users" localSheetId="0">#REF!</definedName>
    <definedName name="Concurrent_Users">[37]Controls!$B$10:$B$14</definedName>
    <definedName name="cond1" localSheetId="4">#REF!</definedName>
    <definedName name="cond1">#REF!</definedName>
    <definedName name="cond2" localSheetId="4">#REF!</definedName>
    <definedName name="cond2">#REF!</definedName>
    <definedName name="condf" localSheetId="4">#REF!</definedName>
    <definedName name="condf">#REF!</definedName>
    <definedName name="conf">"$#REF!.$#REF!$#REF!"</definedName>
    <definedName name="Config" localSheetId="1">[40]cost!$B$3:$B$30</definedName>
    <definedName name="Config" localSheetId="4">[40]cost!$B$3:$B$30</definedName>
    <definedName name="Config" localSheetId="0">[41]cost!$B$3:$B$30</definedName>
    <definedName name="Config">[42]cost!$B$3:$B$30</definedName>
    <definedName name="ConfigInfo1" localSheetId="1">#REF!</definedName>
    <definedName name="ConfigInfo1" localSheetId="4">#REF!</definedName>
    <definedName name="ConfigInfo1">#REF!</definedName>
    <definedName name="ConfigInfo2" localSheetId="4">#REF!</definedName>
    <definedName name="ConfigInfo2">#REF!</definedName>
    <definedName name="ConfigPrice" localSheetId="4">#REF!</definedName>
    <definedName name="ConfigPrice">#REF!</definedName>
    <definedName name="ConfigPriceEuro" localSheetId="4">#REF!</definedName>
    <definedName name="ConfigPriceEuro">#REF!</definedName>
    <definedName name="ConfigState" localSheetId="4">#REF!</definedName>
    <definedName name="ConfigState">#REF!</definedName>
    <definedName name="conmsf">[43]factors!$J$8</definedName>
    <definedName name="ConnectivityList" localSheetId="4">OFFSET(#REF!,0,0,COUNTA(#REF!)-1,1)</definedName>
    <definedName name="ConnectivityList">OFFSET(#REF!,0,0,COUNTA(#REF!)-1,1)</definedName>
    <definedName name="Construction_Period" localSheetId="4">#REF!</definedName>
    <definedName name="Construction_Period">#REF!</definedName>
    <definedName name="Contact" localSheetId="4">#REF!</definedName>
    <definedName name="Contact">#REF!</definedName>
    <definedName name="Contents" localSheetId="1">[44]Instructions!#REF!</definedName>
    <definedName name="Contents" localSheetId="4">[45]Instructions!#REF!</definedName>
    <definedName name="Contents" localSheetId="0">[46]Instructions!#REF!</definedName>
    <definedName name="Contents">[45]Instructions!#REF!</definedName>
    <definedName name="Contingency" localSheetId="1">[47]Summary!$L$22</definedName>
    <definedName name="Contingency" localSheetId="4">[47]Summary!$L$22</definedName>
    <definedName name="Contingency" localSheetId="0">#REF!</definedName>
    <definedName name="Contingency">[48]Summary!$L$22</definedName>
    <definedName name="Contract" localSheetId="4">#REF!</definedName>
    <definedName name="Contract">#REF!</definedName>
    <definedName name="ContractName">"Contract"</definedName>
    <definedName name="ContractNumber">"88888888"</definedName>
    <definedName name="CONV" localSheetId="1">'[49]MS NET'!#REF!</definedName>
    <definedName name="CONV" localSheetId="4">'[49]MS NET'!#REF!</definedName>
    <definedName name="CONV" localSheetId="0">'[49]MS NET'!#REF!</definedName>
    <definedName name="CONV">'[49]MS NET'!#REF!</definedName>
    <definedName name="conversion_type" localSheetId="1">[23]Config!$E$2:$E$3</definedName>
    <definedName name="conversion_type" localSheetId="0">[24]Config!$E$2:$E$3</definedName>
    <definedName name="conversion_type">[25]Config!$E$2:$E$3</definedName>
    <definedName name="CoreType" localSheetId="4">#REF!</definedName>
    <definedName name="CoreType">#REF!</definedName>
    <definedName name="cost" localSheetId="1" hidden="1">{#N/A,#N/A,TRUE,"Overall";#N/A,#N/A,TRUE,"Region Wise ";#N/A,#N/A,TRUE,"Client Wise"}</definedName>
    <definedName name="cost" localSheetId="4" hidden="1">{#N/A,#N/A,TRUE,"Overall";#N/A,#N/A,TRUE,"Region Wise ";#N/A,#N/A,TRUE,"Client Wise"}</definedName>
    <definedName name="cost" localSheetId="0" hidden="1">{#N/A,#N/A,TRUE,"Overall";#N/A,#N/A,TRUE,"Region Wise ";#N/A,#N/A,TRUE,"Client Wise"}</definedName>
    <definedName name="cost" hidden="1">{#N/A,#N/A,TRUE,"Overall";#N/A,#N/A,TRUE,"Region Wise ";#N/A,#N/A,TRUE,"Client Wise"}</definedName>
    <definedName name="Cost_of_diesel">[50]Input!$B$32</definedName>
    <definedName name="costing" localSheetId="4">#REF!</definedName>
    <definedName name="costing">#REF!</definedName>
    <definedName name="cover" localSheetId="4">#REF!</definedName>
    <definedName name="cover">#REF!</definedName>
    <definedName name="cs" localSheetId="1">#REF!</definedName>
    <definedName name="Cs" localSheetId="4">"$#REF!.$B$69"</definedName>
    <definedName name="cs">#REF!</definedName>
    <definedName name="CSI_FLD_CSI_DESCRIPTION" localSheetId="1">[9]Sachin!#REF!</definedName>
    <definedName name="CSI_FLD_CSI_DESCRIPTION" localSheetId="4">[21]Sachin!#REF!</definedName>
    <definedName name="CSI_FLD_CSI_DESCRIPTION" localSheetId="0">[21]Sachin!#REF!</definedName>
    <definedName name="CSI_FLD_CSI_DESCRIPTION">[9]Sachin!#REF!</definedName>
    <definedName name="CSI_FLD_CSI_NAME" localSheetId="1">[9]Sachin!#REF!</definedName>
    <definedName name="CSI_FLD_CSI_NAME" localSheetId="4">[21]Sachin!#REF!</definedName>
    <definedName name="CSI_FLD_CSI_NAME" localSheetId="0">[21]Sachin!#REF!</definedName>
    <definedName name="CSI_FLD_CSI_NAME">[9]Sachin!#REF!</definedName>
    <definedName name="CSI_FLD_CSI_SERIAL_NUMBER" localSheetId="1">[9]Sachin!#REF!</definedName>
    <definedName name="CSI_FLD_CSI_SERIAL_NUMBER" localSheetId="4">[21]Sachin!#REF!</definedName>
    <definedName name="CSI_FLD_CSI_SERIAL_NUMBER" localSheetId="0">[21]Sachin!#REF!</definedName>
    <definedName name="CSI_FLD_CSI_SERIAL_NUMBER">[9]Sachin!#REF!</definedName>
    <definedName name="CSI_LABEL_FORCOPY_SERIAL_NUMBER" localSheetId="1">[9]Sachin!#REF!</definedName>
    <definedName name="CSI_LABEL_FORCOPY_SERIAL_NUMBER" localSheetId="4">[21]Sachin!#REF!</definedName>
    <definedName name="CSI_LABEL_FORCOPY_SERIAL_NUMBER" localSheetId="0">[21]Sachin!#REF!</definedName>
    <definedName name="CSI_LABEL_FORCOPY_SERIAL_NUMBER">[9]Sachin!#REF!</definedName>
    <definedName name="CSI_LABEL_HEADERS" localSheetId="1">#REF!</definedName>
    <definedName name="CSI_LABEL_HEADERS" localSheetId="4">#REF!</definedName>
    <definedName name="CSI_LABEL_HEADERS">#REF!</definedName>
    <definedName name="CSI_LINE_HW" localSheetId="4">#REF!</definedName>
    <definedName name="CSI_LINE_HW">#REF!</definedName>
    <definedName name="CSI_LINE_MW" localSheetId="1">[9]Sachin!#REF!</definedName>
    <definedName name="CSI_LINE_MW" localSheetId="4">[21]Sachin!#REF!</definedName>
    <definedName name="CSI_LINE_MW" localSheetId="0">[21]Sachin!#REF!</definedName>
    <definedName name="CSI_LINE_MW">[9]Sachin!#REF!</definedName>
    <definedName name="CSI_LINE_PS" localSheetId="1">[9]Sachin!#REF!</definedName>
    <definedName name="CSI_LINE_PS" localSheetId="4">[21]Sachin!#REF!</definedName>
    <definedName name="CSI_LINE_PS" localSheetId="0">[21]Sachin!#REF!</definedName>
    <definedName name="CSI_LINE_PS">[9]Sachin!#REF!</definedName>
    <definedName name="CSI_LINE_SW" localSheetId="1">[9]Sachin!#REF!</definedName>
    <definedName name="CSI_LINE_SW" localSheetId="4">[21]Sachin!#REF!</definedName>
    <definedName name="CSI_LINE_SW" localSheetId="0">[21]Sachin!#REF!</definedName>
    <definedName name="CSI_LINE_SW">[9]Sachin!#REF!</definedName>
    <definedName name="CSI_SECTION_HW_ALL" localSheetId="1">#REF!</definedName>
    <definedName name="CSI_SECTION_HW_ALL" localSheetId="4">#REF!</definedName>
    <definedName name="CSI_SECTION_HW_ALL">#REF!</definedName>
    <definedName name="CSI_SECTION_HW_BOT" localSheetId="1">[9]Sachin!#REF!</definedName>
    <definedName name="CSI_SECTION_HW_BOT" localSheetId="4">[21]Sachin!#REF!</definedName>
    <definedName name="CSI_SECTION_HW_BOT" localSheetId="0">[21]Sachin!#REF!</definedName>
    <definedName name="CSI_SECTION_HW_BOT">[9]Sachin!#REF!</definedName>
    <definedName name="CSI_SECTION_HW_TOP" localSheetId="1">#REF!</definedName>
    <definedName name="CSI_SECTION_HW_TOP" localSheetId="4">#REF!</definedName>
    <definedName name="CSI_SECTION_HW_TOP">#REF!</definedName>
    <definedName name="CSI_SECTION_MW_ALL" localSheetId="1">[9]Sachin!#REF!</definedName>
    <definedName name="CSI_SECTION_MW_ALL" localSheetId="4">[21]Sachin!#REF!</definedName>
    <definedName name="CSI_SECTION_MW_ALL" localSheetId="0">[21]Sachin!#REF!</definedName>
    <definedName name="CSI_SECTION_MW_ALL">[9]Sachin!#REF!</definedName>
    <definedName name="CSI_SECTION_MW_BOT" localSheetId="1">[9]Sachin!#REF!</definedName>
    <definedName name="CSI_SECTION_MW_BOT" localSheetId="4">[21]Sachin!#REF!</definedName>
    <definedName name="CSI_SECTION_MW_BOT" localSheetId="0">[21]Sachin!#REF!</definedName>
    <definedName name="CSI_SECTION_MW_BOT">[9]Sachin!#REF!</definedName>
    <definedName name="CSI_SECTION_MW_TOP" localSheetId="1">[9]Sachin!#REF!</definedName>
    <definedName name="CSI_SECTION_MW_TOP" localSheetId="4">[21]Sachin!#REF!</definedName>
    <definedName name="CSI_SECTION_MW_TOP" localSheetId="0">[21]Sachin!#REF!</definedName>
    <definedName name="CSI_SECTION_MW_TOP">[9]Sachin!#REF!</definedName>
    <definedName name="CSI_SECTION_PS_ALL" localSheetId="1">[9]Sachin!#REF!</definedName>
    <definedName name="CSI_SECTION_PS_ALL" localSheetId="4">[21]Sachin!#REF!</definedName>
    <definedName name="CSI_SECTION_PS_ALL" localSheetId="0">[21]Sachin!#REF!</definedName>
    <definedName name="CSI_SECTION_PS_ALL">[9]Sachin!#REF!</definedName>
    <definedName name="CSI_SECTION_PS_BOT" localSheetId="1">[9]Sachin!#REF!</definedName>
    <definedName name="CSI_SECTION_PS_BOT" localSheetId="4">[21]Sachin!#REF!</definedName>
    <definedName name="CSI_SECTION_PS_BOT" localSheetId="0">[21]Sachin!#REF!</definedName>
    <definedName name="CSI_SECTION_PS_BOT">[9]Sachin!#REF!</definedName>
    <definedName name="CSI_SECTION_PS_TOP" localSheetId="1">[9]Sachin!#REF!</definedName>
    <definedName name="CSI_SECTION_PS_TOP" localSheetId="4">[21]Sachin!#REF!</definedName>
    <definedName name="CSI_SECTION_PS_TOP" localSheetId="0">[21]Sachin!#REF!</definedName>
    <definedName name="CSI_SECTION_PS_TOP">[9]Sachin!#REF!</definedName>
    <definedName name="CSI_SECTION_SW_ALL" localSheetId="1">[9]Sachin!#REF!</definedName>
    <definedName name="CSI_SECTION_SW_ALL" localSheetId="4">[21]Sachin!#REF!</definedName>
    <definedName name="CSI_SECTION_SW_ALL" localSheetId="0">[21]Sachin!#REF!</definedName>
    <definedName name="CSI_SECTION_SW_ALL">[9]Sachin!#REF!</definedName>
    <definedName name="CSI_SECTION_SW_BOT" localSheetId="1">[9]Sachin!#REF!</definedName>
    <definedName name="CSI_SECTION_SW_BOT" localSheetId="4">[21]Sachin!#REF!</definedName>
    <definedName name="CSI_SECTION_SW_BOT" localSheetId="0">[21]Sachin!#REF!</definedName>
    <definedName name="CSI_SECTION_SW_BOT">[9]Sachin!#REF!</definedName>
    <definedName name="CSI_SECTION_SW_TOP" localSheetId="1">[9]Sachin!#REF!</definedName>
    <definedName name="CSI_SECTION_SW_TOP" localSheetId="4">[21]Sachin!#REF!</definedName>
    <definedName name="CSI_SECTION_SW_TOP" localSheetId="0">[21]Sachin!#REF!</definedName>
    <definedName name="CSI_SECTION_SW_TOP">[9]Sachin!#REF!</definedName>
    <definedName name="CSI_SECTION_TITLE" localSheetId="1">[9]Sachin!#REF!</definedName>
    <definedName name="CSI_SECTION_TITLE" localSheetId="4">[21]Sachin!#REF!</definedName>
    <definedName name="CSI_SECTION_TITLE" localSheetId="0">[21]Sachin!#REF!</definedName>
    <definedName name="CSI_SECTION_TITLE">[9]Sachin!#REF!</definedName>
    <definedName name="CSI_SUBTOTAL_HW" localSheetId="1">[9]Sachin!#REF!</definedName>
    <definedName name="CSI_SUBTOTAL_HW" localSheetId="4">[21]Sachin!#REF!</definedName>
    <definedName name="CSI_SUBTOTAL_HW" localSheetId="0">[21]Sachin!#REF!</definedName>
    <definedName name="CSI_SUBTOTAL_HW">[9]Sachin!#REF!</definedName>
    <definedName name="CSI_SUBTOTAL_MW" localSheetId="1">[9]Sachin!#REF!</definedName>
    <definedName name="CSI_SUBTOTAL_MW" localSheetId="4">[21]Sachin!#REF!</definedName>
    <definedName name="CSI_SUBTOTAL_MW" localSheetId="0">[21]Sachin!#REF!</definedName>
    <definedName name="CSI_SUBTOTAL_MW">[9]Sachin!#REF!</definedName>
    <definedName name="CSI_SUBTOTAL_PS" localSheetId="1">[9]Sachin!#REF!</definedName>
    <definedName name="CSI_SUBTOTAL_PS" localSheetId="4">[21]Sachin!#REF!</definedName>
    <definedName name="CSI_SUBTOTAL_PS" localSheetId="0">[21]Sachin!#REF!</definedName>
    <definedName name="CSI_SUBTOTAL_PS">[9]Sachin!#REF!</definedName>
    <definedName name="CSI_SUBTOTAL_SW" localSheetId="1">[9]Sachin!#REF!</definedName>
    <definedName name="CSI_SUBTOTAL_SW" localSheetId="4">[21]Sachin!#REF!</definedName>
    <definedName name="CSI_SUBTOTAL_SW" localSheetId="0">[21]Sachin!#REF!</definedName>
    <definedName name="CSI_SUBTOTAL_SW">[9]Sachin!#REF!</definedName>
    <definedName name="CSR" localSheetId="1">#REF!</definedName>
    <definedName name="CSR" localSheetId="4">#REF!</definedName>
    <definedName name="CSR">#REF!</definedName>
    <definedName name="cstf" localSheetId="4">#REF!</definedName>
    <definedName name="cstf">#REF!</definedName>
    <definedName name="cstvat" localSheetId="4">#REF!</definedName>
    <definedName name="cstvat">#REF!</definedName>
    <definedName name="CT1C1LC" localSheetId="4">#REF!</definedName>
    <definedName name="CT1C1LC">#REF!</definedName>
    <definedName name="CT1C1LR" localSheetId="4">#REF!</definedName>
    <definedName name="CT1C1LR">#REF!</definedName>
    <definedName name="CT1C1Rloop" localSheetId="4">#REF!</definedName>
    <definedName name="CT1C1Rloop">#REF!</definedName>
    <definedName name="CT1C1VAC" localSheetId="4">#REF!</definedName>
    <definedName name="CT1C1VAC">#REF!</definedName>
    <definedName name="CT1C1VAM" localSheetId="4">#REF!</definedName>
    <definedName name="CT1C1VAM">#REF!</definedName>
    <definedName name="CT1C1VAT" localSheetId="4">#REF!</definedName>
    <definedName name="CT1C1VAT">#REF!</definedName>
    <definedName name="CT1C2Lc" localSheetId="4">#REF!</definedName>
    <definedName name="CT1C2Lc">#REF!</definedName>
    <definedName name="CT1C2LR" localSheetId="4">#REF!</definedName>
    <definedName name="CT1C2LR">#REF!</definedName>
    <definedName name="CT1C2Rloop" localSheetId="4">#REF!</definedName>
    <definedName name="CT1C2Rloop">#REF!</definedName>
    <definedName name="CT1C2VAC" localSheetId="4">#REF!</definedName>
    <definedName name="CT1C2VAC">#REF!</definedName>
    <definedName name="CT1C2VAM" localSheetId="4">#REF!</definedName>
    <definedName name="CT1C2VAM">#REF!</definedName>
    <definedName name="CT1C2VAT" localSheetId="4">#REF!</definedName>
    <definedName name="CT1C2VAT">#REF!</definedName>
    <definedName name="CT2C4IN" localSheetId="4">#REF!</definedName>
    <definedName name="CT2C4IN">#REF!</definedName>
    <definedName name="CT2C4RCT" localSheetId="4">#REF!</definedName>
    <definedName name="CT2C4RCT">#REF!</definedName>
    <definedName name="CT2C4RL" localSheetId="4">#REF!</definedName>
    <definedName name="CT2C4RL">#REF!</definedName>
    <definedName name="CUP_PUP">[27]Input!$B$27</definedName>
    <definedName name="Currency" localSheetId="4">'[51]Content Instructions'!$B$7</definedName>
    <definedName name="Currency">'[52]Content Instructions'!$B$7</definedName>
    <definedName name="currency_name" localSheetId="1">[23]Config!$F$2:$F$8</definedName>
    <definedName name="currency_name" localSheetId="0">[24]Config!$F$2:$F$8</definedName>
    <definedName name="currency_name">[25]Config!$F$2:$F$8</definedName>
    <definedName name="Currency_Rates">'[53]Master data'!$B$4:$C$9</definedName>
    <definedName name="custom1" localSheetId="4">#REF!</definedName>
    <definedName name="custom1">#REF!</definedName>
    <definedName name="Customer">" "</definedName>
    <definedName name="Customs_clearance">'[53]Master data'!$B$11:$C$12</definedName>
    <definedName name="Customs_clearnce" localSheetId="4">#REF!</definedName>
    <definedName name="Customs_clearnce">#REF!</definedName>
    <definedName name="cvdf" localSheetId="4">#REF!</definedName>
    <definedName name="cvdf">#REF!</definedName>
    <definedName name="CVXCVC" localSheetId="4">#REF!</definedName>
    <definedName name="CVXCVC">#REF!</definedName>
    <definedName name="CW" localSheetId="1">[54]TechRequirements!$A$34:$A$39</definedName>
    <definedName name="CW" localSheetId="4">[54]TechRequirements!$A$34:$A$39</definedName>
    <definedName name="CW" localSheetId="0">#REF!</definedName>
    <definedName name="CW">[55]TechRequirements!$A$34:$A$39</definedName>
    <definedName name="cxcxcxc" localSheetId="4">#REF!</definedName>
    <definedName name="cxcxcxc">#REF!</definedName>
    <definedName name="czczcx" localSheetId="4">'[56]Master data'!$B$11:$C$12</definedName>
    <definedName name="czczcx">#REF!</definedName>
    <definedName name="d" localSheetId="1">#REF!</definedName>
    <definedName name="d" localSheetId="4">#N/A</definedName>
    <definedName name="d" localSheetId="0">#REF!</definedName>
    <definedName name="d">#N/A</definedName>
    <definedName name="d_1">#N/A</definedName>
    <definedName name="D_2" localSheetId="1">#REF!</definedName>
    <definedName name="D_2" localSheetId="4">#REF!</definedName>
    <definedName name="D_2">#REF!</definedName>
    <definedName name="D_3" localSheetId="4">#REF!</definedName>
    <definedName name="D_3">#REF!</definedName>
    <definedName name="D_4" localSheetId="4">#REF!</definedName>
    <definedName name="D_4">#REF!</definedName>
    <definedName name="d_dash" localSheetId="4">#REF!</definedName>
    <definedName name="d_dash">#REF!</definedName>
    <definedName name="Data11">"Avg Salary'!$A$39:$A$45"</definedName>
    <definedName name="_xlnm.Database" localSheetId="1">#REF!</definedName>
    <definedName name="_xlnm.Database" localSheetId="4">#REF!</definedName>
    <definedName name="_xlnm.Database">#REF!</definedName>
    <definedName name="DataCenters" localSheetId="4">#REF!</definedName>
    <definedName name="DataCenters">#REF!</definedName>
    <definedName name="Date" localSheetId="4">#REF!</definedName>
    <definedName name="Date">#REF!</definedName>
    <definedName name="DB_AA">"$#REF!.$#REF!$8"</definedName>
    <definedName name="DB_AP_OS">"$#REF!.$#REF!$6"</definedName>
    <definedName name="db_managed_by_csp_p" localSheetId="1">'[12]Project Configuration'!$H$17</definedName>
    <definedName name="db_managed_by_csp_p" localSheetId="0">'[13]Project Configuration'!$H$17</definedName>
    <definedName name="db_managed_by_csp_p">'[14]Project Configuration'!$H$17</definedName>
    <definedName name="db_server_compute_requirement_cores" localSheetId="1">[12]Calculations!$H$146</definedName>
    <definedName name="db_server_compute_requirement_cores" localSheetId="0">[13]Calculations!$H$146</definedName>
    <definedName name="db_server_compute_requirement_cores">[14]Calculations!$H$146</definedName>
    <definedName name="db_server_disk_requirement_gb" localSheetId="1">[12]Calculations!$H$175</definedName>
    <definedName name="db_server_disk_requirement_gb" localSheetId="0">[13]Calculations!$H$175</definedName>
    <definedName name="db_server_disk_requirement_gb">[14]Calculations!$H$175</definedName>
    <definedName name="db_server_disk_requirement_iops" localSheetId="1">[12]Calculations!$H$191</definedName>
    <definedName name="db_server_disk_requirement_iops" localSheetId="0">[13]Calculations!$H$191</definedName>
    <definedName name="db_server_disk_requirement_iops">[14]Calculations!$H$191</definedName>
    <definedName name="db_server_disk_requirement_mib_s" localSheetId="1">[12]Calculations!$H$199</definedName>
    <definedName name="db_server_disk_requirement_mib_s" localSheetId="0">[13]Calculations!$H$199</definedName>
    <definedName name="db_server_disk_requirement_mib_s">[14]Calculations!$H$199</definedName>
    <definedName name="db_server_ram_requirement_gib" localSheetId="1">[12]Calculations!$H$156</definedName>
    <definedName name="db_server_ram_requirement_gib" localSheetId="0">[13]Calculations!$H$156</definedName>
    <definedName name="db_server_ram_requirement_gib">[14]Calculations!$H$156</definedName>
    <definedName name="DB_Types" localSheetId="1">'[57]Data Domains'!$D$2:$D$8</definedName>
    <definedName name="DB_Types" localSheetId="4">'[57]Data Domains'!$D$2:$D$8</definedName>
    <definedName name="DB_Types" localSheetId="0">'[57]Data Domains'!$D$2:$D$8</definedName>
    <definedName name="DB_Types">'[58]Data Domains'!$D$2:$D$8</definedName>
    <definedName name="dbratio" localSheetId="4">#REF!</definedName>
    <definedName name="dbratio">#REF!</definedName>
    <definedName name="dbyb" localSheetId="4">#REF!</definedName>
    <definedName name="dbyb">#REF!</definedName>
    <definedName name="dbyd" localSheetId="4">#REF!</definedName>
    <definedName name="dbyd">#REF!</definedName>
    <definedName name="dc" localSheetId="4">#REF!</definedName>
    <definedName name="dc">#REF!</definedName>
    <definedName name="DC100100AA">"$#REF!.$D$8"</definedName>
    <definedName name="DC5050AA">"$#REF!.$D$6"</definedName>
    <definedName name="DCAP">"$#REF!.$D$7"</definedName>
    <definedName name="dcdd" localSheetId="1">#REF!</definedName>
    <definedName name="dcdd" localSheetId="4">#REF!</definedName>
    <definedName name="dcdd">#REF!</definedName>
    <definedName name="DCInfo" localSheetId="4">#REF!</definedName>
    <definedName name="DCInfo">#REF!</definedName>
    <definedName name="DCName" localSheetId="4">#REF!</definedName>
    <definedName name="DCName">#REF!</definedName>
    <definedName name="dcol" localSheetId="4">#REF!</definedName>
    <definedName name="dcol">#REF!</definedName>
    <definedName name="DCRow" localSheetId="4">#REF!</definedName>
    <definedName name="DCRow">#REF!</definedName>
    <definedName name="DCU" localSheetId="1">'[59]ACS(1)'!#REF!</definedName>
    <definedName name="DCU" localSheetId="4">'[60]ACS(1)'!#REF!</definedName>
    <definedName name="DCU">'[60]ACS(1)'!#REF!</definedName>
    <definedName name="dd" localSheetId="1" hidden="1">{"'LTITL'!$A$1:$P$35"}</definedName>
    <definedName name="dd" localSheetId="4" hidden="1">{"'LTITL'!$A$1:$P$35"}</definedName>
    <definedName name="dd" localSheetId="0" hidden="1">{"'LTITL'!$A$1:$P$35"}</definedName>
    <definedName name="dd" hidden="1">{"'LTITL'!$A$1:$P$35"}</definedName>
    <definedName name="ddd" localSheetId="1" hidden="1">{"'LTITL'!$A$1:$P$35"}</definedName>
    <definedName name="ddd" localSheetId="4" hidden="1">{"'LTITL'!$A$1:$P$35"}</definedName>
    <definedName name="ddd" localSheetId="0" hidden="1">{"'LTITL'!$A$1:$P$35"}</definedName>
    <definedName name="ddd" hidden="1">{"'LTITL'!$A$1:$P$35"}</definedName>
    <definedName name="dddd" localSheetId="4">'[7]Design basis-C'!$F$11</definedName>
    <definedName name="dddd">#REF!</definedName>
    <definedName name="de" localSheetId="4">#REF!</definedName>
    <definedName name="de">#REF!</definedName>
    <definedName name="DECISION" localSheetId="1">[61]Sheet2!$B$2:$B$3</definedName>
    <definedName name="DECISION">[62]Sheet2!$B$2:$B$3</definedName>
    <definedName name="DEFF2" localSheetId="4">#REF!</definedName>
    <definedName name="DEFF2">#REF!</definedName>
    <definedName name="DEFFF1" localSheetId="4">#REF!</definedName>
    <definedName name="DEFFF1">#REF!</definedName>
    <definedName name="DEFFF2" localSheetId="4">#REF!</definedName>
    <definedName name="DEFFF2">#REF!</definedName>
    <definedName name="delk">"$#REF!.$D$186"</definedName>
    <definedName name="delm">"$#REF!.$D$190"</definedName>
    <definedName name="delta">"$#REF!.$D$106"</definedName>
    <definedName name="delta1">"$#REF!.$D$106"</definedName>
    <definedName name="DELTA20">"$#REF!.$C$43"</definedName>
    <definedName name="density" localSheetId="4">#REF!</definedName>
    <definedName name="density">#REF!</definedName>
    <definedName name="dep_pm" localSheetId="1">#REF!</definedName>
    <definedName name="dep_pm" localSheetId="4">#REF!</definedName>
    <definedName name="dep_pm">#REF!</definedName>
    <definedName name="depcom_pa" localSheetId="4">#REF!</definedName>
    <definedName name="depcom_pa">#REF!</definedName>
    <definedName name="depprem">600</definedName>
    <definedName name="depr" localSheetId="4">#REF!</definedName>
    <definedName name="depr">#REF!</definedName>
    <definedName name="depr_1">"$#REF!.$I$17"</definedName>
    <definedName name="depr_2" localSheetId="4">#REF!</definedName>
    <definedName name="depr_2">#REF!</definedName>
    <definedName name="depr_3" localSheetId="4">#REF!</definedName>
    <definedName name="depr_3">#REF!</definedName>
    <definedName name="depr_4" localSheetId="4">#REF!</definedName>
    <definedName name="depr_4">#REF!</definedName>
    <definedName name="depsch_pa" localSheetId="4">#REF!</definedName>
    <definedName name="depsch_pa">#REF!</definedName>
    <definedName name="depsuiv">150</definedName>
    <definedName name="depth" localSheetId="4">#REF!</definedName>
    <definedName name="depth">#REF!</definedName>
    <definedName name="depveh_pa" localSheetId="1">#REF!</definedName>
    <definedName name="depveh_pa" localSheetId="4">#REF!</definedName>
    <definedName name="depveh_pa">#REF!</definedName>
    <definedName name="Description" localSheetId="4">#REF!</definedName>
    <definedName name="Description">#REF!</definedName>
    <definedName name="design" localSheetId="4">'[7]Design basis-C'!$E$8</definedName>
    <definedName name="design">#REF!</definedName>
    <definedName name="design2" localSheetId="4">'[7]Design basis-C'!$E$8</definedName>
    <definedName name="design2">#REF!</definedName>
    <definedName name="design3" localSheetId="4">'[7]Design basis-C'!$E$8</definedName>
    <definedName name="design3">#REF!</definedName>
    <definedName name="designed" localSheetId="4">#REF!</definedName>
    <definedName name="designed">#REF!</definedName>
    <definedName name="DesignPress" localSheetId="4">#REF!</definedName>
    <definedName name="DesignPress">#REF!</definedName>
    <definedName name="Devicetype" localSheetId="4">#REF!</definedName>
    <definedName name="Devicetype">#REF!</definedName>
    <definedName name="DevType">'[63]Device details'!$AN$1:$AN$16</definedName>
    <definedName name="df" localSheetId="4">#REF!</definedName>
    <definedName name="df">#REF!</definedName>
    <definedName name="dfsdf">"$#REF!.$D$142"</definedName>
    <definedName name="DFSDFSDF">"$#REF!.$#REF!$#REF!"</definedName>
    <definedName name="DFSDFSDFSD">"$#REF!.$#REF!$#REF!"</definedName>
    <definedName name="DFSDV" localSheetId="4" hidden="1">'[64]STRIP Sizing'!#REF!</definedName>
    <definedName name="DFSDV" hidden="1">#REF!</definedName>
    <definedName name="dfsga" localSheetId="4">#REF!</definedName>
    <definedName name="dfsga">#REF!</definedName>
    <definedName name="dg" localSheetId="4">#REF!</definedName>
    <definedName name="dg">#REF!</definedName>
    <definedName name="DGFD" localSheetId="4">#REF!</definedName>
    <definedName name="DGFD">#REF!</definedName>
    <definedName name="dgg" localSheetId="1" hidden="1">{#N/A,#N/A,TRUE,"Overall";#N/A,#N/A,TRUE,"Region Wise ";#N/A,#N/A,TRUE,"Client Wise"}</definedName>
    <definedName name="dgg" localSheetId="4" hidden="1">{#N/A,#N/A,TRUE,"Overall";#N/A,#N/A,TRUE,"Region Wise ";#N/A,#N/A,TRUE,"Client Wise"}</definedName>
    <definedName name="dgg" localSheetId="0" hidden="1">{#N/A,#N/A,TRUE,"Overall";#N/A,#N/A,TRUE,"Region Wise ";#N/A,#N/A,TRUE,"Client Wise"}</definedName>
    <definedName name="dgg" hidden="1">{#N/A,#N/A,TRUE,"Overall";#N/A,#N/A,TRUE,"Region Wise ";#N/A,#N/A,TRUE,"Client Wise"}</definedName>
    <definedName name="Dhanshri" localSheetId="4">#REF!</definedName>
    <definedName name="Dhanshri">#REF!</definedName>
    <definedName name="di" localSheetId="1" hidden="1">{#N/A,#N/A,TRUE,"Overall";#N/A,#N/A,TRUE,"Region Wise ";#N/A,#N/A,TRUE,"Client Wise"}</definedName>
    <definedName name="di" localSheetId="4" hidden="1">{#N/A,#N/A,TRUE,"Overall";#N/A,#N/A,TRUE,"Region Wise ";#N/A,#N/A,TRUE,"Client Wise"}</definedName>
    <definedName name="di" localSheetId="0" hidden="1">{#N/A,#N/A,TRUE,"Overall";#N/A,#N/A,TRUE,"Region Wise ";#N/A,#N/A,TRUE,"Client Wise"}</definedName>
    <definedName name="di" hidden="1">{#N/A,#N/A,TRUE,"Overall";#N/A,#N/A,TRUE,"Region Wise ";#N/A,#N/A,TRUE,"Client Wise"}</definedName>
    <definedName name="dia" localSheetId="4">#REF!</definedName>
    <definedName name="dia">#REF!</definedName>
    <definedName name="diaties" localSheetId="4">#REF!</definedName>
    <definedName name="diaties">#REF!</definedName>
    <definedName name="dim4e">"$#REF!.$#REF!$#REF!"</definedName>
    <definedName name="Disaggregations" localSheetId="1">#REF!</definedName>
    <definedName name="Disaggregations" localSheetId="4">#REF!</definedName>
    <definedName name="Disaggregations">#REF!</definedName>
    <definedName name="Discuss">"$#REF!.$#REF!$5"</definedName>
    <definedName name="Disrt_TF_2" localSheetId="4">#REF!</definedName>
    <definedName name="Disrt_TF_2">#REF!</definedName>
    <definedName name="dl">"$#REF!.$E$51"</definedName>
    <definedName name="Dm" localSheetId="1">#REF!</definedName>
    <definedName name="Dm" localSheetId="4">#REF!</definedName>
    <definedName name="Dm">#REF!</definedName>
    <definedName name="doc" localSheetId="1">#REF!</definedName>
    <definedName name="doc" localSheetId="4">'[7]Design basis-C'!$E$6</definedName>
    <definedName name="doc">#REF!</definedName>
    <definedName name="Docno" localSheetId="4">#REF!</definedName>
    <definedName name="Docno">#REF!</definedName>
    <definedName name="docu" localSheetId="4">#REF!</definedName>
    <definedName name="docu">#REF!</definedName>
    <definedName name="DocumentName">""</definedName>
    <definedName name="DocumentNumber">""</definedName>
    <definedName name="dollar_conv">#N/A</definedName>
    <definedName name="dollar_conv_1">#N/A</definedName>
    <definedName name="dollar_conv_2">#N/A</definedName>
    <definedName name="domestic_global" localSheetId="4">#REF!</definedName>
    <definedName name="domestic_global">#REF!</definedName>
    <definedName name="DONV" localSheetId="1">'[65]MS NET'!#REF!</definedName>
    <definedName name="DONV" localSheetId="4">'[65]MS NET'!#REF!</definedName>
    <definedName name="DONV" localSheetId="0">'[66]MS NET'!#REF!</definedName>
    <definedName name="DONV">'[65]MS NET'!#REF!</definedName>
    <definedName name="DP" localSheetId="1">#REF!</definedName>
    <definedName name="DP" localSheetId="4">#REF!</definedName>
    <definedName name="DP">#REF!</definedName>
    <definedName name="dq" localSheetId="4">#REF!</definedName>
    <definedName name="dq">#REF!</definedName>
    <definedName name="DR" localSheetId="4">#REF!</definedName>
    <definedName name="DR">#REF!</definedName>
    <definedName name="DR_100">"$#REF!.$D$12"</definedName>
    <definedName name="DR_50">"$#REF!.$D$9"</definedName>
    <definedName name="dr_required_p" localSheetId="1">#REF!</definedName>
    <definedName name="dr_required_p" localSheetId="4">'[12]Project Configuration'!$H$21</definedName>
    <definedName name="dr_required_p">'[14]Project Configuration'!$H$21</definedName>
    <definedName name="dratio1" localSheetId="1">#REF!</definedName>
    <definedName name="dratio1" localSheetId="4">#REF!</definedName>
    <definedName name="dratio1">#REF!</definedName>
    <definedName name="DriveSets" localSheetId="1">[67]Storage!#REF!</definedName>
    <definedName name="DriveSets" localSheetId="4">[67]Storage!#REF!</definedName>
    <definedName name="DriveSets" localSheetId="0">[68]Storage!#REF!</definedName>
    <definedName name="DriveSets">[69]Storage!#REF!</definedName>
    <definedName name="Ds">"$#REF!.$E$28"</definedName>
    <definedName name="DSAV_BM" localSheetId="4">#REF!</definedName>
    <definedName name="DSAV_BM">#REF!</definedName>
    <definedName name="DSAV_Remiseoffre" localSheetId="4">#REF!</definedName>
    <definedName name="DSAV_Remiseoffre">#REF!</definedName>
    <definedName name="dsdfdf" localSheetId="4">#REF!</definedName>
    <definedName name="dsdfdf">#REF!</definedName>
    <definedName name="dsdud" localSheetId="4">#REF!</definedName>
    <definedName name="dsdud">#REF!</definedName>
    <definedName name="DT">#N/A</definedName>
    <definedName name="DTR" localSheetId="4">#REF!</definedName>
    <definedName name="DTR">#REF!</definedName>
    <definedName name="Dual_Power">[70]Validations!$F$3:$F$9</definedName>
    <definedName name="Duration" localSheetId="1">[71]Profile!$D$32</definedName>
    <definedName name="Duration" localSheetId="4">[71]Profile!$D$32</definedName>
    <definedName name="Duration" localSheetId="0">[71]Profile!$D$32</definedName>
    <definedName name="Duration">[72]Profile!$D$32</definedName>
    <definedName name="Dv" localSheetId="1">#REF!</definedName>
    <definedName name="Dv" localSheetId="4">#REF!</definedName>
    <definedName name="Dv">#REF!</definedName>
    <definedName name="dwpefb" localSheetId="1">#REF!</definedName>
    <definedName name="dwpefb" localSheetId="4">#REF!</definedName>
    <definedName name="dwpefb">#REF!</definedName>
    <definedName name="dwpeld" localSheetId="4">#REF!</definedName>
    <definedName name="dwpeld">#REF!</definedName>
    <definedName name="dwpelw" localSheetId="4">#REF!</definedName>
    <definedName name="dwpelw">#REF!</definedName>
    <definedName name="E" localSheetId="1">'[17]PRECAST lightconc-II'!$K$20</definedName>
    <definedName name="E">'[18]PRECAST lightconc-II'!$K$20</definedName>
    <definedName name="E_1" localSheetId="4">#REF!</definedName>
    <definedName name="E_1">#REF!</definedName>
    <definedName name="E_2" localSheetId="4">#REF!</definedName>
    <definedName name="E_2">#REF!</definedName>
    <definedName name="E_3" localSheetId="4">#REF!</definedName>
    <definedName name="E_3">#REF!</definedName>
    <definedName name="E_4" localSheetId="4">#REF!</definedName>
    <definedName name="E_4">#REF!</definedName>
    <definedName name="eath" localSheetId="4">#REF!</definedName>
    <definedName name="eath">#REF!</definedName>
    <definedName name="ECB" localSheetId="4">#REF!</definedName>
    <definedName name="ECB">#REF!</definedName>
    <definedName name="ECP" localSheetId="4">#REF!</definedName>
    <definedName name="ECP">#REF!</definedName>
    <definedName name="Ed" localSheetId="4">#REF!</definedName>
    <definedName name="Ed">#REF!</definedName>
    <definedName name="EE">"$#REF!.$#REF!$#REF!"</definedName>
    <definedName name="EEE" localSheetId="4">'[56]Master data'!$B$14:$C$15</definedName>
    <definedName name="EEE">#REF!</definedName>
    <definedName name="Eela">"$#REF!.$D$219"</definedName>
    <definedName name="ef" localSheetId="4">#REF!</definedName>
    <definedName name="ef">#REF!</definedName>
    <definedName name="Effieciens_Sclammabscheidung" localSheetId="4">[26]BALAN1!$E$50</definedName>
    <definedName name="Effieciens_Sclammabscheidung">#REF!</definedName>
    <definedName name="Effizienz_Abscheidung_Schlammw_inVK" localSheetId="4">[26]BALAN1!$E$51</definedName>
    <definedName name="Effizienz_Abscheidung_Schlammw_inVK">#REF!</definedName>
    <definedName name="efx" localSheetId="4">#REF!</definedName>
    <definedName name="efx">#REF!</definedName>
    <definedName name="efy" localSheetId="4">#REF!</definedName>
    <definedName name="efy">#REF!</definedName>
    <definedName name="egress" localSheetId="4">#REF!</definedName>
    <definedName name="egress">#REF!</definedName>
    <definedName name="Ei" localSheetId="4">#REF!</definedName>
    <definedName name="Ei">#REF!</definedName>
    <definedName name="EIGHT" localSheetId="1">'[73]1-8'!#REF!</definedName>
    <definedName name="EIGHT" localSheetId="4">'[74]1-8'!#REF!</definedName>
    <definedName name="EIGHT" localSheetId="0">#REF!</definedName>
    <definedName name="EIGHT">'[73]1-8'!#REF!</definedName>
    <definedName name="eii" localSheetId="4">#REF!</definedName>
    <definedName name="eii">#REF!</definedName>
    <definedName name="eiii" localSheetId="4">#REF!</definedName>
    <definedName name="eiii">#REF!</definedName>
    <definedName name="Element2" localSheetId="4">#REF!</definedName>
    <definedName name="Element2">#REF!</definedName>
    <definedName name="Elements" localSheetId="4">#REF!</definedName>
    <definedName name="Elements" localSheetId="0">[75]Choices!$A$11:$A$19</definedName>
    <definedName name="Elements">[76]Choices!$A$11:$A$19</definedName>
    <definedName name="Em" localSheetId="1">#REF!</definedName>
    <definedName name="Em" localSheetId="4">#REF!</definedName>
    <definedName name="Em">#REF!</definedName>
    <definedName name="EMC_ADDRESS" localSheetId="1">[9]Sachin!#REF!</definedName>
    <definedName name="EMC_ADDRESS" localSheetId="4">[21]Sachin!#REF!</definedName>
    <definedName name="EMC_ADDRESS" localSheetId="0">[21]Sachin!#REF!</definedName>
    <definedName name="EMC_ADDRESS">[9]Sachin!#REF!</definedName>
    <definedName name="EMC_BM_TABLE_HEADER" localSheetId="1">[9]Sachin!#REF!</definedName>
    <definedName name="EMC_BM_TABLE_HEADER" localSheetId="4">[21]Sachin!#REF!</definedName>
    <definedName name="EMC_BM_TABLE_HEADER" localSheetId="0">[21]Sachin!#REF!</definedName>
    <definedName name="EMC_BM_TABLE_HEADER">[9]Sachin!#REF!</definedName>
    <definedName name="EMC_BUSINESS_MONITORING" localSheetId="4">[21]Sachin!#REF!</definedName>
    <definedName name="EMC_BUSINESS_MONITORING" localSheetId="0">[21]Sachin!#REF!</definedName>
    <definedName name="EMC_BUSINESS_MONITORING">[9]Sachin!#REF!</definedName>
    <definedName name="EMC_NO_RULES_BROKEN" localSheetId="4">[21]Sachin!#REF!</definedName>
    <definedName name="EMC_NO_RULES_BROKEN" localSheetId="0">[21]Sachin!#REF!</definedName>
    <definedName name="EMC_NO_RULES_BROKEN">[9]Sachin!#REF!</definedName>
    <definedName name="EMC21\" localSheetId="1">#REF!</definedName>
    <definedName name="EMC21\" localSheetId="4">#REF!</definedName>
    <definedName name="EMC21\">#REF!</definedName>
    <definedName name="Encoder" localSheetId="1">[30]CCTV_EST1!#REF!</definedName>
    <definedName name="Encoder" localSheetId="4">[30]CCTV_EST1!#REF!</definedName>
    <definedName name="Encoder">[30]CCTV_EST1!#REF!</definedName>
    <definedName name="EnvironmentSizes" localSheetId="1">#REF!</definedName>
    <definedName name="EnvironmentSizes" localSheetId="4">#REF!</definedName>
    <definedName name="EnvironmentSizes">#REF!</definedName>
    <definedName name="EpDy" localSheetId="1">#REF!</definedName>
    <definedName name="EpDy" localSheetId="4">#REF!</definedName>
    <definedName name="EpDy">#REF!</definedName>
    <definedName name="Epi">"$#REF!.$D$227"</definedName>
    <definedName name="EQWE">"$#REF!.$#REF!$#REF!"</definedName>
    <definedName name="ere" localSheetId="4">#REF!</definedName>
    <definedName name="ere">#REF!</definedName>
    <definedName name="ERER">"$#REF!.$#REF!$#REF!"</definedName>
    <definedName name="ERTGSDV">"$#REF!.$#REF!$#REF!"</definedName>
    <definedName name="Es">"$#REF!.$B$126"</definedName>
    <definedName name="ESER325" localSheetId="4">#REF!</definedName>
    <definedName name="ESER325" localSheetId="0">#REF!</definedName>
    <definedName name="ESER325">#REF!</definedName>
    <definedName name="ESM">'[77]Base data Security Procedures'!$D$116:$D$121</definedName>
    <definedName name="Est">"$#REF!.$D$223"</definedName>
    <definedName name="Et">"$#REF!.$#REF!$#REF!"</definedName>
    <definedName name="Eta">"$#REF!.$D$91"</definedName>
    <definedName name="Eth">"$#REF!.$D$223"</definedName>
    <definedName name="etr" localSheetId="4">#REF!</definedName>
    <definedName name="etr">#REF!</definedName>
    <definedName name="etrrr" localSheetId="4">#REF!</definedName>
    <definedName name="etrrr">#REF!</definedName>
    <definedName name="eu">"$#REF!.$#REF!$#REF!"</definedName>
    <definedName name="EUR" localSheetId="4">#REF!</definedName>
    <definedName name="EUR">#REF!</definedName>
    <definedName name="Euro" localSheetId="4">#REF!</definedName>
    <definedName name="Euro">#REF!</definedName>
    <definedName name="Ev" localSheetId="4">#REF!</definedName>
    <definedName name="Ev">#REF!</definedName>
    <definedName name="EVENT_FRATE" localSheetId="4">#REF!</definedName>
    <definedName name="EVENT_FRATE">#REF!</definedName>
    <definedName name="EVENT_MSIZE" localSheetId="4">#REF!</definedName>
    <definedName name="EVENT_MSIZE">#REF!</definedName>
    <definedName name="EVENT_SDURATION" localSheetId="4">#REF!</definedName>
    <definedName name="EVENT_SDURATION">#REF!</definedName>
    <definedName name="ewfwfw." localSheetId="4">#REF!</definedName>
    <definedName name="ewfwfw." localSheetId="0">#REF!</definedName>
    <definedName name="ewfwfw.">#REF!</definedName>
    <definedName name="ex" localSheetId="4">#REF!</definedName>
    <definedName name="ex">#REF!</definedName>
    <definedName name="Excel_BuiltIn__FilterDatabase_1" localSheetId="4">#REF!</definedName>
    <definedName name="Excel_BuiltIn__FilterDatabase_1">#REF!</definedName>
    <definedName name="Excel_BuiltIn__FilterDatabase_1_1" localSheetId="4">#REF!</definedName>
    <definedName name="Excel_BuiltIn__FilterDatabase_1_1">#REF!</definedName>
    <definedName name="Excel_BuiltIn__FilterDatabase_16" localSheetId="4">#REF!</definedName>
    <definedName name="Excel_BuiltIn__FilterDatabase_16">#REF!</definedName>
    <definedName name="Excel_BuiltIn__FilterDatabase_2" localSheetId="4">#REF!</definedName>
    <definedName name="Excel_BuiltIn__FilterDatabase_2">#REF!</definedName>
    <definedName name="Excel_BuiltIn__FilterDatabase_2_1" localSheetId="4">#REF!</definedName>
    <definedName name="Excel_BuiltIn__FilterDatabase_2_1">#REF!</definedName>
    <definedName name="Excel_BuiltIn__FilterDatabase_2_1_1" localSheetId="4">#REF!</definedName>
    <definedName name="Excel_BuiltIn__FilterDatabase_2_1_1">#REF!</definedName>
    <definedName name="Excel_BuiltIn__FilterDatabase_3" localSheetId="4">#REF!</definedName>
    <definedName name="Excel_BuiltIn__FilterDatabase_3">#REF!</definedName>
    <definedName name="Excel_BuiltIn__FilterDatabase_5" localSheetId="4">#REF!</definedName>
    <definedName name="Excel_BuiltIn__FilterDatabase_5">#REF!</definedName>
    <definedName name="Excel_BuiltIn__FilterDatabase_5_1" localSheetId="4">#REF!</definedName>
    <definedName name="Excel_BuiltIn__FilterDatabase_5_1">#REF!</definedName>
    <definedName name="Excel_BuiltIn__FilterDatabase_6_1" localSheetId="4">#REF!</definedName>
    <definedName name="Excel_BuiltIn__FilterDatabase_6_1">#REF!</definedName>
    <definedName name="Excel_BuiltIn__FilterDatabase_7" localSheetId="4">#REF!</definedName>
    <definedName name="Excel_BuiltIn__FilterDatabase_7">#REF!</definedName>
    <definedName name="Excel_BuiltIn__FilterDatabase_7_1" localSheetId="4">#REF!</definedName>
    <definedName name="Excel_BuiltIn__FilterDatabase_7_1">#REF!</definedName>
    <definedName name="Excel_BuiltIn__FilterDatabase_9" localSheetId="4">'[78]OLD IC'!#REF!</definedName>
    <definedName name="Excel_BuiltIn__FilterDatabase_9">#REF!</definedName>
    <definedName name="Excel_BuiltIn_Extract" localSheetId="4">#REF!</definedName>
    <definedName name="Excel_BuiltIn_Extract">#REF!</definedName>
    <definedName name="Excel_BuiltIn_Print_Area" localSheetId="4">'[79]Cover sheet'!$A$6:$I$193</definedName>
    <definedName name="Excel_BuiltIn_Print_Area">#REF!</definedName>
    <definedName name="Excel_BuiltIn_Print_Area_1_1" localSheetId="4">#REF!</definedName>
    <definedName name="Excel_BuiltIn_Print_Area_1_1">#REF!</definedName>
    <definedName name="Excel_BuiltIn_Print_Area_1_1_1" localSheetId="4">#REF!</definedName>
    <definedName name="Excel_BuiltIn_Print_Area_1_1_1">#REF!</definedName>
    <definedName name="Excel_BuiltIn_Print_Area_1_1_1_1" localSheetId="4">('[80]LCS SCHEDULE '!$A$1:$Q$51,'[80]LCS SCHEDULE '!#REF!)</definedName>
    <definedName name="Excel_BuiltIn_Print_Area_1_1_1_1">(#REF!,#REF!)</definedName>
    <definedName name="Excel_BuiltIn_Print_Area_1_1_1_1_1" localSheetId="4">('[80]LCS SCHEDULE '!$A$1:$Q$51,'[80]LCS SCHEDULE '!#REF!)</definedName>
    <definedName name="Excel_BuiltIn_Print_Area_1_1_1_1_1">(#REF!,#REF!)</definedName>
    <definedName name="Excel_BuiltIn_Print_Area_1_1_1_1_1_1" localSheetId="4">#REF!</definedName>
    <definedName name="Excel_BuiltIn_Print_Area_1_1_1_1_1_1">#REF!</definedName>
    <definedName name="Excel_BuiltIn_Print_Area_10" localSheetId="4">#REF!</definedName>
    <definedName name="Excel_BuiltIn_Print_Area_10">#REF!</definedName>
    <definedName name="Excel_BuiltIn_Print_Area_10_1" localSheetId="4">#REF!</definedName>
    <definedName name="Excel_BuiltIn_Print_Area_10_1">#REF!</definedName>
    <definedName name="Excel_BuiltIn_Print_Area_11" localSheetId="4">#REF!</definedName>
    <definedName name="Excel_BuiltIn_Print_Area_11">#REF!</definedName>
    <definedName name="Excel_BuiltIn_Print_Area_11_1" localSheetId="4">#REF!</definedName>
    <definedName name="Excel_BuiltIn_Print_Area_11_1">#REF!</definedName>
    <definedName name="Excel_BuiltIn_Print_Area_12" localSheetId="4">#REF!</definedName>
    <definedName name="Excel_BuiltIn_Print_Area_12">#REF!</definedName>
    <definedName name="Excel_BuiltIn_Print_Area_12_1" localSheetId="4">#REF!</definedName>
    <definedName name="Excel_BuiltIn_Print_Area_12_1">#REF!</definedName>
    <definedName name="Excel_BuiltIn_Print_Area_12_1_1" localSheetId="4">#REF!</definedName>
    <definedName name="Excel_BuiltIn_Print_Area_12_1_1">#REF!</definedName>
    <definedName name="Excel_BuiltIn_Print_Area_13" localSheetId="4">#REF!</definedName>
    <definedName name="Excel_BuiltIn_Print_Area_13">#REF!</definedName>
    <definedName name="Excel_BuiltIn_Print_Area_13_1" localSheetId="4">#REF!</definedName>
    <definedName name="Excel_BuiltIn_Print_Area_13_1">#REF!</definedName>
    <definedName name="Excel_BuiltIn_Print_Area_14" localSheetId="4">#REF!</definedName>
    <definedName name="Excel_BuiltIn_Print_Area_14">#REF!</definedName>
    <definedName name="Excel_BuiltIn_Print_Area_2" localSheetId="4">#REF!</definedName>
    <definedName name="Excel_BuiltIn_Print_Area_2">#REF!</definedName>
    <definedName name="Excel_BuiltIn_Print_Area_2_1" localSheetId="4">#REF!</definedName>
    <definedName name="Excel_BuiltIn_Print_Area_2_1">#REF!</definedName>
    <definedName name="Excel_BuiltIn_Print_Area_2_1_1" localSheetId="4">#REF!</definedName>
    <definedName name="Excel_BuiltIn_Print_Area_2_1_1">#REF!</definedName>
    <definedName name="Excel_BuiltIn_Print_Area_2_1_5" localSheetId="4">#REF!</definedName>
    <definedName name="Excel_BuiltIn_Print_Area_2_1_5">#REF!</definedName>
    <definedName name="Excel_BuiltIn_Print_Area_2_1_6" localSheetId="4">#REF!</definedName>
    <definedName name="Excel_BuiltIn_Print_Area_2_1_6">#REF!</definedName>
    <definedName name="Excel_BuiltIn_Print_Area_3" localSheetId="4">#REF!</definedName>
    <definedName name="Excel_BuiltIn_Print_Area_3">#REF!</definedName>
    <definedName name="Excel_BuiltIn_Print_Area_3_1" localSheetId="4">#REF!</definedName>
    <definedName name="Excel_BuiltIn_Print_Area_3_1">#REF!</definedName>
    <definedName name="Excel_BuiltIn_Print_Area_3_1_1" localSheetId="4">#REF!</definedName>
    <definedName name="Excel_BuiltIn_Print_Area_3_1_1">#REF!</definedName>
    <definedName name="Excel_BuiltIn_Print_Area_4" localSheetId="4">#REF!</definedName>
    <definedName name="Excel_BuiltIn_Print_Area_4">#REF!</definedName>
    <definedName name="Excel_BuiltIn_Print_Area_4_1">"$#REF!.$A$1:$I$15"</definedName>
    <definedName name="Excel_BuiltIn_Print_Area_4_1_5" localSheetId="4">#REF!</definedName>
    <definedName name="Excel_BuiltIn_Print_Area_4_1_5">#REF!</definedName>
    <definedName name="Excel_BuiltIn_Print_Area_5">"$#REF!.$A$6:$H$196"</definedName>
    <definedName name="Excel_BuiltIn_Print_Area_5_1" localSheetId="4">#REF!</definedName>
    <definedName name="Excel_BuiltIn_Print_Area_5_1">#REF!</definedName>
    <definedName name="Excel_BuiltIn_Print_Area_6">"$#REF!.$A$1:$C$14"</definedName>
    <definedName name="Excel_BuiltIn_Print_Area_6_1" localSheetId="4">#REF!</definedName>
    <definedName name="Excel_BuiltIn_Print_Area_6_1">#REF!</definedName>
    <definedName name="Excel_BuiltIn_Print_Area_7_1" localSheetId="4">#REF!</definedName>
    <definedName name="Excel_BuiltIn_Print_Area_7_1">#REF!</definedName>
    <definedName name="Excel_BuiltIn_Print_Area_8" localSheetId="4">#REF!</definedName>
    <definedName name="Excel_BuiltIn_Print_Area_8">#REF!</definedName>
    <definedName name="Excel_BuiltIn_Print_Area_8_1" localSheetId="4">#REF!</definedName>
    <definedName name="Excel_BuiltIn_Print_Area_8_1">#REF!</definedName>
    <definedName name="Excel_BuiltIn_Print_Area_9" localSheetId="4">#REF!</definedName>
    <definedName name="Excel_BuiltIn_Print_Area_9">#REF!</definedName>
    <definedName name="Excel_BuiltIn_Print_Area_9_1" localSheetId="4">#REF!</definedName>
    <definedName name="Excel_BuiltIn_Print_Area_9_1">#REF!</definedName>
    <definedName name="Excel_BuiltIn_Print_Titles_1" localSheetId="4">#REF!</definedName>
    <definedName name="Excel_BuiltIn_Print_Titles_1">#REF!</definedName>
    <definedName name="Excel_BuiltIn_Print_Titles_1_1" localSheetId="4">#REF!</definedName>
    <definedName name="Excel_BuiltIn_Print_Titles_1_1">#REF!</definedName>
    <definedName name="Excel_BuiltIn_Print_Titles_2" localSheetId="4">#REF!</definedName>
    <definedName name="Excel_BuiltIn_Print_Titles_2">#REF!</definedName>
    <definedName name="Excel_BuiltIn_Print_Titles_2_1" localSheetId="4">#REF!</definedName>
    <definedName name="Excel_BuiltIn_Print_Titles_2_1">#REF!</definedName>
    <definedName name="Excel_BuiltIn_Print_Titles_3" localSheetId="4">[5]PMCC3!$A$1:$M$65535,[5]PMCC3!$A$6:$IV$8</definedName>
    <definedName name="Excel_BuiltIn_Print_Titles_3">#REF!,#REF!</definedName>
    <definedName name="Excel_BuiltIn_Print_Titles_3_1" localSheetId="4">'[80]LCS SCHEDULE '!#REF!</definedName>
    <definedName name="Excel_BuiltIn_Print_Titles_3_1">#REF!</definedName>
    <definedName name="Excel_BuiltIn_Print_Titles_4" localSheetId="4">#REF!</definedName>
    <definedName name="Excel_BuiltIn_Print_Titles_4">#REF!</definedName>
    <definedName name="Excel_BuiltIn_Print_Titles_4_1">"$#REF!.$A$5:$IV$7"</definedName>
    <definedName name="Excel_BuiltIn_Print_Titles_5">"$#REF!.$A$3:$IV$4"</definedName>
    <definedName name="Excel_BuiltIn_Print_Titles_6">"$#REF!.$A$5:$IV$7"</definedName>
    <definedName name="Excise" localSheetId="4">#REF!</definedName>
    <definedName name="Excise">#REF!</definedName>
    <definedName name="Excise_Duty" localSheetId="4">#REF!</definedName>
    <definedName name="Excise_Duty">#REF!</definedName>
    <definedName name="Excised" localSheetId="4">#REF!</definedName>
    <definedName name="Excised">#REF!</definedName>
    <definedName name="ExciseDuty" localSheetId="4">#REF!</definedName>
    <definedName name="ExciseDuty">#REF!</definedName>
    <definedName name="EXIT" localSheetId="4">#REF!</definedName>
    <definedName name="EXIT">#REF!</definedName>
    <definedName name="Expected_balance" localSheetId="4">#REF!</definedName>
    <definedName name="Expected_balance">#REF!</definedName>
    <definedName name="ExpenseLookup" localSheetId="4">#REF!</definedName>
    <definedName name="ExpenseLookup">#REF!</definedName>
    <definedName name="Export" localSheetId="4">#REF!</definedName>
    <definedName name="Export">#REF!</definedName>
    <definedName name="_xlnm.Extract" localSheetId="4">#REF!</definedName>
    <definedName name="_xlnm.Extract">#REF!</definedName>
    <definedName name="ey" localSheetId="4">#REF!</definedName>
    <definedName name="ey">#REF!</definedName>
    <definedName name="eyrlp" localSheetId="4">#REF!</definedName>
    <definedName name="eyrlp">#REF!</definedName>
    <definedName name="f" localSheetId="4">#REF!</definedName>
    <definedName name="f">#REF!</definedName>
    <definedName name="FACP" localSheetId="1">'[59]FAS-C(4)'!#REF!</definedName>
    <definedName name="FACP" localSheetId="4">'[60]FAS-C(4)'!#REF!</definedName>
    <definedName name="FACP">'[60]FAS-C(4)'!#REF!</definedName>
    <definedName name="fc" localSheetId="4">#REF!</definedName>
    <definedName name="fc">#REF!</definedName>
    <definedName name="fck" localSheetId="4">#REF!</definedName>
    <definedName name="fck">#REF!</definedName>
    <definedName name="fckfck" localSheetId="4">#REF!</definedName>
    <definedName name="fckfck">#REF!</definedName>
    <definedName name="fdd" localSheetId="4">#REF!</definedName>
    <definedName name="fdd">#REF!</definedName>
    <definedName name="Fe_kg_BiopurN" localSheetId="4">[26]BALAN1!$J$28</definedName>
    <definedName name="Fe_kg_BiopurN">#REF!</definedName>
    <definedName name="Fe_kg_Vorfällung" localSheetId="4">[26]BALAN1!$F$28</definedName>
    <definedName name="Fe_kg_Vorfällung">#REF!</definedName>
    <definedName name="fewgwergwegwe" localSheetId="4">#REF!</definedName>
    <definedName name="fewgwergwegwe" localSheetId="0">#REF!</definedName>
    <definedName name="fewgwergwegwe">#REF!</definedName>
    <definedName name="ff" localSheetId="4">#REF!</definedName>
    <definedName name="ff">#REF!</definedName>
    <definedName name="FF_967" localSheetId="4">#REF!</definedName>
    <definedName name="FF_967">#REF!</definedName>
    <definedName name="fff" localSheetId="4">#REF!</definedName>
    <definedName name="fff">#REF!</definedName>
    <definedName name="ffff" localSheetId="4">#REF!</definedName>
    <definedName name="ffff">#REF!</definedName>
    <definedName name="fg" localSheetId="4">#REF!</definedName>
    <definedName name="fg" localSheetId="0">#REF!</definedName>
    <definedName name="fg">#REF!</definedName>
    <definedName name="fgf" localSheetId="4">#REF!</definedName>
    <definedName name="fgf">#REF!</definedName>
    <definedName name="FGFGFG">"$#REF!.$#REF!$#REF!"</definedName>
    <definedName name="FGFGFGFGGG">"$#REF!.$#REF!$#REF!"</definedName>
    <definedName name="FGFGGFGFG">"$#REF!.$#REF!$#REF!"</definedName>
    <definedName name="FGL" localSheetId="4">#REF!</definedName>
    <definedName name="FGL">#REF!</definedName>
    <definedName name="fid" localSheetId="4">#REF!</definedName>
    <definedName name="fid">#REF!</definedName>
    <definedName name="fifb" localSheetId="4">#REF!</definedName>
    <definedName name="fifb">#REF!</definedName>
    <definedName name="FIFTH" localSheetId="4">#REF!</definedName>
    <definedName name="FIFTH">#REF!</definedName>
    <definedName name="fil" localSheetId="4">#REF!</definedName>
    <definedName name="fil">#REF!</definedName>
    <definedName name="filters" localSheetId="1">[61]Sheet2!$K$2:$K$5</definedName>
    <definedName name="filters">[62]Sheet2!$K$2:$K$5</definedName>
    <definedName name="Finland" localSheetId="1" hidden="1">{"'LTITL'!$A$1:$P$35"}</definedName>
    <definedName name="Finland" localSheetId="4" hidden="1">{"'LTITL'!$A$1:$P$35"}</definedName>
    <definedName name="Finland" localSheetId="0" hidden="1">{"'LTITL'!$A$1:$P$35"}</definedName>
    <definedName name="Finland" hidden="1">{"'LTITL'!$A$1:$P$35"}</definedName>
    <definedName name="firstValve" localSheetId="4">#REF!</definedName>
    <definedName name="firstValve">#REF!</definedName>
    <definedName name="FirstWarn" localSheetId="4">#REF!</definedName>
    <definedName name="FirstWarn">#REF!</definedName>
    <definedName name="fiw" localSheetId="4">#REF!</definedName>
    <definedName name="fiw">#REF!</definedName>
    <definedName name="Fixed_Lens" localSheetId="4">#REF!</definedName>
    <definedName name="Fixed_Lens">#REF!</definedName>
    <definedName name="Fixed_Lens2" localSheetId="1">'[59]CCTV(old)'!#REF!</definedName>
    <definedName name="Fixed_Lens2">'[60]CCTV(old)'!#REF!</definedName>
    <definedName name="fl" localSheetId="4">#REF!</definedName>
    <definedName name="fl">#REF!</definedName>
    <definedName name="fld" localSheetId="4">#REF!</definedName>
    <definedName name="fld">#REF!</definedName>
    <definedName name="flg" localSheetId="4">#REF!</definedName>
    <definedName name="flg">#REF!</definedName>
    <definedName name="flg_1">"$#REF!.$I$45"</definedName>
    <definedName name="flg_2" localSheetId="4">#REF!</definedName>
    <definedName name="flg_2">#REF!</definedName>
    <definedName name="flg_3" localSheetId="4">#REF!</definedName>
    <definedName name="flg_3">#REF!</definedName>
    <definedName name="flg_4" localSheetId="4">#REF!</definedName>
    <definedName name="flg_4">#REF!</definedName>
    <definedName name="FLOOR_ANALYSIS_LINES_TO_FORMAT0" localSheetId="1">[9]Sachin!#REF!</definedName>
    <definedName name="FLOOR_ANALYSIS_LINES_TO_FORMAT0" localSheetId="4">[21]Sachin!#REF!</definedName>
    <definedName name="FLOOR_ANALYSIS_LINES_TO_FORMAT0" localSheetId="0">[21]Sachin!#REF!</definedName>
    <definedName name="FLOOR_ANALYSIS_LINES_TO_FORMAT0">[9]Sachin!#REF!</definedName>
    <definedName name="FLOOR_ANALYSIS_LINES_TO_FORMAT1" localSheetId="1">[9]Sachin!#REF!</definedName>
    <definedName name="FLOOR_ANALYSIS_LINES_TO_FORMAT1" localSheetId="4">[21]Sachin!#REF!</definedName>
    <definedName name="FLOOR_ANALYSIS_LINES_TO_FORMAT1" localSheetId="0">[21]Sachin!#REF!</definedName>
    <definedName name="FLOOR_ANALYSIS_LINES_TO_FORMAT1">[9]Sachin!#REF!</definedName>
    <definedName name="FLOOR_ANALYSIS_SECTION" localSheetId="1">[9]Sachin!#REF!</definedName>
    <definedName name="FLOOR_ANALYSIS_SECTION" localSheetId="4">[21]Sachin!#REF!</definedName>
    <definedName name="FLOOR_ANALYSIS_SECTION" localSheetId="0">[21]Sachin!#REF!</definedName>
    <definedName name="FLOOR_ANALYSIS_SECTION">[9]Sachin!#REF!</definedName>
    <definedName name="Floorsqty">"$#REF!.$M$5"</definedName>
    <definedName name="Fm" localSheetId="1">#REF!</definedName>
    <definedName name="Fm" localSheetId="4">#REF!</definedName>
    <definedName name="Fm">#REF!</definedName>
    <definedName name="fmld" localSheetId="1">#REF!</definedName>
    <definedName name="fmld" localSheetId="4">#REF!</definedName>
    <definedName name="fmld">#REF!</definedName>
    <definedName name="FOR" localSheetId="4">#REF!</definedName>
    <definedName name="FOR">#REF!</definedName>
    <definedName name="FormUR" localSheetId="4">#REF!</definedName>
    <definedName name="FormUR">#REF!</definedName>
    <definedName name="Fpi">"$#REF!.$D$271"</definedName>
    <definedName name="FRAME_BSIZE" localSheetId="4">#REF!</definedName>
    <definedName name="FRAME_BSIZE">#REF!</definedName>
    <definedName name="FRAME_SIZE" localSheetId="4">#REF!</definedName>
    <definedName name="FRAME_SIZE">#REF!</definedName>
    <definedName name="Freight_forwarding">'[53]Master data'!$B$14:$C$15</definedName>
    <definedName name="fsdfs">"$#REF!.$D$145"</definedName>
    <definedName name="fsfddf" localSheetId="4">#REF!</definedName>
    <definedName name="fsfddf">#REF!</definedName>
    <definedName name="fsg" localSheetId="4">#REF!</definedName>
    <definedName name="fsg">#REF!</definedName>
    <definedName name="Fst">"$#REF!.$#REF!$23"</definedName>
    <definedName name="fsteel" localSheetId="4">#REF!</definedName>
    <definedName name="fsteel">#REF!</definedName>
    <definedName name="Ft">"$#REF!.$D$160"</definedName>
    <definedName name="FTH">[19]Labels!$A$7:$A$9</definedName>
    <definedName name="FTH_Types">[19]Labels!$C$12:$C$13</definedName>
    <definedName name="Fuel_consumption">'[50]Sweeper Machine'!$C$22</definedName>
    <definedName name="Fv">"$#REF!.$D$217"</definedName>
    <definedName name="fw" localSheetId="4">#REF!</definedName>
    <definedName name="fw">#REF!</definedName>
    <definedName name="fwfb" localSheetId="4">#REF!</definedName>
    <definedName name="fwfb">#REF!</definedName>
    <definedName name="fwl" localSheetId="4">#REF!</definedName>
    <definedName name="fwl">#REF!</definedName>
    <definedName name="fwld" localSheetId="4">#REF!</definedName>
    <definedName name="fwld">#REF!</definedName>
    <definedName name="fwrfb" localSheetId="4">#REF!</definedName>
    <definedName name="fwrfb">#REF!</definedName>
    <definedName name="fwrfb_1" localSheetId="4">#REF!</definedName>
    <definedName name="fwrfb_1">#REF!</definedName>
    <definedName name="fwrl" localSheetId="4">#REF!</definedName>
    <definedName name="fwrl">#REF!</definedName>
    <definedName name="fwrl_1" localSheetId="4">#REF!</definedName>
    <definedName name="fwrl_1">#REF!</definedName>
    <definedName name="fwrld" localSheetId="4">#REF!</definedName>
    <definedName name="fwrld">#REF!</definedName>
    <definedName name="fwrld_1" localSheetId="4">#REF!</definedName>
    <definedName name="fwrld_1">#REF!</definedName>
    <definedName name="fwrw" localSheetId="4">#REF!</definedName>
    <definedName name="fwrw">#REF!</definedName>
    <definedName name="fwrw_1" localSheetId="4">#REF!</definedName>
    <definedName name="fwrw_1">#REF!</definedName>
    <definedName name="fwsfb" localSheetId="4">#REF!</definedName>
    <definedName name="fwsfb">#REF!</definedName>
    <definedName name="fwsfb_1" localSheetId="4">#REF!</definedName>
    <definedName name="fwsfb_1">#REF!</definedName>
    <definedName name="fwsl" localSheetId="4">#REF!</definedName>
    <definedName name="fwsl">#REF!</definedName>
    <definedName name="fwsl_1" localSheetId="4">#REF!</definedName>
    <definedName name="fwsl_1">#REF!</definedName>
    <definedName name="fwsld" localSheetId="4">#REF!</definedName>
    <definedName name="fwsld">#REF!</definedName>
    <definedName name="fwsld_1" localSheetId="4">#REF!</definedName>
    <definedName name="fwsld_1">#REF!</definedName>
    <definedName name="fwsw" localSheetId="4">#REF!</definedName>
    <definedName name="fwsw">#REF!</definedName>
    <definedName name="fwsw_1" localSheetId="4">#REF!</definedName>
    <definedName name="fwsw_1">#REF!</definedName>
    <definedName name="fww" localSheetId="4">#REF!</definedName>
    <definedName name="fww">#REF!</definedName>
    <definedName name="fy" localSheetId="4">#REF!</definedName>
    <definedName name="fy">#REF!</definedName>
    <definedName name="fyfy" localSheetId="4">#REF!</definedName>
    <definedName name="fyfy">#REF!</definedName>
    <definedName name="fysteel" localSheetId="4">#REF!</definedName>
    <definedName name="fysteel">#REF!</definedName>
    <definedName name="g" localSheetId="4">#REF!</definedName>
    <definedName name="g">#REF!</definedName>
    <definedName name="g_1">"$#REF!.$F$6"</definedName>
    <definedName name="G_2" localSheetId="4">#REF!</definedName>
    <definedName name="G_2">#REF!</definedName>
    <definedName name="G_3" localSheetId="4">#REF!</definedName>
    <definedName name="G_3">#REF!</definedName>
    <definedName name="G_4" localSheetId="4">#REF!</definedName>
    <definedName name="G_4">#REF!</definedName>
    <definedName name="ganeshaaerhaeafjife" localSheetId="4" hidden="1">#REF!</definedName>
    <definedName name="ganeshaaerhaeafjife" hidden="1">#REF!</definedName>
    <definedName name="gareett" localSheetId="4">#REF!</definedName>
    <definedName name="gareett" localSheetId="0">#REF!</definedName>
    <definedName name="gareett">#REF!</definedName>
    <definedName name="Geschäftsbereich" localSheetId="4">#REF!</definedName>
    <definedName name="Geschäftsbereich">#REF!</definedName>
    <definedName name="gfg" localSheetId="4">#REF!</definedName>
    <definedName name="gfg">#REF!</definedName>
    <definedName name="GFGF">"$#REF!.$#REF!$#REF!"</definedName>
    <definedName name="gg" localSheetId="1">[9]Sachin!#REF!</definedName>
    <definedName name="GG" localSheetId="4">'[3]SCADA(MCC-SCC)-Koyali'!#REF!</definedName>
    <definedName name="GG" localSheetId="0">'[3]SCADA(MCC-SCC)-Koyali'!#REF!</definedName>
    <definedName name="gg">[10]Sachin!#REF!</definedName>
    <definedName name="GGGG">"$#REF!.$#REF!$#REF!"</definedName>
    <definedName name="gggsdg" localSheetId="4">#REF!</definedName>
    <definedName name="gggsdg">#REF!</definedName>
    <definedName name="Gi" localSheetId="1">#REF!</definedName>
    <definedName name="Gi" localSheetId="4">#REF!</definedName>
    <definedName name="Gi">#REF!</definedName>
    <definedName name="GlobalConfig" localSheetId="1">[81]Überblick!#REF!</definedName>
    <definedName name="GlobalConfig" localSheetId="4">[81]Überblick!#REF!</definedName>
    <definedName name="GlobalConfig" localSheetId="0">#REF!</definedName>
    <definedName name="GlobalConfig">[82]Überblick!#REF!</definedName>
    <definedName name="GlobalDescr" localSheetId="1">#REF!</definedName>
    <definedName name="GlobalDescr" localSheetId="4">#REF!</definedName>
    <definedName name="GlobalDescr">#REF!</definedName>
    <definedName name="Gm" localSheetId="4">#REF!</definedName>
    <definedName name="Gm">#REF!</definedName>
    <definedName name="gn">"$#REF!.$#REF!$37"</definedName>
    <definedName name="Group" localSheetId="1">#REF!</definedName>
    <definedName name="Group" localSheetId="4">#REF!</definedName>
    <definedName name="Group">#REF!</definedName>
    <definedName name="Group1" localSheetId="4">#REF!</definedName>
    <definedName name="Group1">#REF!</definedName>
    <definedName name="Group2" localSheetId="4">#REF!</definedName>
    <definedName name="Group2">#REF!</definedName>
    <definedName name="Group3" localSheetId="4">#REF!</definedName>
    <definedName name="Group3">#REF!</definedName>
    <definedName name="Group4" localSheetId="4">#REF!</definedName>
    <definedName name="Group4">#REF!</definedName>
    <definedName name="grp_WalkMeArrows">"shp_ArrowCurved,txt_WalkMeArrows,shp_ArrowStraight"</definedName>
    <definedName name="grp_WalkMeBrace">"shp_BraceBottom,txt_WalkMeBrace,shp_BraceLeft"</definedName>
    <definedName name="gs" localSheetId="4">#REF!</definedName>
    <definedName name="gs">#REF!</definedName>
    <definedName name="GSA_HEADER_FIELDS" localSheetId="1">[9]Sachin!#REF!</definedName>
    <definedName name="GSA_HEADER_FIELDS" localSheetId="4">[21]Sachin!#REF!</definedName>
    <definedName name="GSA_HEADER_FIELDS" localSheetId="0">[21]Sachin!#REF!</definedName>
    <definedName name="GSA_HEADER_FIELDS">[9]Sachin!#REF!</definedName>
    <definedName name="GSS_29Aug" localSheetId="1" hidden="1">#REF!</definedName>
    <definedName name="GSS_29Aug" localSheetId="4" hidden="1">#REF!</definedName>
    <definedName name="GSS_29Aug" hidden="1">#REF!</definedName>
    <definedName name="Gv" localSheetId="1">#REF!</definedName>
    <definedName name="Gv" localSheetId="4">#REF!</definedName>
    <definedName name="Gv">#REF!</definedName>
    <definedName name="H" localSheetId="1">[67]Storage!#REF!</definedName>
    <definedName name="H" localSheetId="4">[67]Storage!#REF!</definedName>
    <definedName name="h" localSheetId="0">#REF!</definedName>
    <definedName name="H">[69]Storage!#REF!</definedName>
    <definedName name="H_1">"$#REF!.$I$37"</definedName>
    <definedName name="H_2" localSheetId="4">#REF!</definedName>
    <definedName name="H_2">#REF!</definedName>
    <definedName name="H_3" localSheetId="4">#REF!</definedName>
    <definedName name="H_3">#REF!</definedName>
    <definedName name="H_4" localSheetId="4">#REF!</definedName>
    <definedName name="H_4">#REF!</definedName>
    <definedName name="H0">"$#REF!.$B$97"</definedName>
    <definedName name="HANATShirts" localSheetId="4">#REF!</definedName>
    <definedName name="HANATShirts">#REF!</definedName>
    <definedName name="handling" localSheetId="4">#REF!</definedName>
    <definedName name="handling">#REF!</definedName>
    <definedName name="Hardware" localSheetId="4">#REF!</definedName>
    <definedName name="Hardware">#REF!</definedName>
    <definedName name="hc" localSheetId="4">#REF!</definedName>
    <definedName name="hc">#REF!</definedName>
    <definedName name="HEAD" localSheetId="4">#REF!</definedName>
    <definedName name="HEAD">#REF!</definedName>
    <definedName name="HEM" localSheetId="4">#REF!</definedName>
    <definedName name="HEM">#REF!</definedName>
    <definedName name="HEMANT" localSheetId="4">#REF!</definedName>
    <definedName name="HEMANT">#REF!</definedName>
    <definedName name="HEMANT11" localSheetId="4">#REF!</definedName>
    <definedName name="HEMANT11">#REF!</definedName>
    <definedName name="hemanthh" localSheetId="4">#REF!</definedName>
    <definedName name="hemanthh">#REF!</definedName>
    <definedName name="HES">[83]Solution_Architecture!$C$44</definedName>
    <definedName name="HES1_Size" localSheetId="1">#REF!</definedName>
    <definedName name="HES1_Size" localSheetId="4">#REF!</definedName>
    <definedName name="HES1_Size">#REF!</definedName>
    <definedName name="HES2_Size" localSheetId="1">#REF!</definedName>
    <definedName name="HES2_Size" localSheetId="4">#REF!</definedName>
    <definedName name="HES2_Size">#REF!</definedName>
    <definedName name="HES3_Size" localSheetId="1">#REF!</definedName>
    <definedName name="HES3_Size" localSheetId="4">#REF!</definedName>
    <definedName name="HES3_Size">#REF!</definedName>
    <definedName name="Hexaware" localSheetId="4">#REF!</definedName>
    <definedName name="Hexaware">#REF!</definedName>
    <definedName name="HF" localSheetId="4">#REF!</definedName>
    <definedName name="HF">#REF!</definedName>
    <definedName name="HGHJJB" localSheetId="4">#REF!</definedName>
    <definedName name="HGHJJB">#REF!</definedName>
    <definedName name="hh" localSheetId="4">#REF!</definedName>
    <definedName name="hh" localSheetId="0">#REF!</definedName>
    <definedName name="hh">#REF!</definedName>
    <definedName name="hhh" localSheetId="1" hidden="1">{#N/A,#N/A,TRUE,"Overall";#N/A,#N/A,TRUE,"Region Wise ";#N/A,#N/A,TRUE,"Client Wise"}</definedName>
    <definedName name="hhh" localSheetId="4" hidden="1">{#N/A,#N/A,TRUE,"Overall";#N/A,#N/A,TRUE,"Region Wise ";#N/A,#N/A,TRUE,"Client Wise"}</definedName>
    <definedName name="hhh" localSheetId="0" hidden="1">{#N/A,#N/A,TRUE,"Overall";#N/A,#N/A,TRUE,"Region Wise ";#N/A,#N/A,TRUE,"Client Wise"}</definedName>
    <definedName name="hhh" hidden="1">{#N/A,#N/A,TRUE,"Overall";#N/A,#N/A,TRUE,"Region Wise ";#N/A,#N/A,TRUE,"Client Wise"}</definedName>
    <definedName name="HHP" localSheetId="4">#REF!</definedName>
    <definedName name="HHP">#REF!</definedName>
    <definedName name="hidecolumns" localSheetId="1">#REF!,#REF!,#REF!,#REF!,#REF!,#REF!,#REF!,#REF!,#REF!,#REF!,#REF!,#REF!,#REF!,#REF!,#REF!,#REF!,#REF!,#REF!,#REF!</definedName>
    <definedName name="hidecolumns" localSheetId="4">#REF!,#REF!,#REF!,#REF!,#REF!,#REF!,#REF!,#REF!,#REF!,#REF!,#REF!,#REF!,#REF!,#REF!,#REF!,#REF!,#REF!,#REF!,#REF!</definedName>
    <definedName name="hidecolumns">#REF!,#REF!,#REF!,#REF!,#REF!,#REF!,#REF!,#REF!,#REF!,#REF!,#REF!,#REF!,#REF!,#REF!,#REF!,#REF!,#REF!,#REF!,#REF!</definedName>
    <definedName name="hidecolumns2" localSheetId="4">#REF!,#REF!,#REF!,#REF!,#REF!,#REF!,#REF!,#REF!,#REF!,#REF!,#REF!,#REF!,#REF!,#REF!,#REF!,#REF!,#REF!,#REF!</definedName>
    <definedName name="hidecolumns2">#REF!,#REF!,#REF!,#REF!,#REF!,#REF!,#REF!,#REF!,#REF!,#REF!,#REF!,#REF!,#REF!,#REF!,#REF!,#REF!,#REF!,#REF!</definedName>
    <definedName name="Hints" localSheetId="1">#REF!</definedName>
    <definedName name="Hints" localSheetId="4">#REF!</definedName>
    <definedName name="Hints">#REF!</definedName>
    <definedName name="HintSystem" localSheetId="4">#REF!</definedName>
    <definedName name="HintSystem">#REF!</definedName>
    <definedName name="HJGHJGHJ">"$#REF!.$#REF!$#REF!"</definedName>
    <definedName name="ho">"$#REF!.$B$97"</definedName>
    <definedName name="Holland" localSheetId="1" hidden="1">{"'LTITL'!$A$1:$P$35"}</definedName>
    <definedName name="Holland" localSheetId="4" hidden="1">{"'LTITL'!$A$1:$P$35"}</definedName>
    <definedName name="Holland" localSheetId="0" hidden="1">{"'LTITL'!$A$1:$P$35"}</definedName>
    <definedName name="Holland" hidden="1">{"'LTITL'!$A$1:$P$35"}</definedName>
    <definedName name="Housing_Accessories" localSheetId="1">'[59]CCTV(old)'!#REF!</definedName>
    <definedName name="Housing_Accessories">'[60]CCTV(old)'!#REF!</definedName>
    <definedName name="Housing_Prepacs" localSheetId="1">'[59]CCTV(old)'!#REF!</definedName>
    <definedName name="Housing_Prepacs">'[60]CCTV(old)'!#REF!</definedName>
    <definedName name="HR_022pD" localSheetId="1">#REF!</definedName>
    <definedName name="HR_022pD" localSheetId="4">#REF!</definedName>
    <definedName name="HR_022pD">#REF!</definedName>
    <definedName name="HR_023pE" localSheetId="4">#REF!</definedName>
    <definedName name="HR_023pE">#REF!</definedName>
    <definedName name="HR_025pE" localSheetId="4">#REF!</definedName>
    <definedName name="HR_025pE">#REF!</definedName>
    <definedName name="HR_027pE" localSheetId="4">#REF!</definedName>
    <definedName name="HR_027pE">#REF!</definedName>
    <definedName name="HR_031pC" localSheetId="4">#REF!</definedName>
    <definedName name="HR_031pC">#REF!</definedName>
    <definedName name="HR_031pS" localSheetId="4">#REF!</definedName>
    <definedName name="HR_031pS">#REF!</definedName>
    <definedName name="HR_032pP" localSheetId="4">#REF!</definedName>
    <definedName name="HR_032pP">#REF!</definedName>
    <definedName name="HR_040pE" localSheetId="4">#REF!</definedName>
    <definedName name="HR_040pE">#REF!</definedName>
    <definedName name="HR_31pT" localSheetId="4">#REF!</definedName>
    <definedName name="HR_31pT">#REF!</definedName>
    <definedName name="HR_C" localSheetId="4">#REF!</definedName>
    <definedName name="HR_C">#REF!</definedName>
    <definedName name="HR_D" localSheetId="4">#REF!</definedName>
    <definedName name="HR_D">#REF!</definedName>
    <definedName name="HR_F" localSheetId="4">#REF!</definedName>
    <definedName name="HR_F">#REF!</definedName>
    <definedName name="HR_G" localSheetId="4">#REF!</definedName>
    <definedName name="HR_G">#REF!</definedName>
    <definedName name="HR_P" localSheetId="4">#REF!</definedName>
    <definedName name="HR_P">#REF!</definedName>
    <definedName name="HR_Q" localSheetId="4">#REF!</definedName>
    <definedName name="HR_Q">#REF!</definedName>
    <definedName name="HR_R" localSheetId="4">#REF!</definedName>
    <definedName name="HR_R">#REF!</definedName>
    <definedName name="HR_S" localSheetId="4">#REF!</definedName>
    <definedName name="HR_S">#REF!</definedName>
    <definedName name="HR_T" localSheetId="4">#REF!</definedName>
    <definedName name="HR_T">#REF!</definedName>
    <definedName name="HRIADATANR" localSheetId="4">#REF!</definedName>
    <definedName name="HRIADATANR">#REF!</definedName>
    <definedName name="HRITABNR" localSheetId="4">#REF!</definedName>
    <definedName name="HRITABNR">#REF!</definedName>
    <definedName name="HRPAD22" localSheetId="4">#REF!</definedName>
    <definedName name="HRPAD22">#REF!</definedName>
    <definedName name="HRPAD23" localSheetId="4">#REF!</definedName>
    <definedName name="HRPAD23">#REF!</definedName>
    <definedName name="HRPAD25" localSheetId="4">#REF!</definedName>
    <definedName name="HRPAD25">#REF!</definedName>
    <definedName name="HRPAD27" localSheetId="4">#REF!</definedName>
    <definedName name="HRPAD27">#REF!</definedName>
    <definedName name="HRPAD31" localSheetId="4">#REF!</definedName>
    <definedName name="HRPAD31">#REF!</definedName>
    <definedName name="HRPnnnn" localSheetId="4">#REF!</definedName>
    <definedName name="HRPnnnn">#REF!</definedName>
    <definedName name="hS">"$#REF!.$E$43"</definedName>
    <definedName name="ht" localSheetId="4">[84]Design!#REF!</definedName>
    <definedName name="ht">#REF!</definedName>
    <definedName name="HTML_CodePage" hidden="1">1252</definedName>
    <definedName name="HTML_Control" localSheetId="1" hidden="1">{"'LTITL'!$A$1:$P$35"}</definedName>
    <definedName name="HTML_Control" localSheetId="4" hidden="1">{"'LTITL'!$A$1:$P$35"}</definedName>
    <definedName name="HTML_Control" localSheetId="0" hidden="1">{"'LTITL'!$A$1:$P$35"}</definedName>
    <definedName name="HTML_Control" hidden="1">{"'LTITL'!$A$1:$P$35"}</definedName>
    <definedName name="HTML_Description" hidden="1">""</definedName>
    <definedName name="HTML_Email" hidden="1">"ss-isd/gbp-isd"</definedName>
    <definedName name="HTML_Header" hidden="1">""</definedName>
    <definedName name="HTML_LastUpdate" hidden="1">"1/18/99"</definedName>
    <definedName name="HTML_LineAfter" hidden="1">FALSE</definedName>
    <definedName name="HTML_LineBefore" hidden="1">FALSE</definedName>
    <definedName name="HTML_Name" hidden="1">"Shetty/Ganga"</definedName>
    <definedName name="HTML_OBDlg2" hidden="1">TRUE</definedName>
    <definedName name="HTML_OBDlg4" hidden="1">TRUE</definedName>
    <definedName name="HTML_OS" hidden="1">0</definedName>
    <definedName name="HTML_PathFile" hidden="1">#N/A</definedName>
    <definedName name="HTML_Title" hidden="1">""</definedName>
    <definedName name="hw" localSheetId="4">#REF!</definedName>
    <definedName name="hw">#REF!</definedName>
    <definedName name="hwt" localSheetId="4">#REF!</definedName>
    <definedName name="hwt">#REF!</definedName>
    <definedName name="hypervisor" localSheetId="4">#REF!</definedName>
    <definedName name="hypervisor">#REF!</definedName>
    <definedName name="Hypervisor1" localSheetId="0">[75]Choices!$I$18:$I$18</definedName>
    <definedName name="Hypervisor1">[76]Choices!$I$18:$I$18</definedName>
    <definedName name="Hz">"$#REF!.$#REF!$41"</definedName>
    <definedName name="I">"$#REF!.$C$35"</definedName>
    <definedName name="IBM_Labour">[19]Labels!$A$12:$A$13</definedName>
    <definedName name="ifif" localSheetId="4">#REF!</definedName>
    <definedName name="ifif">#REF!</definedName>
    <definedName name="Ig">"$#REF!.$E$18"</definedName>
    <definedName name="iii" localSheetId="1" hidden="1">{#N/A,#N/A,TRUE,"Overall";#N/A,#N/A,TRUE,"Region Wise ";#N/A,#N/A,TRUE,"Client Wise"}</definedName>
    <definedName name="iii" localSheetId="4" hidden="1">{#N/A,#N/A,TRUE,"Overall";#N/A,#N/A,TRUE,"Region Wise ";#N/A,#N/A,TRUE,"Client Wise"}</definedName>
    <definedName name="iii" localSheetId="0" hidden="1">{#N/A,#N/A,TRUE,"Overall";#N/A,#N/A,TRUE,"Region Wise ";#N/A,#N/A,TRUE,"Client Wise"}</definedName>
    <definedName name="iii" hidden="1">{#N/A,#N/A,TRUE,"Overall";#N/A,#N/A,TRUE,"Region Wise ";#N/A,#N/A,TRUE,"Client Wise"}</definedName>
    <definedName name="iio" localSheetId="4">#REF!</definedName>
    <definedName name="iio">#REF!</definedName>
    <definedName name="Ik">"$#REF!.$#REF!$35"</definedName>
    <definedName name="IN_MDRATE" localSheetId="4">#REF!</definedName>
    <definedName name="IN_MDRATE">#REF!</definedName>
    <definedName name="indf">"$#REF!.$#REF!$#REF!"</definedName>
    <definedName name="India" localSheetId="1" hidden="1">{#N/A,#N/A,TRUE,"Overall";#N/A,#N/A,TRUE,"Region Wise ";#N/A,#N/A,TRUE,"Client Wise"}</definedName>
    <definedName name="India" localSheetId="4" hidden="1">{#N/A,#N/A,TRUE,"Overall";#N/A,#N/A,TRUE,"Region Wise ";#N/A,#N/A,TRUE,"Client Wise"}</definedName>
    <definedName name="India" localSheetId="0" hidden="1">{#N/A,#N/A,TRUE,"Overall";#N/A,#N/A,TRUE,"Region Wise ";#N/A,#N/A,TRUE,"Client Wise"}</definedName>
    <definedName name="India" hidden="1">{#N/A,#N/A,TRUE,"Overall";#N/A,#N/A,TRUE,"Region Wise ";#N/A,#N/A,TRUE,"Client Wise"}</definedName>
    <definedName name="Industries" localSheetId="1">[85]ABOUT!#REF!</definedName>
    <definedName name="Industries" localSheetId="4">[85]ABOUT!#REF!</definedName>
    <definedName name="Industries" localSheetId="0">[85]ABOUT!#REF!</definedName>
    <definedName name="Industries">[86]ABOUT!#REF!</definedName>
    <definedName name="InitialUse">0</definedName>
    <definedName name="InpTotMisc" localSheetId="1">[87]Other_Input!$GA$463</definedName>
    <definedName name="InpTotMisc">[88]Other_Input!$GA$463</definedName>
    <definedName name="InpTotOEM" localSheetId="1">[87]Other_Input!$GA$237</definedName>
    <definedName name="InpTotOEM">[88]Other_Input!$GA$237</definedName>
    <definedName name="InpTotOthLab" localSheetId="1">[87]Other_Input!$GA$124</definedName>
    <definedName name="InpTotOthLab">[88]Other_Input!$GA$124</definedName>
    <definedName name="INR_Conv" localSheetId="1">#REF!</definedName>
    <definedName name="INR_Conv" localSheetId="4">#REF!</definedName>
    <definedName name="INR_Conv">#REF!</definedName>
    <definedName name="insert_rows_1" localSheetId="1">'[89]Basement Budget'!#REF!</definedName>
    <definedName name="insert_rows_1" localSheetId="4">'[89]Basement Budget'!#REF!</definedName>
    <definedName name="insert_rows_1">'[89]Basement Budget'!#REF!</definedName>
    <definedName name="INSTALL_AT_ADDRESS" localSheetId="1">[9]Sachin!#REF!</definedName>
    <definedName name="INSTALL_AT_ADDRESS" localSheetId="4">[21]Sachin!#REF!</definedName>
    <definedName name="INSTALL_AT_ADDRESS" localSheetId="0">[21]Sachin!#REF!</definedName>
    <definedName name="INSTALL_AT_ADDRESS">[9]Sachin!#REF!</definedName>
    <definedName name="INSTALL_AT_CONTACT" localSheetId="4">[21]Sachin!#REF!</definedName>
    <definedName name="INSTALL_AT_CONTACT" localSheetId="0">[21]Sachin!#REF!</definedName>
    <definedName name="INSTALL_AT_CONTACT">[9]Sachin!#REF!</definedName>
    <definedName name="INSTALL_AT_LABEL" localSheetId="4">[21]Sachin!#REF!</definedName>
    <definedName name="INSTALL_AT_LABEL" localSheetId="0">[21]Sachin!#REF!</definedName>
    <definedName name="INSTALL_AT_LABEL">[9]Sachin!#REF!</definedName>
    <definedName name="INSTALL_AT_NAME" localSheetId="4">[21]Sachin!#REF!</definedName>
    <definedName name="INSTALL_AT_NAME" localSheetId="0">[21]Sachin!#REF!</definedName>
    <definedName name="INSTALL_AT_NAME">[9]Sachin!#REF!</definedName>
    <definedName name="INSTALL_AT_PHONE" localSheetId="4">[21]Sachin!#REF!</definedName>
    <definedName name="INSTALL_AT_PHONE" localSheetId="0">[21]Sachin!#REF!</definedName>
    <definedName name="INSTALL_AT_PHONE">[9]Sachin!#REF!</definedName>
    <definedName name="Instance_qty" localSheetId="1">#REF!</definedName>
    <definedName name="Instance_qty" localSheetId="4">#REF!</definedName>
    <definedName name="Instance_qty">#REF!</definedName>
    <definedName name="Instance_tier" localSheetId="1">#REF!</definedName>
    <definedName name="Instance_tier" localSheetId="4">#REF!</definedName>
    <definedName name="Instance_tier" localSheetId="0">'[90]DC-HA'!$C$91:$C$93</definedName>
    <definedName name="Instance_tier">#REF!</definedName>
    <definedName name="Instf">[43]factors!$J$12</definedName>
    <definedName name="interb" localSheetId="4">#REF!</definedName>
    <definedName name="interb">#REF!</definedName>
    <definedName name="intert" localSheetId="4">#REF!</definedName>
    <definedName name="intert">#REF!</definedName>
    <definedName name="Interval" localSheetId="1">'[91]12-Month Sales Forecast'!#REF!</definedName>
    <definedName name="Interval">'[91]12-Month Sales Forecast'!#REF!</definedName>
    <definedName name="ioio" localSheetId="1">#REF!</definedName>
    <definedName name="ioio" localSheetId="4">#REF!</definedName>
    <definedName name="ioio">#REF!</definedName>
    <definedName name="ioioioo" localSheetId="4">#REF!</definedName>
    <definedName name="ioioioo">#REF!</definedName>
    <definedName name="IOLIST">'[92]IO LIST'!$A$1:$O$134</definedName>
    <definedName name="IPC_VM_Flavor" localSheetId="0">[75]Choices!$R$3:$R$30</definedName>
    <definedName name="IPC_VM_Flavor">[76]Choices!$R$3:$R$30</definedName>
    <definedName name="IsCoreRemote">#N/A</definedName>
    <definedName name="Issue" comment="Describe the issue and what actions will be established to get the issue resolved" localSheetId="4">#REF!</definedName>
    <definedName name="Issue" comment="Describe the issue and what actions will be established to get the issue resolved">#REF!</definedName>
    <definedName name="ItemNum" localSheetId="4">#REF!</definedName>
    <definedName name="ItemNum">#REF!</definedName>
    <definedName name="j" localSheetId="4">#REF!</definedName>
    <definedName name="j" localSheetId="0">#REF!</definedName>
    <definedName name="j">#REF!</definedName>
    <definedName name="JBOSS">"$#REF!.$#REF!$5"</definedName>
    <definedName name="jjj" localSheetId="1" hidden="1">{#N/A,#N/A,TRUE,"Overall";#N/A,#N/A,TRUE,"Region Wise ";#N/A,#N/A,TRUE,"Client Wise"}</definedName>
    <definedName name="jjj" localSheetId="4" hidden="1">{#N/A,#N/A,TRUE,"Overall";#N/A,#N/A,TRUE,"Region Wise ";#N/A,#N/A,TRUE,"Client Wise"}</definedName>
    <definedName name="jjj" localSheetId="0" hidden="1">{#N/A,#N/A,TRUE,"Overall";#N/A,#N/A,TRUE,"Region Wise ";#N/A,#N/A,TRUE,"Client Wise"}</definedName>
    <definedName name="jjj" hidden="1">{#N/A,#N/A,TRUE,"Overall";#N/A,#N/A,TRUE,"Region Wise ";#N/A,#N/A,TRUE,"Client Wise"}</definedName>
    <definedName name="JobID" localSheetId="4">#REF!</definedName>
    <definedName name="JobID">#REF!</definedName>
    <definedName name="Junctions" localSheetId="1">'[93]H-OFC (Approach 1)'!$W$6</definedName>
    <definedName name="Junctions" localSheetId="4">'[93]H-OFC (Approach 1)'!$W$6</definedName>
    <definedName name="Junctions" localSheetId="0">'[93]H-OFC (Approach 1)'!$W$6</definedName>
    <definedName name="Junctions">'[94]H-OFC (Approach 1)'!$W$6</definedName>
    <definedName name="k" localSheetId="1">#REF!</definedName>
    <definedName name="k" localSheetId="4">#REF!</definedName>
    <definedName name="k">#REF!</definedName>
    <definedName name="K_1" localSheetId="1">#REF!</definedName>
    <definedName name="K_1" localSheetId="4">#REF!</definedName>
    <definedName name="K_1">#REF!</definedName>
    <definedName name="k1_table" localSheetId="4">#REF!</definedName>
    <definedName name="k1_table">#REF!</definedName>
    <definedName name="k1fact" localSheetId="4">#REF!</definedName>
    <definedName name="k1fact">#REF!</definedName>
    <definedName name="k1x" localSheetId="4">#REF!</definedName>
    <definedName name="k1x">#REF!</definedName>
    <definedName name="k1y" localSheetId="4">#REF!</definedName>
    <definedName name="k1y">#REF!</definedName>
    <definedName name="k2x" localSheetId="4">#REF!</definedName>
    <definedName name="k2x">#REF!</definedName>
    <definedName name="k2y" localSheetId="4">#REF!</definedName>
    <definedName name="k2y">#REF!</definedName>
    <definedName name="ka" localSheetId="4">#REF!</definedName>
    <definedName name="ka">#REF!</definedName>
    <definedName name="kfac11" localSheetId="4">#REF!</definedName>
    <definedName name="kfac11">#REF!</definedName>
    <definedName name="kfac22" localSheetId="4">#REF!</definedName>
    <definedName name="kfac22">#REF!</definedName>
    <definedName name="Kh">"$#REF!.$D$99"</definedName>
    <definedName name="khd">"$#REF!.$B$6"</definedName>
    <definedName name="khf">"$#REF!.$J$6"</definedName>
    <definedName name="Ki">"$#REF!.$B$105"</definedName>
    <definedName name="kih" localSheetId="1" hidden="1">{"'LTITL'!$A$1:$P$35"}</definedName>
    <definedName name="kih" localSheetId="4" hidden="1">{"'LTITL'!$A$1:$P$35"}</definedName>
    <definedName name="kih" localSheetId="0" hidden="1">{"'LTITL'!$A$1:$P$35"}</definedName>
    <definedName name="kih" hidden="1">{"'LTITL'!$A$1:$P$35"}</definedName>
    <definedName name="Kii">"$#REF!.$B$93"</definedName>
    <definedName name="Kis">"$#REF!.$B$122"</definedName>
    <definedName name="kj" localSheetId="1" hidden="1">{"'LTITL'!$A$1:$P$35"}</definedName>
    <definedName name="kj" localSheetId="4" hidden="1">{"'LTITL'!$A$1:$P$35"}</definedName>
    <definedName name="kj" localSheetId="0" hidden="1">{"'LTITL'!$A$1:$P$35"}</definedName>
    <definedName name="kj" hidden="1">{"'LTITL'!$A$1:$P$35"}</definedName>
    <definedName name="KK" localSheetId="4">#REF!</definedName>
    <definedName name="KK">#REF!</definedName>
    <definedName name="KKK" localSheetId="4" hidden="1">#REF!</definedName>
    <definedName name="KKK" hidden="1">#REF!</definedName>
    <definedName name="Km">"$#REF!.$B$102"</definedName>
    <definedName name="kmh" localSheetId="4">#REF!</definedName>
    <definedName name="kmh">#REF!</definedName>
    <definedName name="Konsortialanteil" localSheetId="4">#REF!</definedName>
    <definedName name="Konsortialanteil">#REF!</definedName>
    <definedName name="Ks">"$#REF!.$#REF!$124"</definedName>
    <definedName name="ksd">"$#REF!.$B$7"</definedName>
    <definedName name="ksf">"$#REF!.$J$7"</definedName>
    <definedName name="kx" localSheetId="4">#REF!</definedName>
    <definedName name="kx">#REF!</definedName>
    <definedName name="kxb" localSheetId="4">#REF!</definedName>
    <definedName name="kxb">#REF!</definedName>
    <definedName name="kxt" localSheetId="4">#REF!</definedName>
    <definedName name="kxt">#REF!</definedName>
    <definedName name="ky" localSheetId="4">#REF!</definedName>
    <definedName name="ky">#REF!</definedName>
    <definedName name="kyb" localSheetId="4">#REF!</definedName>
    <definedName name="kyb">#REF!</definedName>
    <definedName name="kyt" localSheetId="4">#REF!</definedName>
    <definedName name="kyt">#REF!</definedName>
    <definedName name="L" localSheetId="0">#REF!</definedName>
    <definedName name="l">'[53]Master data'!$B$14:$C$15</definedName>
    <definedName name="L_1" localSheetId="4">#REF!</definedName>
    <definedName name="L_1">#REF!</definedName>
    <definedName name="L_Adjust" localSheetId="1">#REF!</definedName>
    <definedName name="L_Adjust" localSheetId="4">#REF!</definedName>
    <definedName name="L_Adjust">#REF!</definedName>
    <definedName name="L_AJE_Tot" localSheetId="4">#REF!</definedName>
    <definedName name="L_AJE_Tot">#REF!</definedName>
    <definedName name="L_CY_Beg" localSheetId="0">[95]Links!$F:$F</definedName>
    <definedName name="L_CY_Beg">[95]Links!$F$1:$F$65536</definedName>
    <definedName name="L_CY_End" localSheetId="1">#REF!</definedName>
    <definedName name="L_CY_End" localSheetId="4">#REF!</definedName>
    <definedName name="L_CY_End">#REF!</definedName>
    <definedName name="L_Face" localSheetId="1">#REF!</definedName>
    <definedName name="L_Face" localSheetId="4">#REF!</definedName>
    <definedName name="L_Face">#REF!</definedName>
    <definedName name="L_PY_End" localSheetId="4">#REF!</definedName>
    <definedName name="L_PY_End">#REF!</definedName>
    <definedName name="L_RJE_Tot" localSheetId="4">#REF!</definedName>
    <definedName name="L_RJE_Tot">#REF!</definedName>
    <definedName name="Labour_Service_Levels">[19]Labels!$F$28:$F$30</definedName>
    <definedName name="lamda">"$#REF!.$D$188"</definedName>
    <definedName name="Lc">"$#REF!.$E$37"</definedName>
    <definedName name="LCS" localSheetId="4">(#REF!,#REF!,#REF!,#REF!,#REF!,#REF!,#REF!,#REF!,#REF!,#REF!,#REF!,#REF!,#REF!,#REF!,#REF!,#REF!,#REF!,#REF!,#REF!,#REF!,#REF!,#REF!)</definedName>
    <definedName name="LCS">(#REF!,#REF!,#REF!,#REF!,#REF!,#REF!,#REF!,#REF!,#REF!,#REF!,#REF!,#REF!,#REF!,#REF!,#REF!,#REF!,#REF!,#REF!,#REF!,#REF!,#REF!,#REF!)</definedName>
    <definedName name="LCS_1" localSheetId="4">('[80]LCS SCHEDULE '!$E$9:$E$17,'[80]LCS SCHEDULE '!$E$18:$E$39,'[80]LCS SCHEDULE '!#REF!,'[80]LCS SCHEDULE '!#REF!,'[80]LCS SCHEDULE '!#REF!,'[80]LCS SCHEDULE '!#REF!,'[80]LCS SCHEDULE '!#REF!,'[80]LCS SCHEDULE '!#REF!,'[80]LCS SCHEDULE '!#REF!,'[80]LCS SCHEDULE '!#REF!,'[80]LCS SCHEDULE '!#REF!,'[80]LCS SCHEDULE '!#REF!,'[80]LCS SCHEDULE '!#REF!,'[80]LCS SCHEDULE '!#REF!,'[80]LCS SCHEDULE '!#REF!,'[80]LCS SCHEDULE '!#REF!,'[80]LCS SCHEDULE '!#REF!,'[80]LCS SCHEDULE '!#REF!,'[80]LCS SCHEDULE '!#REF!,'[80]LCS SCHEDULE '!$E$9,'[80]LCS SCHEDULE '!$E$9,'[80]LCS SCHEDULE '!$E$9)</definedName>
    <definedName name="LCS_1">(#REF!,#REF!,#REF!,#REF!,#REF!,#REF!,#REF!,#REF!,#REF!,#REF!,#REF!,#REF!,#REF!,#REF!,#REF!,#REF!,#REF!,#REF!,#REF!,#REF!,#REF!,#REF!)</definedName>
    <definedName name="Lead" localSheetId="4">#REF!</definedName>
    <definedName name="Lead">#REF!</definedName>
    <definedName name="least" localSheetId="4">#REF!</definedName>
    <definedName name="least">#REF!</definedName>
    <definedName name="lef" localSheetId="4">#REF!</definedName>
    <definedName name="lef">#REF!</definedName>
    <definedName name="lel" localSheetId="4">#REF!</definedName>
    <definedName name="lel">#REF!</definedName>
    <definedName name="Lemons" localSheetId="4">#REF!</definedName>
    <definedName name="Lemons">#REF!</definedName>
    <definedName name="level" localSheetId="4">#REF!</definedName>
    <definedName name="level">#REF!</definedName>
    <definedName name="lex" localSheetId="4">#REF!</definedName>
    <definedName name="lex">#REF!</definedName>
    <definedName name="ley" localSheetId="4">#REF!</definedName>
    <definedName name="ley">#REF!</definedName>
    <definedName name="LF" localSheetId="4">(#REF!,#REF!,#REF!,#REF!,#REF!,#REF!,#REF!,#REF!,#REF!)</definedName>
    <definedName name="LF">(#REF!,#REF!,#REF!,#REF!,#REF!,#REF!,#REF!,#REF!,#REF!)</definedName>
    <definedName name="LF_3" localSheetId="4">(#REF!,#REF!,#REF!,#REF!,#REF!,#REF!,#REF!,#REF!,#REF!)</definedName>
    <definedName name="LF_3">(#REF!,#REF!,#REF!,#REF!,#REF!,#REF!,#REF!,#REF!,#REF!)</definedName>
    <definedName name="lfb" localSheetId="4">#REF!</definedName>
    <definedName name="lfb">#REF!</definedName>
    <definedName name="lfoot" localSheetId="4">#REF!</definedName>
    <definedName name="lfoot">#REF!</definedName>
    <definedName name="li">"$#REF!.$#REF!$31"</definedName>
    <definedName name="liability" localSheetId="1" hidden="1">{#N/A,#N/A,FALSE,"PRESS ADVERTISEMENT (SEBI)";#N/A,#N/A,FALSE,"US GAAP (not printed)"}</definedName>
    <definedName name="liability" localSheetId="4" hidden="1">{#N/A,#N/A,FALSE,"PRESS ADVERTISEMENT (SEBI)";#N/A,#N/A,FALSE,"US GAAP (not printed)"}</definedName>
    <definedName name="liability" localSheetId="0" hidden="1">{#N/A,#N/A,FALSE,"PRESS ADVERTISEMENT (SEBI)";#N/A,#N/A,FALSE,"US GAAP (not printed)"}</definedName>
    <definedName name="liability" hidden="1">{#N/A,#N/A,FALSE,"PRESS ADVERTISEMENT (SEBI)";#N/A,#N/A,FALSE,"US GAAP (not printed)"}</definedName>
    <definedName name="List" localSheetId="0">'[96]Drop down data'!$J$10:$J$316</definedName>
    <definedName name="List">'[97]Drop down data'!$J$10:$J$316</definedName>
    <definedName name="ListProcessors" localSheetId="4">#REF!</definedName>
    <definedName name="ListProcessors">#REF!</definedName>
    <definedName name="lk">'[53]Master data'!$B$19:$C$24</definedName>
    <definedName name="lkawj" localSheetId="1" hidden="1">{"'LTITL'!$A$1:$P$35"}</definedName>
    <definedName name="lkawj" localSheetId="4" hidden="1">{"'LTITL'!$A$1:$P$35"}</definedName>
    <definedName name="lkawj" localSheetId="0" hidden="1">{"'LTITL'!$A$1:$P$35"}</definedName>
    <definedName name="lkawj" hidden="1">{"'LTITL'!$A$1:$P$35"}</definedName>
    <definedName name="lld" localSheetId="4">#REF!</definedName>
    <definedName name="lld">#REF!</definedName>
    <definedName name="llw" localSheetId="4">#REF!</definedName>
    <definedName name="llw">#REF!</definedName>
    <definedName name="lo" localSheetId="1">[98]Master!$AI:$AI</definedName>
    <definedName name="lo" localSheetId="4">[99]Master!$AI:$AI</definedName>
    <definedName name="lo" localSheetId="0">[98]Master!$AI:$AI</definedName>
    <definedName name="lo">[100]Master!$AI:$AI</definedName>
    <definedName name="loc" localSheetId="4">#REF!</definedName>
    <definedName name="loc">#REF!</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[101]Data!$A$4:$A$20</definedName>
    <definedName name="LOLD">1</definedName>
    <definedName name="LOLD_Table">17</definedName>
    <definedName name="longdia" localSheetId="4">#REF!</definedName>
    <definedName name="longdia">#REF!</definedName>
    <definedName name="Lph" localSheetId="4">#REF!</definedName>
    <definedName name="Lph">#REF!</definedName>
    <definedName name="Lr">"$#REF!.$E$49"</definedName>
    <definedName name="ls">"$#REF!.$#REF!$47"</definedName>
    <definedName name="lst_Fruit" localSheetId="4">#REF!</definedName>
    <definedName name="lst_Fruit">#REF!</definedName>
    <definedName name="lst_FruitType" localSheetId="4">#REF!</definedName>
    <definedName name="lst_FruitType">#REF!</definedName>
    <definedName name="Lsump" localSheetId="4">#REF!</definedName>
    <definedName name="Lsump">#REF!</definedName>
    <definedName name="ltf">"$#REF!.$B$10"</definedName>
    <definedName name="lx" localSheetId="4">#REF!</definedName>
    <definedName name="lx">#REF!</definedName>
    <definedName name="lxx" localSheetId="4">#REF!</definedName>
    <definedName name="lxx">#REF!</definedName>
    <definedName name="lxxx" localSheetId="4">#REF!</definedName>
    <definedName name="lxxx">#REF!</definedName>
    <definedName name="ly" localSheetId="4">#REF!</definedName>
    <definedName name="ly">#REF!</definedName>
    <definedName name="lyy" localSheetId="4">#REF!</definedName>
    <definedName name="lyy">#REF!</definedName>
    <definedName name="m" localSheetId="1">'[1]Originating Station'!#REF!</definedName>
    <definedName name="m" localSheetId="4">'[2]Originating Station'!#REF!</definedName>
    <definedName name="m">'[2]Originating Station'!#REF!</definedName>
    <definedName name="M_MaxCam" localSheetId="4">#REF!</definedName>
    <definedName name="M_MaxCam" localSheetId="0">#REF!</definedName>
    <definedName name="M_MaxCam">#REF!</definedName>
    <definedName name="M_MaxRecorders" localSheetId="4">#REF!</definedName>
    <definedName name="M_MaxRecorders" localSheetId="0">#REF!</definedName>
    <definedName name="M_MaxRecorders">#REF!</definedName>
    <definedName name="M1x" localSheetId="4">#REF!</definedName>
    <definedName name="M1x">#REF!</definedName>
    <definedName name="M1y" localSheetId="4">#REF!</definedName>
    <definedName name="M1y">#REF!</definedName>
    <definedName name="M2x" localSheetId="4">#REF!</definedName>
    <definedName name="M2x">#REF!</definedName>
    <definedName name="M2y" localSheetId="4">#REF!</definedName>
    <definedName name="M2y">#REF!</definedName>
    <definedName name="ma" localSheetId="4">#REF!</definedName>
    <definedName name="ma">#REF!</definedName>
    <definedName name="Magstripe300" localSheetId="1">[30]CCTV_EST1!#REF!</definedName>
    <definedName name="Magstripe300" localSheetId="4">[30]CCTV_EST1!#REF!</definedName>
    <definedName name="Magstripe300">[30]CCTV_EST1!#REF!</definedName>
    <definedName name="Maj_Minor_Rels" localSheetId="1">[36]Controls!$B$31:$B$35</definedName>
    <definedName name="Maj_Minor_Rels" localSheetId="0">#REF!</definedName>
    <definedName name="Maj_Minor_Rels">[37]Controls!$B$31:$B$35</definedName>
    <definedName name="Maj_Minor_Rels_Score" localSheetId="1">[36]Controls!$C$31:$C$35</definedName>
    <definedName name="Maj_Minor_Rels_Score" localSheetId="0">#REF!</definedName>
    <definedName name="Maj_Minor_Rels_Score">[37]Controls!$C$31:$C$35</definedName>
    <definedName name="Major_Bridges">[27]Input!$B$21</definedName>
    <definedName name="Major_Junctions">[27]Input!$B$15</definedName>
    <definedName name="Malaysia1" localSheetId="1" hidden="1">{"'LTITL'!$A$1:$P$35"}</definedName>
    <definedName name="Malaysia1" localSheetId="4" hidden="1">{"'LTITL'!$A$1:$P$35"}</definedName>
    <definedName name="Malaysia1" localSheetId="0" hidden="1">{"'LTITL'!$A$1:$P$35"}</definedName>
    <definedName name="Malaysia1" hidden="1">{"'LTITL'!$A$1:$P$35"}</definedName>
    <definedName name="Malaysia2" localSheetId="1" hidden="1">{"'LTITL'!$A$1:$P$35"}</definedName>
    <definedName name="Malaysia2" localSheetId="4" hidden="1">{"'LTITL'!$A$1:$P$35"}</definedName>
    <definedName name="Malaysia2" localSheetId="0" hidden="1">{"'LTITL'!$A$1:$P$35"}</definedName>
    <definedName name="Malaysia2" hidden="1">{"'LTITL'!$A$1:$P$35"}</definedName>
    <definedName name="Management" localSheetId="4">#REF!</definedName>
    <definedName name="Management">#REF!</definedName>
    <definedName name="Margin">'[53]Master data'!$B$19:$C$24</definedName>
    <definedName name="Master_price" localSheetId="4">'[102]Master Data INT BOQ'!$A$1:$C$137</definedName>
    <definedName name="Master_price">#REF!</definedName>
    <definedName name="maxmix" localSheetId="4">#REF!</definedName>
    <definedName name="maxmix">#REF!</definedName>
    <definedName name="maxmiy" localSheetId="4">#REF!</definedName>
    <definedName name="maxmiy">#REF!</definedName>
    <definedName name="mbpt" localSheetId="4">#REF!</definedName>
    <definedName name="mbpt">#REF!</definedName>
    <definedName name="mbpt_1">"$#REF!.$I$58"</definedName>
    <definedName name="mbpt_2" localSheetId="4">#REF!</definedName>
    <definedName name="mbpt_2">#REF!</definedName>
    <definedName name="mbpt_3" localSheetId="4">#REF!</definedName>
    <definedName name="mbpt_3">#REF!</definedName>
    <definedName name="mbpt_4" localSheetId="4">#REF!</definedName>
    <definedName name="mbpt_4">#REF!</definedName>
    <definedName name="MCDPerDay" localSheetId="1">'[103]Capacity Inputs'!$B$29</definedName>
    <definedName name="MCDPerDay" localSheetId="4">'[103]Capacity Inputs'!$B$29</definedName>
    <definedName name="MCDPerDay" localSheetId="0">'[103]Capacity Inputs'!$B$29</definedName>
    <definedName name="MCDPerDay">'[104]Capacity Inputs'!$B$29</definedName>
    <definedName name="Meeting_Description" localSheetId="4">#REF!</definedName>
    <definedName name="Meeting_Description">#REF!</definedName>
    <definedName name="memid" localSheetId="4">#REF!</definedName>
    <definedName name="memid">#REF!</definedName>
    <definedName name="Method" localSheetId="1">[44]Instructions!#REF!</definedName>
    <definedName name="Method" localSheetId="0">[46]Instructions!#REF!</definedName>
    <definedName name="Method">[45]Instructions!#REF!</definedName>
    <definedName name="mgf">"$#REF!.$#REF!$#REF!"</definedName>
    <definedName name="MHS" localSheetId="1">[40]cost!$B$34:$B$55</definedName>
    <definedName name="MHS" localSheetId="4">[40]cost!$B$34:$B$55</definedName>
    <definedName name="MHS" localSheetId="0">[41]cost!$B$34:$B$55</definedName>
    <definedName name="MHS">[42]cost!$B$34:$B$55</definedName>
    <definedName name="Mi" localSheetId="4">#REF!</definedName>
    <definedName name="Mi">#REF!</definedName>
    <definedName name="Mii" localSheetId="4">#REF!</definedName>
    <definedName name="Mii">#REF!</definedName>
    <definedName name="Miii" localSheetId="4">#REF!</definedName>
    <definedName name="Miii">#REF!</definedName>
    <definedName name="MirrorMode" localSheetId="4">#REF!</definedName>
    <definedName name="MirrorMode">#REF!</definedName>
    <definedName name="MISC_FLD_TITLE" localSheetId="4">[21]Sachin!#REF!</definedName>
    <definedName name="MISC_FLD_TITLE" localSheetId="0">[21]Sachin!#REF!</definedName>
    <definedName name="MISC_FLD_TITLE">[9]Sachin!#REF!</definedName>
    <definedName name="MISC_LINE_HW" localSheetId="4">[21]Sachin!#REF!</definedName>
    <definedName name="MISC_LINE_HW" localSheetId="0">[21]Sachin!#REF!</definedName>
    <definedName name="MISC_LINE_HW">[9]Sachin!#REF!</definedName>
    <definedName name="MISC_LINE_PS" localSheetId="4">[21]Sachin!#REF!</definedName>
    <definedName name="MISC_LINE_PS" localSheetId="0">[21]Sachin!#REF!</definedName>
    <definedName name="MISC_LINE_PS">[9]Sachin!#REF!</definedName>
    <definedName name="MISC_LINE_SW" localSheetId="4">[21]Sachin!#REF!</definedName>
    <definedName name="MISC_LINE_SW" localSheetId="0">[21]Sachin!#REF!</definedName>
    <definedName name="MISC_LINE_SW">[9]Sachin!#REF!</definedName>
    <definedName name="MISC_SECTION_HW_ALL" localSheetId="4">[21]Sachin!#REF!</definedName>
    <definedName name="MISC_SECTION_HW_ALL" localSheetId="0">[21]Sachin!#REF!</definedName>
    <definedName name="MISC_SECTION_HW_ALL">[9]Sachin!#REF!</definedName>
    <definedName name="MISC_SECTION_HW_BOT" localSheetId="4">[21]Sachin!#REF!</definedName>
    <definedName name="MISC_SECTION_HW_BOT" localSheetId="0">[21]Sachin!#REF!</definedName>
    <definedName name="MISC_SECTION_HW_BOT">[9]Sachin!#REF!</definedName>
    <definedName name="MISC_SECTION_HW_TOP" localSheetId="4">[21]Sachin!#REF!</definedName>
    <definedName name="MISC_SECTION_HW_TOP" localSheetId="0">[21]Sachin!#REF!</definedName>
    <definedName name="MISC_SECTION_HW_TOP">[9]Sachin!#REF!</definedName>
    <definedName name="MISC_SECTION_PS_ALL" localSheetId="4">[21]Sachin!#REF!</definedName>
    <definedName name="MISC_SECTION_PS_ALL" localSheetId="0">[21]Sachin!#REF!</definedName>
    <definedName name="MISC_SECTION_PS_ALL">[9]Sachin!#REF!</definedName>
    <definedName name="MISC_SECTION_PS_BOT" localSheetId="4">[21]Sachin!#REF!</definedName>
    <definedName name="MISC_SECTION_PS_BOT" localSheetId="0">[21]Sachin!#REF!</definedName>
    <definedName name="MISC_SECTION_PS_BOT">[9]Sachin!#REF!</definedName>
    <definedName name="MISC_SECTION_PS_TOP" localSheetId="4">[21]Sachin!#REF!</definedName>
    <definedName name="MISC_SECTION_PS_TOP" localSheetId="0">[21]Sachin!#REF!</definedName>
    <definedName name="MISC_SECTION_PS_TOP">[9]Sachin!#REF!</definedName>
    <definedName name="MISC_SECTION_SW_ALL" localSheetId="4">[21]Sachin!#REF!</definedName>
    <definedName name="MISC_SECTION_SW_ALL" localSheetId="0">[21]Sachin!#REF!</definedName>
    <definedName name="MISC_SECTION_SW_ALL">[9]Sachin!#REF!</definedName>
    <definedName name="MISC_SECTION_SW_BOT" localSheetId="4">[21]Sachin!#REF!</definedName>
    <definedName name="MISC_SECTION_SW_BOT" localSheetId="0">[21]Sachin!#REF!</definedName>
    <definedName name="MISC_SECTION_SW_BOT">[9]Sachin!#REF!</definedName>
    <definedName name="MISC_SECTION_SW_TOP" localSheetId="4">[21]Sachin!#REF!</definedName>
    <definedName name="MISC_SECTION_SW_TOP" localSheetId="0">[21]Sachin!#REF!</definedName>
    <definedName name="MISC_SECTION_SW_TOP">[9]Sachin!#REF!</definedName>
    <definedName name="MISC_SECTION_TITLE" localSheetId="4">[21]Sachin!#REF!</definedName>
    <definedName name="MISC_SECTION_TITLE" localSheetId="0">[21]Sachin!#REF!</definedName>
    <definedName name="MISC_SECTION_TITLE">[9]Sachin!#REF!</definedName>
    <definedName name="MISC_SUBTOTAL_HW" localSheetId="4">[21]Sachin!#REF!</definedName>
    <definedName name="MISC_SUBTOTAL_HW" localSheetId="0">[21]Sachin!#REF!</definedName>
    <definedName name="MISC_SUBTOTAL_HW">[9]Sachin!#REF!</definedName>
    <definedName name="MISC_SUBTOTAL_PS" localSheetId="4">[21]Sachin!#REF!</definedName>
    <definedName name="MISC_SUBTOTAL_PS" localSheetId="0">[21]Sachin!#REF!</definedName>
    <definedName name="MISC_SUBTOTAL_PS">[9]Sachin!#REF!</definedName>
    <definedName name="MISC_SUBTOTAL_SW" localSheetId="4">[21]Sachin!#REF!</definedName>
    <definedName name="MISC_SUBTOTAL_SW" localSheetId="0">[21]Sachin!#REF!</definedName>
    <definedName name="MISC_SUBTOTAL_SW">[9]Sachin!#REF!</definedName>
    <definedName name="mix" localSheetId="1">#REF!</definedName>
    <definedName name="mix" localSheetId="4">#REF!</definedName>
    <definedName name="mix">#REF!</definedName>
    <definedName name="mixb" localSheetId="1">#REF!</definedName>
    <definedName name="mixb" localSheetId="4">#REF!</definedName>
    <definedName name="mixb">#REF!</definedName>
    <definedName name="mixt" localSheetId="1">#REF!</definedName>
    <definedName name="mixt" localSheetId="4">#REF!</definedName>
    <definedName name="mixt">#REF!</definedName>
    <definedName name="miy" localSheetId="4">#REF!</definedName>
    <definedName name="miy">#REF!</definedName>
    <definedName name="miyb" localSheetId="4">#REF!</definedName>
    <definedName name="miyb">#REF!</definedName>
    <definedName name="miyt" localSheetId="4">#REF!</definedName>
    <definedName name="miyt">#REF!</definedName>
    <definedName name="MM" localSheetId="4">#REF!</definedName>
    <definedName name="MM" localSheetId="0">#REF!</definedName>
    <definedName name="MM">#REF!</definedName>
    <definedName name="modular" localSheetId="4">#REF!</definedName>
    <definedName name="modular">#REF!</definedName>
    <definedName name="mom1x" localSheetId="4">#REF!</definedName>
    <definedName name="mom1x">#REF!</definedName>
    <definedName name="mom1y" localSheetId="4">#REF!</definedName>
    <definedName name="mom1y">#REF!</definedName>
    <definedName name="mom2x" localSheetId="4">#REF!</definedName>
    <definedName name="mom2x">#REF!</definedName>
    <definedName name="mom2y" localSheetId="4">#REF!</definedName>
    <definedName name="mom2y">#REF!</definedName>
    <definedName name="momratio" localSheetId="4">#REF!</definedName>
    <definedName name="momratio">#REF!</definedName>
    <definedName name="Monetary_Precision" localSheetId="4">#REF!</definedName>
    <definedName name="Monetary_Precision">#REF!</definedName>
    <definedName name="Month" localSheetId="4">'[51]Content Instructions'!$B$6</definedName>
    <definedName name="Month">'[52]Content Instructions'!$B$6</definedName>
    <definedName name="Monthly" localSheetId="4">#REF!</definedName>
    <definedName name="Monthly" localSheetId="0">#REF!</definedName>
    <definedName name="Monthly">#REF!</definedName>
    <definedName name="Motor_data" localSheetId="4">'[105]Motor Data'!$B$18:$F$45</definedName>
    <definedName name="Motor_data">#REF!</definedName>
    <definedName name="MR_MaxCam" localSheetId="4">#REF!</definedName>
    <definedName name="MR_MaxCam" localSheetId="0">#REF!</definedName>
    <definedName name="MR_MaxCam">#REF!</definedName>
    <definedName name="MR_MaxRate" localSheetId="4">#REF!</definedName>
    <definedName name="MR_MaxRate" localSheetId="0">#REF!</definedName>
    <definedName name="MR_MaxRate">#REF!</definedName>
    <definedName name="MS" localSheetId="4">#REF!</definedName>
    <definedName name="MS" localSheetId="0">#REF!</definedName>
    <definedName name="MS">#REF!</definedName>
    <definedName name="msx" localSheetId="4">#REF!</definedName>
    <definedName name="msx">#REF!</definedName>
    <definedName name="msxb" localSheetId="4">#REF!</definedName>
    <definedName name="msxb">#REF!</definedName>
    <definedName name="msxt" localSheetId="4">#REF!</definedName>
    <definedName name="msxt">#REF!</definedName>
    <definedName name="msy" localSheetId="4">#REF!</definedName>
    <definedName name="msy">#REF!</definedName>
    <definedName name="msyb" localSheetId="4">#REF!</definedName>
    <definedName name="msyb">#REF!</definedName>
    <definedName name="msyt" localSheetId="4">#REF!</definedName>
    <definedName name="msyt">#REF!</definedName>
    <definedName name="mubyfckbd" localSheetId="4">#REF!</definedName>
    <definedName name="mubyfckbd">#REF!</definedName>
    <definedName name="Multinodes">[30]CCTV_EST1!#REF!</definedName>
    <definedName name="Multipath" localSheetId="4">#REF!</definedName>
    <definedName name="Multipath">#REF!</definedName>
    <definedName name="MultiYear" localSheetId="1">[106]Reference!$E$22:$E$23</definedName>
    <definedName name="MultiYear">[107]Reference!$E$22:$E$23</definedName>
    <definedName name="mux" localSheetId="4">#REF!</definedName>
    <definedName name="mux">#REF!</definedName>
    <definedName name="mux1b" localSheetId="4">#REF!</definedName>
    <definedName name="mux1b">#REF!</definedName>
    <definedName name="mux1t" localSheetId="4">#REF!</definedName>
    <definedName name="mux1t">#REF!</definedName>
    <definedName name="muxb" localSheetId="4">#REF!</definedName>
    <definedName name="muxb">#REF!</definedName>
    <definedName name="muxt" localSheetId="4">#REF!</definedName>
    <definedName name="muxt">#REF!</definedName>
    <definedName name="muy" localSheetId="4">#REF!</definedName>
    <definedName name="muy">#REF!</definedName>
    <definedName name="muy1b" localSheetId="4">#REF!</definedName>
    <definedName name="muy1b">#REF!</definedName>
    <definedName name="muy1t" localSheetId="4">#REF!</definedName>
    <definedName name="muy1t">#REF!</definedName>
    <definedName name="muyb" localSheetId="4">#REF!</definedName>
    <definedName name="muyb">#REF!</definedName>
    <definedName name="muybyfckbd" localSheetId="4">#REF!</definedName>
    <definedName name="muybyfckbd">#REF!</definedName>
    <definedName name="muyt" localSheetId="4">#REF!</definedName>
    <definedName name="muyt">#REF!</definedName>
    <definedName name="mxb" localSheetId="4">#REF!</definedName>
    <definedName name="mxb">#REF!</definedName>
    <definedName name="mxt" localSheetId="4">#REF!</definedName>
    <definedName name="mxt">#REF!</definedName>
    <definedName name="myb" localSheetId="4">#REF!</definedName>
    <definedName name="myb">#REF!</definedName>
    <definedName name="MyList" localSheetId="4">#REF!</definedName>
    <definedName name="MyList">#REF!</definedName>
    <definedName name="myt" localSheetId="4">#REF!</definedName>
    <definedName name="myt">#REF!</definedName>
    <definedName name="N">"$#REF!.$E$35"</definedName>
    <definedName name="n_app_servers" localSheetId="1">[12]Calculations!$H$36</definedName>
    <definedName name="n_app_servers" localSheetId="0">[13]Calculations!$H$36</definedName>
    <definedName name="n_app_servers">[14]Calculations!$H$36</definedName>
    <definedName name="n_app_servers_min" localSheetId="1">[12]Calculations!$H$32</definedName>
    <definedName name="n_app_servers_min" localSheetId="0">[13]Calculations!$H$32</definedName>
    <definedName name="n_app_servers_min">[14]Calculations!$H$32</definedName>
    <definedName name="n_days_data" localSheetId="1">'[12]Project Configuration'!$H$11</definedName>
    <definedName name="n_days_data" localSheetId="0">'[13]Project Configuration'!$H$11</definedName>
    <definedName name="n_days_data">'[14]Project Configuration'!$H$11</definedName>
    <definedName name="n_db_servers" localSheetId="1">[12]Calculations!$H$42</definedName>
    <definedName name="n_db_servers" localSheetId="0">[13]Calculations!$H$42</definedName>
    <definedName name="n_db_servers">[14]Calculations!$H$42</definedName>
    <definedName name="n_db_servers_min" localSheetId="1">[12]Calculations!$H$40</definedName>
    <definedName name="n_db_servers_min" localSheetId="0">[13]Calculations!$H$40</definedName>
    <definedName name="n_db_servers_min">[14]Calculations!$H$40</definedName>
    <definedName name="n_meters" localSheetId="1">'[12]Project Configuration'!$H$7</definedName>
    <definedName name="n_meters" localSheetId="0">'[13]Project Configuration'!$H$7</definedName>
    <definedName name="n_meters">'[14]Project Configuration'!$H$7</definedName>
    <definedName name="N_PI" localSheetId="4">#REF!</definedName>
    <definedName name="N_PI">#REF!</definedName>
    <definedName name="n_samples_per_meter_per_day" localSheetId="1">'[12]Project Configuration'!$H$9</definedName>
    <definedName name="n_samples_per_meter_per_day" localSheetId="0">'[13]Project Configuration'!$H$9</definedName>
    <definedName name="n_samples_per_meter_per_day">'[14]Project Configuration'!$H$9</definedName>
    <definedName name="n_spare_app_servers" localSheetId="1">'[12]Project Configuration'!$H$15</definedName>
    <definedName name="n_spare_app_servers" localSheetId="0">'[13]Project Configuration'!$H$15</definedName>
    <definedName name="n_spare_app_servers">'[14]Project Configuration'!$H$15</definedName>
    <definedName name="n_spare_db_servers" localSheetId="1">'[12]Project Configuration'!$H$19</definedName>
    <definedName name="n_spare_db_servers" localSheetId="0">'[13]Project Configuration'!$H$19</definedName>
    <definedName name="n_spare_db_servers">'[14]Project Configuration'!$H$19</definedName>
    <definedName name="Name1">[108]Config!$K$2:$K$100</definedName>
    <definedName name="NationalAllPrice" localSheetId="1">#REF!</definedName>
    <definedName name="NationalAllPrice" localSheetId="4">#REF!</definedName>
    <definedName name="NationalAllPrice">#REF!</definedName>
    <definedName name="NationalePrice" localSheetId="4">#REF!</definedName>
    <definedName name="NationalePrice">#REF!</definedName>
    <definedName name="NationalPrice" localSheetId="4">#REF!</definedName>
    <definedName name="NationalPrice">#REF!</definedName>
    <definedName name="nb" localSheetId="4">#REF!</definedName>
    <definedName name="nb">#REF!</definedName>
    <definedName name="NCTC1LC" localSheetId="4">#REF!</definedName>
    <definedName name="NCTC1LC">#REF!</definedName>
    <definedName name="NCTC1LR" localSheetId="4">#REF!</definedName>
    <definedName name="NCTC1LR">#REF!</definedName>
    <definedName name="NCTC1RLOOP" localSheetId="4">#REF!</definedName>
    <definedName name="NCTC1RLOOP">#REF!</definedName>
    <definedName name="NCTC1VAC" localSheetId="4">#REF!</definedName>
    <definedName name="NCTC1VAC">#REF!</definedName>
    <definedName name="NCTC1VAM" localSheetId="4">#REF!</definedName>
    <definedName name="NCTC1VAM">#REF!</definedName>
    <definedName name="NCTC2IF" localSheetId="4">#REF!</definedName>
    <definedName name="NCTC2IF">#REF!</definedName>
    <definedName name="NCTC2IFL" localSheetId="4">#REF!</definedName>
    <definedName name="NCTC2IFL">#REF!</definedName>
    <definedName name="NCTC2LENGTH" localSheetId="4">#REF!</definedName>
    <definedName name="NCTC2LENGTH">#REF!</definedName>
    <definedName name="NCTC2MAX.FAULT.CURRENT" localSheetId="4">#REF!</definedName>
    <definedName name="NCTC2MAX.FAULT.CURRENT">#REF!</definedName>
    <definedName name="NCTC2RCT" localSheetId="4">#REF!</definedName>
    <definedName name="NCTC2RCT">#REF!</definedName>
    <definedName name="NCTC2RL" localSheetId="4">#REF!</definedName>
    <definedName name="NCTC2RL">#REF!</definedName>
    <definedName name="netw" localSheetId="4">#REF!</definedName>
    <definedName name="netw">#REF!</definedName>
    <definedName name="network" localSheetId="4">#REF!</definedName>
    <definedName name="network">#REF!</definedName>
    <definedName name="new" localSheetId="1" hidden="1">{"'LTITL'!$A$1:$P$35"}</definedName>
    <definedName name="new" localSheetId="4" hidden="1">{"'LTITL'!$A$1:$P$35"}</definedName>
    <definedName name="new" localSheetId="0" hidden="1">{"'LTITL'!$A$1:$P$35"}</definedName>
    <definedName name="new" hidden="1">{"'LTITL'!$A$1:$P$35"}</definedName>
    <definedName name="ngl" localSheetId="4">#REF!</definedName>
    <definedName name="ngl">#REF!</definedName>
    <definedName name="NH4Rückläufekg" localSheetId="4">[26]BALAN1!$E$19</definedName>
    <definedName name="NH4Rückläufekg">#REF!</definedName>
    <definedName name="NH4vorklkg" localSheetId="4">[26]BALAN1!$F$19</definedName>
    <definedName name="NH4vorklkg">#REF!</definedName>
    <definedName name="NH4vorklmg" localSheetId="4">[26]BALAN1!$F$20</definedName>
    <definedName name="NH4vorklmg">#REF!</definedName>
    <definedName name="Nil">[83]Solution_Architecture!$C$44</definedName>
    <definedName name="NIPD" localSheetId="1">[109]Formulas!$B$54</definedName>
    <definedName name="NIPD">[110]Formulas!$B$54</definedName>
    <definedName name="NiveauRisques" localSheetId="4">#REF!</definedName>
    <definedName name="NiveauRisques">#REF!</definedName>
    <definedName name="NN">"$#REF!.$B$119"</definedName>
    <definedName name="No_of_lanes_in_toll_plaza">[50]Input!$B$12</definedName>
    <definedName name="NO3vorklkg" localSheetId="4">[26]BALAN1!$F$21</definedName>
    <definedName name="NO3vorklkg">#REF!</definedName>
    <definedName name="NO3vorklmg" localSheetId="4">[26]BALAN1!$F$22</definedName>
    <definedName name="NO3vorklmg">#REF!</definedName>
    <definedName name="NOHA">"$#REF!.$D$5"</definedName>
    <definedName name="NoPrice" localSheetId="1">#REF!</definedName>
    <definedName name="NoPrice" localSheetId="4">#REF!</definedName>
    <definedName name="NoPrice">#REF!</definedName>
    <definedName name="NOTES_ZONE_0" localSheetId="1">[9]Sachin!#REF!</definedName>
    <definedName name="NOTES_ZONE_0" localSheetId="4">[21]Sachin!#REF!</definedName>
    <definedName name="NOTES_ZONE_0" localSheetId="0">[21]Sachin!#REF!</definedName>
    <definedName name="NOTES_ZONE_0">[9]Sachin!#REF!</definedName>
    <definedName name="NOTES_ZONE_1" localSheetId="1">[9]Sachin!#REF!</definedName>
    <definedName name="NOTES_ZONE_1" localSheetId="4">[21]Sachin!#REF!</definedName>
    <definedName name="NOTES_ZONE_1" localSheetId="0">[21]Sachin!#REF!</definedName>
    <definedName name="NOTES_ZONE_1">[9]Sachin!#REF!</definedName>
    <definedName name="NOTES_ZONE_2" localSheetId="1">[9]Sachin!#REF!</definedName>
    <definedName name="NOTES_ZONE_2" localSheetId="4">[21]Sachin!#REF!</definedName>
    <definedName name="NOTES_ZONE_2" localSheetId="0">[21]Sachin!#REF!</definedName>
    <definedName name="NOTES_ZONE_2">[9]Sachin!#REF!</definedName>
    <definedName name="nsbc" localSheetId="1">#REF!</definedName>
    <definedName name="nsbc" localSheetId="4">#REF!</definedName>
    <definedName name="nsbc">#REF!</definedName>
    <definedName name="nt" localSheetId="1">#REF!</definedName>
    <definedName name="nt" localSheetId="4">#REF!</definedName>
    <definedName name="nt">#REF!</definedName>
    <definedName name="NUM_CAMERAS" localSheetId="4">#REF!</definedName>
    <definedName name="NUM_CAMERAS">#REF!</definedName>
    <definedName name="NUM_EVENTS" localSheetId="4">#REF!</definedName>
    <definedName name="NUM_EVENTS">#REF!</definedName>
    <definedName name="Number" localSheetId="4">#REF!</definedName>
    <definedName name="Number">#REF!</definedName>
    <definedName name="Number_of_lanes">[50]Input!$B$5</definedName>
    <definedName name="Numberx" localSheetId="1">#REF!</definedName>
    <definedName name="Numberx" localSheetId="4">#REF!</definedName>
    <definedName name="Numberx">#REF!</definedName>
    <definedName name="numf">"$#REF!.$#REF!$#REF!"</definedName>
    <definedName name="Nx">"$#REF!.$E$30"</definedName>
    <definedName name="Ny">"$#REF!.$E$32"</definedName>
    <definedName name="o" localSheetId="4">#REF!</definedName>
    <definedName name="o">#REF!</definedName>
    <definedName name="Obj" localSheetId="4">#REF!</definedName>
    <definedName name="Obj">#REF!</definedName>
    <definedName name="OClientComp0" localSheetId="4">#REF!</definedName>
    <definedName name="OClientComp0">#REF!</definedName>
    <definedName name="OClientCompany" localSheetId="4">#REF!</definedName>
    <definedName name="OClientCompany">#REF!</definedName>
    <definedName name="OClientCountry" localSheetId="4">#REF!</definedName>
    <definedName name="OClientCountry">#REF!</definedName>
    <definedName name="OClientEmail" localSheetId="4">#REF!</definedName>
    <definedName name="OClientEmail">#REF!</definedName>
    <definedName name="OClientFax" localSheetId="4">#REF!</definedName>
    <definedName name="OClientFax">#REF!</definedName>
    <definedName name="OClientName" localSheetId="4">#REF!</definedName>
    <definedName name="OClientName">#REF!</definedName>
    <definedName name="OClientStreet" localSheetId="4">#REF!</definedName>
    <definedName name="OClientStreet">#REF!</definedName>
    <definedName name="OClientTel" localSheetId="4">#REF!</definedName>
    <definedName name="OClientTel">#REF!</definedName>
    <definedName name="OClientTown" localSheetId="4">#REF!</definedName>
    <definedName name="OClientTown">#REF!</definedName>
    <definedName name="Ocroi">'[111]Master data'!$A$47:$B$48</definedName>
    <definedName name="octf" localSheetId="4">#REF!</definedName>
    <definedName name="octf">#REF!</definedName>
    <definedName name="Octroi" localSheetId="4">#REF!</definedName>
    <definedName name="Octroi">#REF!</definedName>
    <definedName name="offshore" localSheetId="1" hidden="1">{#N/A,#N/A,TRUE,"Overall";#N/A,#N/A,TRUE,"Region Wise ";#N/A,#N/A,TRUE,"Client Wise"}</definedName>
    <definedName name="offshore" localSheetId="4" hidden="1">{#N/A,#N/A,TRUE,"Overall";#N/A,#N/A,TRUE,"Region Wise ";#N/A,#N/A,TRUE,"Client Wise"}</definedName>
    <definedName name="offshore" localSheetId="0" hidden="1">{#N/A,#N/A,TRUE,"Overall";#N/A,#N/A,TRUE,"Region Wise ";#N/A,#N/A,TRUE,"Client Wise"}</definedName>
    <definedName name="offshore" hidden="1">{#N/A,#N/A,TRUE,"Overall";#N/A,#N/A,TRUE,"Region Wise ";#N/A,#N/A,TRUE,"Client Wise"}</definedName>
    <definedName name="OH_Markup">'[53]Master data'!$B$29:$C$34</definedName>
    <definedName name="ok" localSheetId="4">#REF!</definedName>
    <definedName name="ok" localSheetId="0">#REF!</definedName>
    <definedName name="ok">#REF!</definedName>
    <definedName name="OLD" localSheetId="4" hidden="1">#REF!</definedName>
    <definedName name="OLD" hidden="1">#REF!</definedName>
    <definedName name="OldNumber" localSheetId="4">#REF!</definedName>
    <definedName name="OldNumber">#REF!</definedName>
    <definedName name="ONBCPL" localSheetId="4">#REF!</definedName>
    <definedName name="ONBCPL">#REF!</definedName>
    <definedName name="OnePrice" localSheetId="4">#REF!</definedName>
    <definedName name="OnePrice">#REF!</definedName>
    <definedName name="Onsite" localSheetId="1" hidden="1">{#N/A,#N/A,TRUE,"Overall";#N/A,#N/A,TRUE,"Region Wise ";#N/A,#N/A,TRUE,"Client Wise"}</definedName>
    <definedName name="Onsite" localSheetId="4" hidden="1">{#N/A,#N/A,TRUE,"Overall";#N/A,#N/A,TRUE,"Region Wise ";#N/A,#N/A,TRUE,"Client Wise"}</definedName>
    <definedName name="Onsite" localSheetId="0" hidden="1">{#N/A,#N/A,TRUE,"Overall";#N/A,#N/A,TRUE,"Region Wise ";#N/A,#N/A,TRUE,"Client Wise"}</definedName>
    <definedName name="Onsite" hidden="1">{#N/A,#N/A,TRUE,"Overall";#N/A,#N/A,TRUE,"Region Wise ";#N/A,#N/A,TRUE,"Client Wise"}</definedName>
    <definedName name="OPAPL" localSheetId="4">#REF!</definedName>
    <definedName name="OPAPL">#REF!</definedName>
    <definedName name="OPPTY_SECTION" localSheetId="1">[9]Sachin!#REF!</definedName>
    <definedName name="OPPTY_SECTION" localSheetId="4">[21]Sachin!#REF!</definedName>
    <definedName name="OPPTY_SECTION" localSheetId="0">[21]Sachin!#REF!</definedName>
    <definedName name="OPPTY_SECTION">[9]Sachin!#REF!</definedName>
    <definedName name="option9" localSheetId="1">'[112]PRICE BID'!#REF!</definedName>
    <definedName name="option9" localSheetId="4">'[112]PRICE BID'!#REF!</definedName>
    <definedName name="option9" localSheetId="0">#REF!</definedName>
    <definedName name="option9">'[113]PRICE BID'!#REF!</definedName>
    <definedName name="Oranges" localSheetId="4">#REF!</definedName>
    <definedName name="Oranges">#REF!</definedName>
    <definedName name="OrgNvorklkg" localSheetId="4">[26]BALAN1!$F$23</definedName>
    <definedName name="OrgNvorklkg">#REF!</definedName>
    <definedName name="OrgNvorklmg" localSheetId="4">[26]BALAN1!$F$24</definedName>
    <definedName name="OrgNvorklmg">#REF!</definedName>
    <definedName name="OS" localSheetId="4">#REF!</definedName>
    <definedName name="OS">#REF!</definedName>
    <definedName name="OS_name" localSheetId="4">#REF!</definedName>
    <definedName name="OS_name">#REF!</definedName>
    <definedName name="os_range_1" localSheetId="4">#REF!</definedName>
    <definedName name="os_range_1">#REF!</definedName>
    <definedName name="other_boq" localSheetId="1">[23]Config!$G$2:$G$5</definedName>
    <definedName name="other_boq" localSheetId="0">[24]Config!$G$2:$G$5</definedName>
    <definedName name="other_boq">[25]Config!$G$2:$G$5</definedName>
    <definedName name="Overall_Summary_Title" localSheetId="4">#REF!</definedName>
    <definedName name="Overall_Summary_Title">#REF!</definedName>
    <definedName name="OVersion" localSheetId="4">#REF!</definedName>
    <definedName name="OVersion">#REF!</definedName>
    <definedName name="P" localSheetId="4">#REF!</definedName>
    <definedName name="P">#REF!</definedName>
    <definedName name="P_1">#N/A</definedName>
    <definedName name="P_2">#N/A</definedName>
    <definedName name="P_3" localSheetId="4">#REF!</definedName>
    <definedName name="P_3">#REF!</definedName>
    <definedName name="P_4" localSheetId="4">#REF!</definedName>
    <definedName name="P_4">#REF!</definedName>
    <definedName name="P_reinigung_in_BiopurN" localSheetId="4">[26]BALAN1!#REF!</definedName>
    <definedName name="P_reinigung_in_BiopurN">#REF!</definedName>
    <definedName name="P_reinigung_in_Filter" localSheetId="4">[26]BALAN1!#REF!</definedName>
    <definedName name="P_reinigung_in_Filter">#REF!</definedName>
    <definedName name="PA" localSheetId="4">#REF!</definedName>
    <definedName name="PA">#REF!</definedName>
    <definedName name="PA_DET" localSheetId="4">#REF!</definedName>
    <definedName name="PA_DET">#REF!</definedName>
    <definedName name="PA_SCH3" localSheetId="4">#REF!</definedName>
    <definedName name="PA_SCH3">#REF!</definedName>
    <definedName name="PA_SCH4_5" localSheetId="4">#REF!</definedName>
    <definedName name="PA_SCH4_5">#REF!</definedName>
    <definedName name="Page" localSheetId="4">#REF!</definedName>
    <definedName name="Page">#REF!</definedName>
    <definedName name="PAGE0" localSheetId="4">#REF!</definedName>
    <definedName name="PAGE0" localSheetId="0">#REF!</definedName>
    <definedName name="PAGE0">#REF!</definedName>
    <definedName name="PAGE2" localSheetId="4">#REF!</definedName>
    <definedName name="PAGE2" localSheetId="0">#REF!</definedName>
    <definedName name="PAGE2">#REF!</definedName>
    <definedName name="Pan_Tilt_Drive_Dome" localSheetId="1">'[59]CCTV(old)'!#REF!</definedName>
    <definedName name="Pan_Tilt_Drive_Dome">'[60]CCTV(old)'!#REF!</definedName>
    <definedName name="pb" localSheetId="4">#REF!</definedName>
    <definedName name="pb">#REF!</definedName>
    <definedName name="pbpt" localSheetId="4">#REF!</definedName>
    <definedName name="pbpt">#REF!</definedName>
    <definedName name="pbpt_1">"$#REF!.$I$59"</definedName>
    <definedName name="pbpt_2" localSheetId="4">#REF!</definedName>
    <definedName name="pbpt_2">#REF!</definedName>
    <definedName name="pbpt_3" localSheetId="4">#REF!</definedName>
    <definedName name="pbpt_3">#REF!</definedName>
    <definedName name="pbpt_4" localSheetId="4">#REF!</definedName>
    <definedName name="pbpt_4">#REF!</definedName>
    <definedName name="Pbx" localSheetId="4">#REF!</definedName>
    <definedName name="Pbx">#REF!</definedName>
    <definedName name="pbxexp" localSheetId="4">#REF!</definedName>
    <definedName name="pbxexp">#REF!</definedName>
    <definedName name="Pby" localSheetId="4">#REF!</definedName>
    <definedName name="Pby">#REF!</definedName>
    <definedName name="pbyexp" localSheetId="4">#REF!</definedName>
    <definedName name="pbyexp">#REF!</definedName>
    <definedName name="pbyfck" localSheetId="4">#REF!</definedName>
    <definedName name="pbyfck">#REF!</definedName>
    <definedName name="pbypuz" localSheetId="4">#REF!</definedName>
    <definedName name="pbypuz">#REF!</definedName>
    <definedName name="PD" localSheetId="4">#REF!</definedName>
    <definedName name="PD">#REF!</definedName>
    <definedName name="PDB" localSheetId="4">#REF!</definedName>
    <definedName name="PDB">#REF!</definedName>
    <definedName name="pefb" localSheetId="4">#REF!</definedName>
    <definedName name="pefb">#REF!</definedName>
    <definedName name="peld" localSheetId="4">#REF!</definedName>
    <definedName name="peld">#REF!</definedName>
    <definedName name="pelw" localSheetId="4">#REF!</definedName>
    <definedName name="pelw">#REF!</definedName>
    <definedName name="Perf_Garantee" localSheetId="4">#REF!</definedName>
    <definedName name="Perf_Garantee">#REF!</definedName>
    <definedName name="Petrol">[50]Input!$B$33</definedName>
    <definedName name="PFEff" localSheetId="4">[114]Sheet2!$B$7:$J$39</definedName>
    <definedName name="PFEff">#REF!</definedName>
    <definedName name="PFICCC" localSheetId="4">#REF!</definedName>
    <definedName name="PFICCC">#REF!</definedName>
    <definedName name="pftw" localSheetId="4">#REF!</definedName>
    <definedName name="pftw">#REF!</definedName>
    <definedName name="PhaseCode" localSheetId="4">#REF!</definedName>
    <definedName name="PhaseCode">#REF!</definedName>
    <definedName name="PhasesList" localSheetId="4">#REF!</definedName>
    <definedName name="PhasesList">#REF!</definedName>
    <definedName name="phi">"$#REF!.$D$146"</definedName>
    <definedName name="PhonesQty">"$#REF!.$#REF!$#REF!"</definedName>
    <definedName name="PHUAWEIHW1" localSheetId="1">[115]Discount!$F$20</definedName>
    <definedName name="PHUAWEIHW1" localSheetId="4">[116]Discount!$F$20</definedName>
    <definedName name="PHUAWEIHW1" localSheetId="0">[116]Discount!$F$20</definedName>
    <definedName name="PHUAWEIHW1">[117]Discount!$F$20</definedName>
    <definedName name="PHUAWEISERVICE1" localSheetId="1">[115]Discount!$F$27</definedName>
    <definedName name="PHUAWEISERVICE1" localSheetId="4">[116]Discount!$F$27</definedName>
    <definedName name="PHUAWEISERVICE1" localSheetId="0">[116]Discount!$F$27</definedName>
    <definedName name="PHUAWEISERVICE1">[117]Discount!$F$27</definedName>
    <definedName name="Pi" localSheetId="4">#REF!</definedName>
    <definedName name="Pi">#REF!</definedName>
    <definedName name="Pii" localSheetId="4">#REF!</definedName>
    <definedName name="Pii">#REF!</definedName>
    <definedName name="Piii" localSheetId="4">#REF!</definedName>
    <definedName name="Piii">#REF!</definedName>
    <definedName name="PipeSize" localSheetId="4">#REF!</definedName>
    <definedName name="PipeSize">#REF!</definedName>
    <definedName name="PipingDetail" localSheetId="4">#REF!</definedName>
    <definedName name="PipingDetail">#REF!</definedName>
    <definedName name="piudiofn" localSheetId="1" hidden="1">{"'LTITL'!$A$1:$P$35"}</definedName>
    <definedName name="piudiofn" localSheetId="4" hidden="1">{"'LTITL'!$A$1:$P$35"}</definedName>
    <definedName name="piudiofn" localSheetId="0" hidden="1">{"'LTITL'!$A$1:$P$35"}</definedName>
    <definedName name="piudiofn" hidden="1">{"'LTITL'!$A$1:$P$35"}</definedName>
    <definedName name="pmaci" localSheetId="4">#REF!</definedName>
    <definedName name="pmaci">#REF!</definedName>
    <definedName name="Pmaxi" localSheetId="4">#REF!</definedName>
    <definedName name="Pmaxi">#REF!</definedName>
    <definedName name="Pmaxii" localSheetId="4">#REF!</definedName>
    <definedName name="Pmaxii">#REF!</definedName>
    <definedName name="Pmaxiii" localSheetId="4">#REF!</definedName>
    <definedName name="Pmaxiii">#REF!</definedName>
    <definedName name="Pmini" localSheetId="4">#REF!</definedName>
    <definedName name="Pmini">#REF!</definedName>
    <definedName name="Pminii" localSheetId="4">#REF!</definedName>
    <definedName name="Pminii">#REF!</definedName>
    <definedName name="Pminiii" localSheetId="4">#REF!</definedName>
    <definedName name="Pminiii">#REF!</definedName>
    <definedName name="po" localSheetId="0">"$#REF!.$#REF!$#REF!"</definedName>
    <definedName name="po">'[53]Master data'!$B$19:$C$24</definedName>
    <definedName name="pole3"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ole3"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ole3"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ole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OUTSOURINGHW1" localSheetId="1">[115]Discount!$F$22</definedName>
    <definedName name="POUTSOURINGHW1" localSheetId="4">[116]Discount!$F$22</definedName>
    <definedName name="POUTSOURINGHW1" localSheetId="0">[116]Discount!$F$22</definedName>
    <definedName name="POUTSOURINGHW1">[117]Discount!$F$22</definedName>
    <definedName name="Power_cost">[50]Input!$B$34</definedName>
    <definedName name="pp" localSheetId="4">'[7]Design basis-C'!$G$8</definedName>
    <definedName name="pp">#REF!</definedName>
    <definedName name="PPCAmbient" localSheetId="1">#REF!</definedName>
    <definedName name="PPCAmbient" localSheetId="4">#REF!</definedName>
    <definedName name="PPCAmbient">#REF!</definedName>
    <definedName name="PPCConfigCur" localSheetId="4">#REF!</definedName>
    <definedName name="PPCConfigCur">#REF!</definedName>
    <definedName name="PPCCurrency" localSheetId="4">#REF!</definedName>
    <definedName name="PPCCurrency">#REF!</definedName>
    <definedName name="PPCHint" localSheetId="4">#REF!</definedName>
    <definedName name="PPCHint">#REF!</definedName>
    <definedName name="PPCPSG" localSheetId="4">#REF!</definedName>
    <definedName name="PPCPSG">#REF!</definedName>
    <definedName name="PPCStart" localSheetId="4">#REF!</definedName>
    <definedName name="PPCStart">#REF!</definedName>
    <definedName name="PPCTemperature" localSheetId="4">#REF!</definedName>
    <definedName name="PPCTemperature">#REF!</definedName>
    <definedName name="PPCVoltage" localSheetId="4">#REF!</definedName>
    <definedName name="PPCVoltage">#REF!</definedName>
    <definedName name="pper" localSheetId="4">#REF!</definedName>
    <definedName name="pper">#REF!</definedName>
    <definedName name="pper1" localSheetId="4">#REF!</definedName>
    <definedName name="pper1">#REF!</definedName>
    <definedName name="ppp" localSheetId="4">'[7]Design basis-C'!$G$8</definedName>
    <definedName name="ppp">#REF!</definedName>
    <definedName name="ppppp" localSheetId="4">'[7]Design basis-C'!$G$8</definedName>
    <definedName name="ppppp">#REF!</definedName>
    <definedName name="PRECONTRACT_FLD_CFG_NAME" localSheetId="4">[21]Sachin!#REF!</definedName>
    <definedName name="PRECONTRACT_FLD_CFG_NAME" localSheetId="0">[21]Sachin!#REF!</definedName>
    <definedName name="PRECONTRACT_FLD_CFG_NAME">[9]Sachin!#REF!</definedName>
    <definedName name="PRECONTRACT_FLD_CSI_DESCIPTION" localSheetId="4">[21]Sachin!#REF!</definedName>
    <definedName name="PRECONTRACT_FLD_CSI_DESCIPTION" localSheetId="0">[21]Sachin!#REF!</definedName>
    <definedName name="PRECONTRACT_FLD_CSI_DESCIPTION">[9]Sachin!#REF!</definedName>
    <definedName name="PRECONTRACT_FLD_CSI_NAME" localSheetId="4">[21]Sachin!#REF!</definedName>
    <definedName name="PRECONTRACT_FLD_CSI_NAME" localSheetId="0">[21]Sachin!#REF!</definedName>
    <definedName name="PRECONTRACT_FLD_CSI_NAME">[9]Sachin!#REF!</definedName>
    <definedName name="PRECONTRACT_LINE" localSheetId="4">[21]Sachin!#REF!</definedName>
    <definedName name="PRECONTRACT_LINE" localSheetId="0">[21]Sachin!#REF!</definedName>
    <definedName name="PRECONTRACT_LINE">[9]Sachin!#REF!</definedName>
    <definedName name="PRECONTRACT_SECTION" localSheetId="4">[21]Sachin!#REF!</definedName>
    <definedName name="PRECONTRACT_SECTION" localSheetId="0">[21]Sachin!#REF!</definedName>
    <definedName name="PRECONTRACT_SECTION">[9]Sachin!#REF!</definedName>
    <definedName name="PRECONTRACT_SECTION_CFG_TITLE" localSheetId="4">[21]Sachin!#REF!</definedName>
    <definedName name="PRECONTRACT_SECTION_CFG_TITLE" localSheetId="0">[21]Sachin!#REF!</definedName>
    <definedName name="PRECONTRACT_SECTION_CFG_TITLE">[9]Sachin!#REF!</definedName>
    <definedName name="PRECONTRACT_SECTION_CSI" localSheetId="4">[21]Sachin!#REF!</definedName>
    <definedName name="PRECONTRACT_SECTION_CSI" localSheetId="0">[21]Sachin!#REF!</definedName>
    <definedName name="PRECONTRACT_SECTION_CSI">[9]Sachin!#REF!</definedName>
    <definedName name="Price" localSheetId="1">#REF!</definedName>
    <definedName name="Price" localSheetId="4">#REF!</definedName>
    <definedName name="Price">#REF!</definedName>
    <definedName name="PRICE_JUST_COMMENT" localSheetId="1">[9]Sachin!#REF!</definedName>
    <definedName name="PRICE_JUST_COMMENT" localSheetId="4">[21]Sachin!#REF!</definedName>
    <definedName name="PRICE_JUST_COMMENT" localSheetId="0">[21]Sachin!#REF!</definedName>
    <definedName name="PRICE_JUST_COMMENT">[9]Sachin!#REF!</definedName>
    <definedName name="PriceColumn" localSheetId="1">#REF!</definedName>
    <definedName name="PriceColumn" localSheetId="4">#REF!</definedName>
    <definedName name="PriceColumn">#REF!</definedName>
    <definedName name="PriceColumnEuro" localSheetId="4">#REF!</definedName>
    <definedName name="PriceColumnEuro">#REF!</definedName>
    <definedName name="PriceCur" localSheetId="4">#REF!</definedName>
    <definedName name="PriceCur">#REF!</definedName>
    <definedName name="pricelist" localSheetId="4">#REF!</definedName>
    <definedName name="pricelist">#REF!</definedName>
    <definedName name="Principal" localSheetId="4">#REF!</definedName>
    <definedName name="Principal">#REF!</definedName>
    <definedName name="_xlnm.Print_Area" localSheetId="4">#REF!</definedName>
    <definedName name="_xlnm.Print_Area">#REF!</definedName>
    <definedName name="Print_Area_MI" localSheetId="4">#REF!</definedName>
    <definedName name="Print_Area_MI">#REF!</definedName>
    <definedName name="Print_Area_MI_10" localSheetId="4">#REF!</definedName>
    <definedName name="Print_Area_MI_10">#REF!</definedName>
    <definedName name="PRINT_TITLE" localSheetId="4">#REF!</definedName>
    <definedName name="PRINT_TITLE">#REF!</definedName>
    <definedName name="_xlnm.Print_Titles">#N/A</definedName>
    <definedName name="Print_Titles_MI_10" localSheetId="4">#REF!</definedName>
    <definedName name="Print_Titles_MI_10">#REF!</definedName>
    <definedName name="Product" localSheetId="1">[118]Lists!$B$41:$B$50</definedName>
    <definedName name="Product" localSheetId="4">[118]Lists!$B$41:$B$50</definedName>
    <definedName name="Product" localSheetId="0">#REF!</definedName>
    <definedName name="Product">[119]Lists!$B$41:$B$50</definedName>
    <definedName name="Product_Type" localSheetId="1">#REF!</definedName>
    <definedName name="Product_Type" localSheetId="4">#REF!</definedName>
    <definedName name="Product_Type">#REF!</definedName>
    <definedName name="ProfilCS_Liste" localSheetId="1">#REF!</definedName>
    <definedName name="ProfilCS_Liste" localSheetId="4">[120]Charge!#REF!</definedName>
    <definedName name="ProfilCS_Liste">#REF!</definedName>
    <definedName name="proj" localSheetId="4">'[7]Design basis-C'!$B$5</definedName>
    <definedName name="proj">#REF!</definedName>
    <definedName name="proj2" localSheetId="4">'[7]Design basis-C'!$B$5</definedName>
    <definedName name="proj2">#REF!</definedName>
    <definedName name="proj4" localSheetId="4">'[7]Design basis-C'!$B$5</definedName>
    <definedName name="proj4">#REF!</definedName>
    <definedName name="Project" localSheetId="4">#REF!</definedName>
    <definedName name="Project" localSheetId="0">#REF!</definedName>
    <definedName name="Project">#REF!</definedName>
    <definedName name="Project_length">[50]Input!$B$6</definedName>
    <definedName name="project1" localSheetId="4">'[7]Design basis-C'!$B$5</definedName>
    <definedName name="project1">#REF!</definedName>
    <definedName name="ProjectDiscount" localSheetId="4">#REF!</definedName>
    <definedName name="ProjectDiscount">#REF!</definedName>
    <definedName name="ProjectList" localSheetId="4">#REF!</definedName>
    <definedName name="ProjectList">#REF!</definedName>
    <definedName name="ProjectLocation" localSheetId="4">#REF!</definedName>
    <definedName name="ProjectLocation">#REF!</definedName>
    <definedName name="ProjectName">"Test"</definedName>
    <definedName name="ProjectName1">"Test"</definedName>
    <definedName name="ProjectName2">"Test"</definedName>
    <definedName name="ProjectName3">"Test"</definedName>
    <definedName name="ProjectNumber" localSheetId="4">#REF!</definedName>
    <definedName name="ProjectNumber">#REF!</definedName>
    <definedName name="ProjectStart" localSheetId="4">#REF!</definedName>
    <definedName name="ProjectStart">#REF!</definedName>
    <definedName name="ProjectSubtitle" localSheetId="4">#REF!</definedName>
    <definedName name="ProjectSubtitle">#REF!</definedName>
    <definedName name="ProjectTitle" localSheetId="4">#REF!</definedName>
    <definedName name="ProjectTitle">#REF!</definedName>
    <definedName name="PROMO_SECTION" localSheetId="1">[9]Sachin!#REF!</definedName>
    <definedName name="PROMO_SECTION" localSheetId="4">[21]Sachin!#REF!</definedName>
    <definedName name="PROMO_SECTION" localSheetId="0">[21]Sachin!#REF!</definedName>
    <definedName name="PROMO_SECTION">[9]Sachin!#REF!</definedName>
    <definedName name="PROPOSAL_SECTION" localSheetId="1">[9]Sachin!#REF!</definedName>
    <definedName name="PROPOSAL_SECTION" localSheetId="4">[21]Sachin!#REF!</definedName>
    <definedName name="PROPOSAL_SECTION" localSheetId="0">[21]Sachin!#REF!</definedName>
    <definedName name="PROPOSAL_SECTION">[9]Sachin!#REF!</definedName>
    <definedName name="PROPOSAL_SECTION_MW" localSheetId="1">[9]Sachin!#REF!</definedName>
    <definedName name="PROPOSAL_SECTION_MW" localSheetId="4">[21]Sachin!#REF!</definedName>
    <definedName name="PROPOSAL_SECTION_MW" localSheetId="0">[21]Sachin!#REF!</definedName>
    <definedName name="PROPOSAL_SECTION_MW">[9]Sachin!#REF!</definedName>
    <definedName name="PROPOSAL_SUBTOTAL_HW" localSheetId="1">[9]Sachin!#REF!</definedName>
    <definedName name="PROPOSAL_SUBTOTAL_HW" localSheetId="4">[21]Sachin!#REF!</definedName>
    <definedName name="PROPOSAL_SUBTOTAL_HW" localSheetId="0">[21]Sachin!#REF!</definedName>
    <definedName name="PROPOSAL_SUBTOTAL_HW">[9]Sachin!#REF!</definedName>
    <definedName name="PROPOSAL_SUBTOTAL_MW_HW" localSheetId="1">[9]Sachin!#REF!</definedName>
    <definedName name="PROPOSAL_SUBTOTAL_MW_HW" localSheetId="4">[21]Sachin!#REF!</definedName>
    <definedName name="PROPOSAL_SUBTOTAL_MW_HW" localSheetId="0">[21]Sachin!#REF!</definedName>
    <definedName name="PROPOSAL_SUBTOTAL_MW_HW">[9]Sachin!#REF!</definedName>
    <definedName name="PROPOSAL_SUBTOTAL_MW_SW" localSheetId="1">[9]Sachin!#REF!</definedName>
    <definedName name="PROPOSAL_SUBTOTAL_MW_SW" localSheetId="4">[21]Sachin!#REF!</definedName>
    <definedName name="PROPOSAL_SUBTOTAL_MW_SW" localSheetId="0">[21]Sachin!#REF!</definedName>
    <definedName name="PROPOSAL_SUBTOTAL_MW_SW">[9]Sachin!#REF!</definedName>
    <definedName name="PROPOSAL_SUBTOTAL_MW_WAR" localSheetId="1">[9]Sachin!#REF!</definedName>
    <definedName name="PROPOSAL_SUBTOTAL_MW_WAR" localSheetId="4">[21]Sachin!#REF!</definedName>
    <definedName name="PROPOSAL_SUBTOTAL_MW_WAR" localSheetId="0">[21]Sachin!#REF!</definedName>
    <definedName name="PROPOSAL_SUBTOTAL_MW_WAR">[9]Sachin!#REF!</definedName>
    <definedName name="PROPOSAL_SUBTOTAL_PS" localSheetId="1">[9]Sachin!#REF!</definedName>
    <definedName name="PROPOSAL_SUBTOTAL_PS" localSheetId="4">[21]Sachin!#REF!</definedName>
    <definedName name="PROPOSAL_SUBTOTAL_PS" localSheetId="0">[21]Sachin!#REF!</definedName>
    <definedName name="PROPOSAL_SUBTOTAL_PS">[9]Sachin!#REF!</definedName>
    <definedName name="PROPOSAL_SUBTOTAL_SW" localSheetId="1">[9]Sachin!#REF!</definedName>
    <definedName name="PROPOSAL_SUBTOTAL_SW" localSheetId="4">[21]Sachin!#REF!</definedName>
    <definedName name="PROPOSAL_SUBTOTAL_SW" localSheetId="0">[21]Sachin!#REF!</definedName>
    <definedName name="PROPOSAL_SUBTOTAL_SW">[9]Sachin!#REF!</definedName>
    <definedName name="provide" localSheetId="1">#REF!</definedName>
    <definedName name="provide" localSheetId="4">#REF!</definedName>
    <definedName name="provide">#REF!</definedName>
    <definedName name="provisioning_units_required_p" localSheetId="1">'[12]Project Configuration'!$H$23</definedName>
    <definedName name="provisioning_units_required_p" localSheetId="0">'[13]Project Configuration'!$H$23</definedName>
    <definedName name="provisioning_units_required_p">'[14]Project Configuration'!$H$23</definedName>
    <definedName name="PRückläufekg" localSheetId="4">[26]BALAN1!$E$25</definedName>
    <definedName name="PRückläufekg">#REF!</definedName>
    <definedName name="PS">"$#REF!.$E$16"</definedName>
    <definedName name="pt" localSheetId="4">#REF!</definedName>
    <definedName name="pt">#REF!</definedName>
    <definedName name="pt2c1vad" localSheetId="4">#REF!</definedName>
    <definedName name="pt2c1vad">#REF!</definedName>
    <definedName name="Pu" localSheetId="4">#REF!</definedName>
    <definedName name="Pu">#REF!</definedName>
    <definedName name="pub" localSheetId="4">#REF!</definedName>
    <definedName name="pub">#REF!</definedName>
    <definedName name="pubyfckbd" localSheetId="4">#REF!</definedName>
    <definedName name="pubyfckbd">#REF!</definedName>
    <definedName name="pubyfckbd1" localSheetId="4">#REF!</definedName>
    <definedName name="pubyfckbd1">#REF!</definedName>
    <definedName name="Purpose" localSheetId="1">[44]Instructions!#REF!</definedName>
    <definedName name="Purpose" localSheetId="4">[45]Instructions!#REF!</definedName>
    <definedName name="Purpose" localSheetId="0">[46]Instructions!#REF!</definedName>
    <definedName name="Purpose">[45]Instructions!#REF!</definedName>
    <definedName name="put" localSheetId="4">#REF!</definedName>
    <definedName name="put">#REF!</definedName>
    <definedName name="Puz" localSheetId="4">#REF!</definedName>
    <definedName name="Puz">#REF!</definedName>
    <definedName name="puzb" localSheetId="4">#REF!</definedName>
    <definedName name="puzb">#REF!</definedName>
    <definedName name="puzt" localSheetId="4">#REF!</definedName>
    <definedName name="puzt">#REF!</definedName>
    <definedName name="pv" localSheetId="1">[22]Reference!$C$2:$C$3</definedName>
    <definedName name="pv" localSheetId="4">[22]Reference!$C$2:$C$3</definedName>
    <definedName name="pv">#REF!</definedName>
    <definedName name="Pvorklkg" localSheetId="1">#REF!</definedName>
    <definedName name="Pvorklkg" localSheetId="4">[26]BALAN1!$F$25</definedName>
    <definedName name="Pvorklkg">#REF!</definedName>
    <definedName name="Pvorklmg" localSheetId="1">#REF!</definedName>
    <definedName name="Pvorklmg" localSheetId="4">[26]BALAN1!$F$26</definedName>
    <definedName name="Pvorklmg">#REF!</definedName>
    <definedName name="Pxxi" localSheetId="1">#REF!</definedName>
    <definedName name="Pxxi" localSheetId="4">#REF!</definedName>
    <definedName name="Pxxi">#REF!</definedName>
    <definedName name="Pyyi" localSheetId="4">#REF!</definedName>
    <definedName name="Pyyi">#REF!</definedName>
    <definedName name="Pyyiii" localSheetId="4">#REF!</definedName>
    <definedName name="Pyyiii">#REF!</definedName>
    <definedName name="q" localSheetId="1">'[1]Originating Station'!#REF!</definedName>
    <definedName name="q">'[2]Originating Station'!#REF!</definedName>
    <definedName name="QA_Rating" localSheetId="4">#REF!</definedName>
    <definedName name="QA_Rating">#REF!</definedName>
    <definedName name="Qc">"$#REF!.$C$39"</definedName>
    <definedName name="Qf">"$#REF!.$C$47"</definedName>
    <definedName name="QF_SYS_CURRENCY1" localSheetId="1">[115]Discount!$F$11</definedName>
    <definedName name="QF_SYS_CURRENCY1" localSheetId="4">[116]Discount!$F$11</definedName>
    <definedName name="QF_SYS_CURRENCY1" localSheetId="0">[121]Discount!$F$11</definedName>
    <definedName name="QF_SYS_CURRENCY1">[122]Discount!$F$11</definedName>
    <definedName name="QF_SYS_DESTINATION1" localSheetId="1">[115]Discount!$F$16</definedName>
    <definedName name="QF_SYS_DESTINATION1" localSheetId="4">[116]Discount!$F$16</definedName>
    <definedName name="QF_SYS_DESTINATION1" localSheetId="0">[121]Discount!$F$16</definedName>
    <definedName name="QF_SYS_DESTINATION1">[122]Discount!$F$16</definedName>
    <definedName name="QF_SYS_EXCHANGE1" localSheetId="1">[115]Discount!$F$13</definedName>
    <definedName name="QF_SYS_EXCHANGE1" localSheetId="4">[116]Discount!$F$13</definedName>
    <definedName name="QF_SYS_EXCHANGE1" localSheetId="0">[116]Discount!$F$13</definedName>
    <definedName name="QF_SYS_EXCHANGE1">[117]Discount!$F$13</definedName>
    <definedName name="QF_SYS_LISTPRICECURRENCY" localSheetId="1">[115]Discount!$F$12</definedName>
    <definedName name="QF_SYS_LISTPRICECURRENCY" localSheetId="4">[116]Discount!$F$12</definedName>
    <definedName name="QF_SYS_LISTPRICECURRENCY" localSheetId="0">[116]Discount!$F$12</definedName>
    <definedName name="QF_SYS_LISTPRICECURRENCY">[117]Discount!$F$12</definedName>
    <definedName name="QF_SYS_TRADETERMDESC1" localSheetId="1">[115]Discount!$F$14</definedName>
    <definedName name="QF_SYS_TRADETERMDESC1" localSheetId="4">[116]Discount!$F$14</definedName>
    <definedName name="QF_SYS_TRADETERMDESC1" localSheetId="0">[121]Discount!$F$14</definedName>
    <definedName name="QF_SYS_TRADETERMDESC1">[122]Discount!$F$14</definedName>
    <definedName name="Qi">"$#REF!.$C$45"</definedName>
    <definedName name="Qm" localSheetId="1">#REF!</definedName>
    <definedName name="Qm" localSheetId="4">#REF!</definedName>
    <definedName name="Qm">#REF!</definedName>
    <definedName name="Qmaxvorkl" localSheetId="1">#REF!</definedName>
    <definedName name="Qmaxvorkl" localSheetId="4">[26]BALAN1!$F$11</definedName>
    <definedName name="Qmaxvorkl">#REF!</definedName>
    <definedName name="Qmittelvorkl" localSheetId="4">[26]BALAN1!$F$10</definedName>
    <definedName name="Qmittelvorkl">#REF!</definedName>
    <definedName name="qq" localSheetId="4">#REF!</definedName>
    <definedName name="qq">#REF!</definedName>
    <definedName name="QrezirkRegenw." localSheetId="4">[26]BALAN1!$H$11</definedName>
    <definedName name="QrezirkRegenw.">#REF!</definedName>
    <definedName name="QrezirkTrockenw." localSheetId="4">[26]BALAN1!$H$10</definedName>
    <definedName name="QrezirkTrockenw.">#REF!</definedName>
    <definedName name="QRückläufe" localSheetId="4">[26]BALAN1!$E$10</definedName>
    <definedName name="QRückläufe">#REF!</definedName>
    <definedName name="QSchlamwasser_Dauer" localSheetId="4">[26]BALAN1!$E$54</definedName>
    <definedName name="QSchlamwasser_Dauer">#REF!</definedName>
    <definedName name="Qtr" localSheetId="4">#REF!</definedName>
    <definedName name="Qtr" localSheetId="0">#REF!</definedName>
    <definedName name="Qtr">#REF!</definedName>
    <definedName name="Queries" localSheetId="4">#REF!</definedName>
    <definedName name="Queries">#REF!</definedName>
    <definedName name="quest1" localSheetId="4">#REF!</definedName>
    <definedName name="quest1">#REF!</definedName>
    <definedName name="quest2" localSheetId="4">#REF!</definedName>
    <definedName name="quest2">#REF!</definedName>
    <definedName name="quest3" localSheetId="4">#REF!</definedName>
    <definedName name="quest3">#REF!</definedName>
    <definedName name="quest4" localSheetId="4">#REF!</definedName>
    <definedName name="quest4">#REF!</definedName>
    <definedName name="quest5" localSheetId="4">#REF!</definedName>
    <definedName name="quest5">#REF!</definedName>
    <definedName name="quest6" localSheetId="4">#REF!</definedName>
    <definedName name="quest6">#REF!</definedName>
    <definedName name="quest7" localSheetId="4">#REF!</definedName>
    <definedName name="quest7">#REF!</definedName>
    <definedName name="Question1" localSheetId="4">#REF!</definedName>
    <definedName name="Question1">#REF!</definedName>
    <definedName name="Question12" localSheetId="4">#REF!</definedName>
    <definedName name="Question12">#REF!</definedName>
    <definedName name="Question13" localSheetId="4">#REF!</definedName>
    <definedName name="Question13">#REF!</definedName>
    <definedName name="Question15" localSheetId="4">#REF!</definedName>
    <definedName name="Question15">#REF!</definedName>
    <definedName name="Question2" localSheetId="4">#REF!</definedName>
    <definedName name="Question2">#REF!</definedName>
    <definedName name="Question4" localSheetId="4">#REF!</definedName>
    <definedName name="Question4">#REF!</definedName>
    <definedName name="Question5" localSheetId="4">#REF!</definedName>
    <definedName name="Question5">#REF!</definedName>
    <definedName name="Question6" localSheetId="4">#REF!</definedName>
    <definedName name="Question6">#REF!</definedName>
    <definedName name="Question7" localSheetId="4">#REF!</definedName>
    <definedName name="Question7">#REF!</definedName>
    <definedName name="Question8" localSheetId="4">#REF!</definedName>
    <definedName name="Question8">#REF!</definedName>
    <definedName name="Question9" localSheetId="4">#REF!</definedName>
    <definedName name="Question9">#REF!</definedName>
    <definedName name="QUOTE_PRICEBREAK" localSheetId="1">[9]Sachin!#REF!</definedName>
    <definedName name="QUOTE_PRICEBREAK" localSheetId="4">[21]Sachin!#REF!</definedName>
    <definedName name="QUOTE_PRICEBREAK" localSheetId="0">[21]Sachin!#REF!</definedName>
    <definedName name="QUOTE_PRICEBREAK">[9]Sachin!#REF!</definedName>
    <definedName name="QUOTE_PS_PRICEBREAK" localSheetId="1">[9]Sachin!#REF!</definedName>
    <definedName name="QUOTE_PS_PRICEBREAK" localSheetId="4">[21]Sachin!#REF!</definedName>
    <definedName name="QUOTE_PS_PRICEBREAK" localSheetId="0">[21]Sachin!#REF!</definedName>
    <definedName name="QUOTE_PS_PRICEBREAK">[9]Sachin!#REF!</definedName>
    <definedName name="QUOTEHOME" localSheetId="1">#REF!</definedName>
    <definedName name="QUOTEHOME" localSheetId="4">#REF!</definedName>
    <definedName name="QUOTEHOME" localSheetId="0">#REF!</definedName>
    <definedName name="QUOTEHOME">#REF!</definedName>
    <definedName name="QuoteType" localSheetId="1">[115]Discount!$F$15</definedName>
    <definedName name="QuoteType" localSheetId="4">[116]Discount!$F$15</definedName>
    <definedName name="QuoteType" localSheetId="0">[121]Discount!$F$15</definedName>
    <definedName name="QuoteType">[122]Discount!$F$15</definedName>
    <definedName name="qw" localSheetId="1">#REF!</definedName>
    <definedName name="qw" localSheetId="4">#REF!</definedName>
    <definedName name="qw">#REF!</definedName>
    <definedName name="qwe">#N/A</definedName>
    <definedName name="qweq">#N/A</definedName>
    <definedName name="R_MaxCam" localSheetId="4">#REF!</definedName>
    <definedName name="R_MaxCam" localSheetId="0">#REF!</definedName>
    <definedName name="R_MaxCam">#REF!</definedName>
    <definedName name="R_MaxRate" localSheetId="4">#REF!</definedName>
    <definedName name="R_MaxRate" localSheetId="0">#REF!</definedName>
    <definedName name="R_MaxRate">#REF!</definedName>
    <definedName name="raguy" localSheetId="4">[26]BALAN1!#REF!</definedName>
    <definedName name="raguy">#REF!</definedName>
    <definedName name="RAJ" localSheetId="4">#REF!</definedName>
    <definedName name="RAJ">#REF!</definedName>
    <definedName name="rajan" localSheetId="4">#REF!</definedName>
    <definedName name="rajan">#REF!</definedName>
    <definedName name="RAJAN1" localSheetId="4">#REF!</definedName>
    <definedName name="RAJAN1">#REF!</definedName>
    <definedName name="rand" localSheetId="4">#REF!</definedName>
    <definedName name="rand">#REF!</definedName>
    <definedName name="RANGE2" localSheetId="1">'[123]Cable-data'!$A$33:$K$48</definedName>
    <definedName name="RANGE2">'[123]Cable-data'!$A$33:$K$48</definedName>
    <definedName name="RANGE6" localSheetId="0">#REF!</definedName>
    <definedName name="RANGE6">'[124]CABLE DATA'!$A$31:$C$46</definedName>
    <definedName name="Rating_Key" localSheetId="4">#REF!</definedName>
    <definedName name="Rating_Key">#REF!</definedName>
    <definedName name="ratio1" localSheetId="4">#REF!</definedName>
    <definedName name="ratio1">#REF!</definedName>
    <definedName name="Re">"$#REF!.$C$154"</definedName>
    <definedName name="reactions" localSheetId="4">#REF!</definedName>
    <definedName name="reactions">#REF!</definedName>
    <definedName name="ReaderProximity" localSheetId="1">[30]CCTV_EST1!#REF!</definedName>
    <definedName name="ReaderProximity" localSheetId="4">[30]CCTV_EST1!#REF!</definedName>
    <definedName name="ReaderProximity">[30]CCTV_EST1!#REF!</definedName>
    <definedName name="ReaderWiegand" localSheetId="1">'[59]ACS(1)'!#REF!</definedName>
    <definedName name="ReaderWiegand" localSheetId="4">'[60]ACS(1)'!#REF!</definedName>
    <definedName name="ReaderWiegand">'[60]ACS(1)'!#REF!</definedName>
    <definedName name="rect_4_415" localSheetId="1">#REF!</definedName>
    <definedName name="rect_4_415" localSheetId="4">#REF!</definedName>
    <definedName name="rect_4_415">#REF!</definedName>
    <definedName name="REDIRECT_SECTION" localSheetId="1">[9]Sachin!#REF!</definedName>
    <definedName name="REDIRECT_SECTION" localSheetId="4">[21]Sachin!#REF!</definedName>
    <definedName name="REDIRECT_SECTION" localSheetId="0">[21]Sachin!#REF!</definedName>
    <definedName name="REDIRECT_SECTION">[9]Sachin!#REF!</definedName>
    <definedName name="REF">#N/A</definedName>
    <definedName name="RefDwg" localSheetId="1">#REF!</definedName>
    <definedName name="RefDwg" localSheetId="4">#REF!</definedName>
    <definedName name="RefDwg">#REF!</definedName>
    <definedName name="refill" hidden="1">'[125]mdd &amp; co Fdr jan.02 '!$A$33:$M$147</definedName>
    <definedName name="rel" localSheetId="4">#REF!</definedName>
    <definedName name="rel">#REF!</definedName>
    <definedName name="related" localSheetId="4">#REF!</definedName>
    <definedName name="related">#REF!</definedName>
    <definedName name="Rep_Tech" localSheetId="4">#REF!</definedName>
    <definedName name="Rep_Tech">#REF!</definedName>
    <definedName name="replication" localSheetId="4">#REF!</definedName>
    <definedName name="replication">#REF!</definedName>
    <definedName name="REPORT_LINES_TO_FORMAT" localSheetId="1">[9]Sachin!#REF!,[9]Sachin!#REF!</definedName>
    <definedName name="REPORT_LINES_TO_FORMAT" localSheetId="4">[21]Sachin!#REF!,[21]Sachin!#REF!</definedName>
    <definedName name="REPORT_LINES_TO_FORMAT" localSheetId="0">[21]Sachin!#REF!,[21]Sachin!#REF!</definedName>
    <definedName name="REPORT_LINES_TO_FORMAT">[9]Sachin!#REF!,[9]Sachin!#REF!</definedName>
    <definedName name="REPORT_LINES_TO_FORMAT0" localSheetId="1">[9]Sachin!#REF!</definedName>
    <definedName name="REPORT_LINES_TO_FORMAT0" localSheetId="4">[21]Sachin!#REF!</definedName>
    <definedName name="REPORT_LINES_TO_FORMAT0" localSheetId="0">[21]Sachin!#REF!</definedName>
    <definedName name="REPORT_LINES_TO_FORMAT0">[9]Sachin!#REF!</definedName>
    <definedName name="REPORT_LINES_TO_FORMAT1" localSheetId="1">[9]Sachin!#REF!</definedName>
    <definedName name="REPORT_LINES_TO_FORMAT1" localSheetId="4">[21]Sachin!#REF!</definedName>
    <definedName name="REPORT_LINES_TO_FORMAT1" localSheetId="0">[21]Sachin!#REF!</definedName>
    <definedName name="REPORT_LINES_TO_FORMAT1">[9]Sachin!#REF!</definedName>
    <definedName name="REPORT_LINES_TO_FORMAT2" localSheetId="1">[9]Sachin!#REF!</definedName>
    <definedName name="REPORT_LINES_TO_FORMAT2" localSheetId="4">[21]Sachin!#REF!</definedName>
    <definedName name="REPORT_LINES_TO_FORMAT2" localSheetId="0">[21]Sachin!#REF!</definedName>
    <definedName name="REPORT_LINES_TO_FORMAT2">[9]Sachin!#REF!</definedName>
    <definedName name="REPORT_TOTALS_TO_FORMAT" localSheetId="1">[9]Sachin!#REF!,[9]Sachin!#REF!,[9]Sachin!#REF!</definedName>
    <definedName name="REPORT_TOTALS_TO_FORMAT" localSheetId="4">[21]Sachin!#REF!,[21]Sachin!#REF!,[21]Sachin!#REF!</definedName>
    <definedName name="REPORT_TOTALS_TO_FORMAT" localSheetId="0">[21]Sachin!#REF!,[21]Sachin!#REF!,[21]Sachin!#REF!</definedName>
    <definedName name="REPORT_TOTALS_TO_FORMAT">[9]Sachin!#REF!,[9]Sachin!#REF!,[9]Sachin!#REF!</definedName>
    <definedName name="REPORT_TOTALS_TO_FORMAT0" localSheetId="1">[9]Sachin!#REF!</definedName>
    <definedName name="REPORT_TOTALS_TO_FORMAT0" localSheetId="4">[21]Sachin!#REF!</definedName>
    <definedName name="REPORT_TOTALS_TO_FORMAT0" localSheetId="0">[21]Sachin!#REF!</definedName>
    <definedName name="REPORT_TOTALS_TO_FORMAT0">[9]Sachin!#REF!</definedName>
    <definedName name="REPORT_TOTALS_TO_FORMAT1" localSheetId="1">[9]Sachin!#REF!</definedName>
    <definedName name="REPORT_TOTALS_TO_FORMAT1" localSheetId="4">[21]Sachin!#REF!</definedName>
    <definedName name="REPORT_TOTALS_TO_FORMAT1" localSheetId="0">[21]Sachin!#REF!</definedName>
    <definedName name="REPORT_TOTALS_TO_FORMAT1">[9]Sachin!#REF!</definedName>
    <definedName name="REPORT_TOTALS_TO_FORMAT2" localSheetId="1">[9]Sachin!#REF!</definedName>
    <definedName name="REPORT_TOTALS_TO_FORMAT2" localSheetId="4">[21]Sachin!#REF!</definedName>
    <definedName name="REPORT_TOTALS_TO_FORMAT2" localSheetId="0">[21]Sachin!#REF!</definedName>
    <definedName name="REPORT_TOTALS_TO_FORMAT2">[9]Sachin!#REF!</definedName>
    <definedName name="REPORT_TOTALS_TO_FORMAT3" localSheetId="1">[9]Sachin!#REF!</definedName>
    <definedName name="REPORT_TOTALS_TO_FORMAT3" localSheetId="4">[21]Sachin!#REF!</definedName>
    <definedName name="REPORT_TOTALS_TO_FORMAT3" localSheetId="0">[21]Sachin!#REF!</definedName>
    <definedName name="REPORT_TOTALS_TO_FORMAT3">[9]Sachin!#REF!</definedName>
    <definedName name="REPORT_TOTALS_TO_FORMAT4" localSheetId="4">[21]Sachin!#REF!</definedName>
    <definedName name="REPORT_TOTALS_TO_FORMAT4" localSheetId="0">[21]Sachin!#REF!</definedName>
    <definedName name="REPORT_TOTALS_TO_FORMAT4">[9]Sachin!#REF!</definedName>
    <definedName name="REPORT_TOTALS_TO_FORMAT5" localSheetId="4">[21]Sachin!#REF!</definedName>
    <definedName name="REPORT_TOTALS_TO_FORMAT5" localSheetId="0">[21]Sachin!#REF!</definedName>
    <definedName name="REPORT_TOTALS_TO_FORMAT5">[9]Sachin!#REF!</definedName>
    <definedName name="REQ_EVENTSIZE" localSheetId="1">#REF!</definedName>
    <definedName name="REQ_EVENTSIZE" localSheetId="4">#REF!</definedName>
    <definedName name="REQ_EVENTSIZE">#REF!</definedName>
    <definedName name="RES_HIGH" localSheetId="4">#REF!</definedName>
    <definedName name="RES_HIGH">#REF!</definedName>
    <definedName name="RES_WID" localSheetId="4">#REF!</definedName>
    <definedName name="RES_WID">#REF!</definedName>
    <definedName name="Residual_difference" localSheetId="4">#REF!</definedName>
    <definedName name="Residual_difference">#REF!</definedName>
    <definedName name="ResourceCount" localSheetId="4">#REF!</definedName>
    <definedName name="ResourceCount">#REF!</definedName>
    <definedName name="ResType" localSheetId="1">'[126]Cost sheet - Summary '!$I$4:$I$23</definedName>
    <definedName name="ResType" localSheetId="4">'[126]Cost sheet - Summary '!$I$4:$I$23</definedName>
    <definedName name="ResType" localSheetId="0">'[127]Cost sheet - Summary '!$I$4:$I$23</definedName>
    <definedName name="ResType">'[128]Cost sheet - Summary '!$I$4:$I$23</definedName>
    <definedName name="return" localSheetId="1">[61]Sheet2!$P$2:$P$5</definedName>
    <definedName name="return">[62]Sheet2!$P$2:$P$5</definedName>
    <definedName name="Rev" localSheetId="4">#REF!</definedName>
    <definedName name="Rev">#REF!</definedName>
    <definedName name="revised" localSheetId="4" hidden="1">#REF!</definedName>
    <definedName name="revised" hidden="1">#REF!</definedName>
    <definedName name="Revision" localSheetId="4">#REF!</definedName>
    <definedName name="Revision">#REF!</definedName>
    <definedName name="rig" localSheetId="4">#REF!</definedName>
    <definedName name="rig">#REF!</definedName>
    <definedName name="Rigid_Pavement">[50]Input!$E$5</definedName>
    <definedName name="risk" localSheetId="4">#REF!</definedName>
    <definedName name="risk">#REF!</definedName>
    <definedName name="RK" localSheetId="4">#REF!</definedName>
    <definedName name="RK">#REF!</definedName>
    <definedName name="RKU" localSheetId="4">#REF!</definedName>
    <definedName name="RKU">#REF!</definedName>
    <definedName name="Rm" localSheetId="4">#REF!</definedName>
    <definedName name="Rm">#REF!</definedName>
    <definedName name="rm4e">"$#REF!.$#REF!$#REF!"</definedName>
    <definedName name="robot" localSheetId="4">#REF!</definedName>
    <definedName name="robot">#REF!</definedName>
    <definedName name="rosid" localSheetId="4">#REF!</definedName>
    <definedName name="rosid">#REF!</definedName>
    <definedName name="Rr">"$#REF!.$D$68"</definedName>
    <definedName name="Rs">"$#REF!.$C$173"</definedName>
    <definedName name="Rse">"$#REF!.$C$184"</definedName>
    <definedName name="rty" localSheetId="4">#REF!</definedName>
    <definedName name="rty">#REF!</definedName>
    <definedName name="RTYRTY">"$#REF!.$#REF!$#REF!"</definedName>
    <definedName name="rwq" localSheetId="4">#REF!</definedName>
    <definedName name="rwq">#REF!</definedName>
    <definedName name="s" localSheetId="4">#REF!</definedName>
    <definedName name="s">#REF!</definedName>
    <definedName name="S_1" localSheetId="4">#REF!</definedName>
    <definedName name="S_1">#REF!</definedName>
    <definedName name="S_Adjust_Data" localSheetId="4">#REF!</definedName>
    <definedName name="S_Adjust_Data">#REF!</definedName>
    <definedName name="S_AJE_Tot_Data" localSheetId="4">#REF!</definedName>
    <definedName name="S_AJE_Tot_Data">#REF!</definedName>
    <definedName name="S_CY_Beg_Data">[95]Lead!$D$1:$D$151</definedName>
    <definedName name="S_CY_End_Data" localSheetId="1">#REF!</definedName>
    <definedName name="S_CY_End_Data" localSheetId="4">#REF!</definedName>
    <definedName name="S_CY_End_Data">#REF!</definedName>
    <definedName name="S_PY_End_Data" localSheetId="4">#REF!</definedName>
    <definedName name="S_PY_End_Data">#REF!</definedName>
    <definedName name="S_RJE_Tot_Data" localSheetId="4">#REF!</definedName>
    <definedName name="S_RJE_Tot_Data">#REF!</definedName>
    <definedName name="SABMiller___Current_Opportunities___General_Points" localSheetId="4">#REF!</definedName>
    <definedName name="SABMiller___Current_Opportunities___General_Points">#REF!</definedName>
    <definedName name="SalesTax">0.0825</definedName>
    <definedName name="SAP" localSheetId="1">#REF!</definedName>
    <definedName name="SAP" localSheetId="4">#REF!</definedName>
    <definedName name="SAP">#REF!</definedName>
    <definedName name="SAP_Type" localSheetId="1">[129]Dropdown!$A$4:$A$9</definedName>
    <definedName name="SAP_Type" localSheetId="4">[129]Dropdown!$A$4:$A$9</definedName>
    <definedName name="SAP_Type" localSheetId="0">[129]Dropdown!$A$4:$A$9</definedName>
    <definedName name="SAP_Type">[130]Dropdown!$A$4:$A$9</definedName>
    <definedName name="SAPsysID" hidden="1">"708C5W7SBKP804JT78WJ0JNKI"</definedName>
    <definedName name="SAPwbID" hidden="1">"ARS"</definedName>
    <definedName name="SAR" localSheetId="1">#REF!</definedName>
    <definedName name="SAR" localSheetId="4">#REF!</definedName>
    <definedName name="SAR">#REF!</definedName>
    <definedName name="sasdsad" localSheetId="1">#REF!</definedName>
    <definedName name="sasdsad" localSheetId="4">#REF!</definedName>
    <definedName name="sasdsad">#REF!</definedName>
    <definedName name="satz1" localSheetId="4">'[131]7 Other Costs'!#REF!</definedName>
    <definedName name="satz1">#REF!</definedName>
    <definedName name="satz2" localSheetId="4">'[131]7 Other Costs'!#REF!</definedName>
    <definedName name="satz2">#REF!</definedName>
    <definedName name="saucomd" localSheetId="4">#REF!</definedName>
    <definedName name="saucomd">#REF!</definedName>
    <definedName name="saucstf" localSheetId="4">#REF!</definedName>
    <definedName name="saucstf">#REF!</definedName>
    <definedName name="saud" localSheetId="4">#REF!</definedName>
    <definedName name="saud">#REF!</definedName>
    <definedName name="saudirf" localSheetId="4">#REF!</definedName>
    <definedName name="saudirf">#REF!</definedName>
    <definedName name="sauf" localSheetId="4">#REF!</definedName>
    <definedName name="sauf">#REF!</definedName>
    <definedName name="sauif" localSheetId="4">#REF!</definedName>
    <definedName name="sauif">#REF!</definedName>
    <definedName name="sauspad" localSheetId="4">#REF!</definedName>
    <definedName name="sauspad">#REF!</definedName>
    <definedName name="sausysd" localSheetId="4">#REF!</definedName>
    <definedName name="sausysd">#REF!</definedName>
    <definedName name="sbc" localSheetId="4">#REF!</definedName>
    <definedName name="sbc">#REF!</definedName>
    <definedName name="sbt" localSheetId="4">#REF!</definedName>
    <definedName name="sbt">#REF!</definedName>
    <definedName name="scbc" localSheetId="4">#REF!</definedName>
    <definedName name="scbc">#REF!</definedName>
    <definedName name="scfb" localSheetId="4">#REF!</definedName>
    <definedName name="scfb">#REF!</definedName>
    <definedName name="ScheduleStart" localSheetId="1">'[91]12-Month Sales Forecast'!#REF!</definedName>
    <definedName name="ScheduleStart" localSheetId="4">'[91]12-Month Sales Forecast'!#REF!</definedName>
    <definedName name="ScheduleStart">'[91]12-Month Sales Forecast'!#REF!</definedName>
    <definedName name="scheduleType">"valve"</definedName>
    <definedName name="schools" localSheetId="4">#REF!</definedName>
    <definedName name="schools">#REF!</definedName>
    <definedName name="scl" localSheetId="4">#REF!</definedName>
    <definedName name="scl">#REF!</definedName>
    <definedName name="scld" localSheetId="4">#REF!</definedName>
    <definedName name="scld">#REF!</definedName>
    <definedName name="scw" localSheetId="4">#REF!</definedName>
    <definedName name="scw">#REF!</definedName>
    <definedName name="sd" localSheetId="4">#REF!</definedName>
    <definedName name="sd">#REF!</definedName>
    <definedName name="sd_1">"$#REF!.$#REF!$65"</definedName>
    <definedName name="sd_2" localSheetId="4">#REF!</definedName>
    <definedName name="sd_2">#REF!</definedName>
    <definedName name="sd_3" localSheetId="4">#REF!</definedName>
    <definedName name="sd_3">#REF!</definedName>
    <definedName name="sd_4" localSheetId="4">#REF!</definedName>
    <definedName name="sd_4">#REF!</definedName>
    <definedName name="sdasfasd" localSheetId="4">#REF!</definedName>
    <definedName name="sdasfasd">#REF!</definedName>
    <definedName name="Sdate" localSheetId="4">#REF!</definedName>
    <definedName name="Sdate">#REF!</definedName>
    <definedName name="sdc" localSheetId="1">[132]Summary!$A$91:$A$96</definedName>
    <definedName name="sdc" localSheetId="0">[133]Summary!$A$91:$A$96</definedName>
    <definedName name="sdc">[134]Summary!$A$91:$A$96</definedName>
    <definedName name="sdcd" localSheetId="1">#REF!</definedName>
    <definedName name="sdcd" localSheetId="4">#REF!</definedName>
    <definedName name="sdcd">#REF!</definedName>
    <definedName name="sdf" localSheetId="1">#REF!</definedName>
    <definedName name="sdf" localSheetId="4">#REF!</definedName>
    <definedName name="sdf">#REF!</definedName>
    <definedName name="sdfasdfdsf" localSheetId="4">#REF!</definedName>
    <definedName name="sdfasdfdsf">#REF!</definedName>
    <definedName name="sdfsd">"$#REF!.$#REF!$#REF!"</definedName>
    <definedName name="sdfsdf">"$#REF!.$D$167"</definedName>
    <definedName name="SDFSDFSD">"$#REF!.$#REF!$#REF!"</definedName>
    <definedName name="sdfsdfsdf">"$#REF!.$D$167"</definedName>
    <definedName name="sdfsdfsdfsd">"$#REF!.$D$170"</definedName>
    <definedName name="sdhg" localSheetId="1">[132]Summary!$R$91:$R$95</definedName>
    <definedName name="sdhg" localSheetId="0">[133]Summary!$R$91:$R$95</definedName>
    <definedName name="sdhg">[134]Summary!$R$91:$R$95</definedName>
    <definedName name="SDSADASD" localSheetId="1">#REF!</definedName>
    <definedName name="SDSADASD" localSheetId="4">#REF!</definedName>
    <definedName name="SDSADASD">#REF!</definedName>
    <definedName name="SDSD">"$#REF!.$#REF!$#REF!"</definedName>
    <definedName name="sdsdasd" localSheetId="4">#REF!</definedName>
    <definedName name="sdsdasd">#REF!</definedName>
    <definedName name="SDSDFSDFSD">"$#REF!.$#REF!$#REF!"</definedName>
    <definedName name="sdsdsdsd" localSheetId="4">#REF!</definedName>
    <definedName name="sdsdsdsd">#REF!</definedName>
    <definedName name="SDSFSDFSD">"$#REF!.$#REF!$#REF!"</definedName>
    <definedName name="se" localSheetId="4">#REF!</definedName>
    <definedName name="se">#REF!</definedName>
    <definedName name="se_1">"$#REF!.$J$89"</definedName>
    <definedName name="se_2" localSheetId="4">#REF!</definedName>
    <definedName name="se_2">#REF!</definedName>
    <definedName name="se_3" localSheetId="4">#REF!</definedName>
    <definedName name="se_3">#REF!</definedName>
    <definedName name="se_4" localSheetId="4">#REF!</definedName>
    <definedName name="se_4">#REF!</definedName>
    <definedName name="Sect_table" localSheetId="4">#REF!</definedName>
    <definedName name="Sect_table">#REF!</definedName>
    <definedName name="Section_1_Title" localSheetId="4">#REF!</definedName>
    <definedName name="Section_1_Title">#REF!</definedName>
    <definedName name="Section_2_Title" localSheetId="4">#REF!</definedName>
    <definedName name="Section_2_Title">#REF!</definedName>
    <definedName name="Section_3_Title" localSheetId="4">#REF!</definedName>
    <definedName name="Section_3_Title">#REF!</definedName>
    <definedName name="Section_4_Title" localSheetId="4">#REF!</definedName>
    <definedName name="Section_4_Title">#REF!</definedName>
    <definedName name="Section_5_Title" localSheetId="4">#REF!</definedName>
    <definedName name="Section_5_Title">#REF!</definedName>
    <definedName name="Section_6_Title" localSheetId="4">#REF!</definedName>
    <definedName name="Section_6_Title">#REF!</definedName>
    <definedName name="Section_7_Title" localSheetId="4">#REF!</definedName>
    <definedName name="Section_7_Title">#REF!</definedName>
    <definedName name="Section_8_Title" localSheetId="4">#REF!</definedName>
    <definedName name="Section_8_Title">#REF!</definedName>
    <definedName name="Select" localSheetId="4">#REF!</definedName>
    <definedName name="Select">#REF!</definedName>
    <definedName name="SelectD1OrC1" localSheetId="4">#REF!</definedName>
    <definedName name="SelectD1OrC1">#REF!</definedName>
    <definedName name="SelectLessOrExcess" localSheetId="4">#REF!</definedName>
    <definedName name="SelectLessOrExcess">#REF!</definedName>
    <definedName name="serf">"$#REF!.$B$9"</definedName>
    <definedName name="Server" localSheetId="4">#REF!</definedName>
    <definedName name="Server">#REF!</definedName>
    <definedName name="Server_type" localSheetId="4">#REF!</definedName>
    <definedName name="Server_type">#REF!</definedName>
    <definedName name="ServerData" localSheetId="1">'[135]Server Conf By Name'!$A$4:$V$80</definedName>
    <definedName name="ServerData">'[136]Server Conf By Name'!$A$4:$V$80</definedName>
    <definedName name="servf" localSheetId="1">#REF!</definedName>
    <definedName name="servf" localSheetId="4">#REF!</definedName>
    <definedName name="servf">#REF!</definedName>
    <definedName name="Service" localSheetId="4">#REF!</definedName>
    <definedName name="Service">#REF!</definedName>
    <definedName name="Service_Levels" localSheetId="4">#REF!</definedName>
    <definedName name="Service_Levels">#REF!</definedName>
    <definedName name="Service_line" localSheetId="4">#REF!</definedName>
    <definedName name="Service_line">#REF!</definedName>
    <definedName name="ServiceModel" localSheetId="4">#REF!</definedName>
    <definedName name="ServiceModel">#REF!</definedName>
    <definedName name="Services">[137]Sheet1!$A$2:$A$11</definedName>
    <definedName name="ServiceTax" localSheetId="1">#REF!</definedName>
    <definedName name="ServiceTax" localSheetId="4">#REF!</definedName>
    <definedName name="ServiceTax">#REF!</definedName>
    <definedName name="SERWQERQWER">"$#REF!.$#REF!$#REF!"</definedName>
    <definedName name="SETT1" localSheetId="4">#REF!</definedName>
    <definedName name="SETT1">#REF!</definedName>
    <definedName name="SETT2" localSheetId="4">#REF!</definedName>
    <definedName name="SETT2">#REF!</definedName>
    <definedName name="SETTT1" localSheetId="4">#REF!</definedName>
    <definedName name="SETTT1">#REF!</definedName>
    <definedName name="Sev_1" localSheetId="1">[36]Controls!$B$17:$B$21</definedName>
    <definedName name="Sev_1" localSheetId="0">#REF!</definedName>
    <definedName name="Sev_1">[37]Controls!$B$17:$B$21</definedName>
    <definedName name="Sev_1_Score" localSheetId="1">[36]Controls!$C$17:$C$21</definedName>
    <definedName name="Sev_1_Score" localSheetId="0">#REF!</definedName>
    <definedName name="Sev_1_Score">[37]Controls!$C$17:$C$21</definedName>
    <definedName name="Sev_2" localSheetId="1">[36]Controls!$B$24:$B$28</definedName>
    <definedName name="Sev_2" localSheetId="0">#REF!</definedName>
    <definedName name="Sev_2">[37]Controls!$B$24:$B$28</definedName>
    <definedName name="Sev_2_Score" localSheetId="1">[36]Controls!$C$17:$C$21</definedName>
    <definedName name="Sev_2_Score" localSheetId="0">#REF!</definedName>
    <definedName name="Sev_2_Score">[37]Controls!$C$17:$C$21</definedName>
    <definedName name="sfasf" localSheetId="4">#REF!</definedName>
    <definedName name="sfasf">#REF!</definedName>
    <definedName name="sg" localSheetId="4">#REF!</definedName>
    <definedName name="sg">#REF!</definedName>
    <definedName name="sg_1">"$#REF!.$I$31"</definedName>
    <definedName name="sg_2" localSheetId="4">#REF!</definedName>
    <definedName name="sg_2">#REF!</definedName>
    <definedName name="sg_3" localSheetId="4">#REF!</definedName>
    <definedName name="sg_3">#REF!</definedName>
    <definedName name="sg_4" localSheetId="4">#REF!</definedName>
    <definedName name="sg_4">#REF!</definedName>
    <definedName name="shd">"$#REF!.$B$3"</definedName>
    <definedName name="sheet" localSheetId="4">'[138]Legal Risk Analysis'!#REF!</definedName>
    <definedName name="sheet">#REF!</definedName>
    <definedName name="SHEET1" localSheetId="4">'[139]Legal Risk Analysis'!#REF!</definedName>
    <definedName name="SHEET1">#REF!</definedName>
    <definedName name="shf">"$#REF!.$J$3"</definedName>
    <definedName name="SHIP_TO_ADDRESS" localSheetId="1">[9]Sachin!#REF!</definedName>
    <definedName name="SHIP_TO_ADDRESS" localSheetId="4">[21]Sachin!#REF!</definedName>
    <definedName name="SHIP_TO_ADDRESS" localSheetId="0">[21]Sachin!#REF!</definedName>
    <definedName name="SHIP_TO_ADDRESS">[9]Sachin!#REF!</definedName>
    <definedName name="SHIP_TO_CONTACT" localSheetId="1">[9]Sachin!#REF!</definedName>
    <definedName name="SHIP_TO_CONTACT" localSheetId="4">[21]Sachin!#REF!</definedName>
    <definedName name="SHIP_TO_CONTACT" localSheetId="0">[21]Sachin!#REF!</definedName>
    <definedName name="SHIP_TO_CONTACT">[9]Sachin!#REF!</definedName>
    <definedName name="SHIP_TO_LABEL" localSheetId="1">[9]Sachin!#REF!</definedName>
    <definedName name="SHIP_TO_LABEL" localSheetId="4">[21]Sachin!#REF!</definedName>
    <definedName name="SHIP_TO_LABEL" localSheetId="0">[21]Sachin!#REF!</definedName>
    <definedName name="SHIP_TO_LABEL">[9]Sachin!#REF!</definedName>
    <definedName name="SHIP_TO_NAME" localSheetId="1">[9]Sachin!#REF!</definedName>
    <definedName name="SHIP_TO_NAME" localSheetId="4">[21]Sachin!#REF!</definedName>
    <definedName name="SHIP_TO_NAME" localSheetId="0">[21]Sachin!#REF!</definedName>
    <definedName name="SHIP_TO_NAME">[9]Sachin!#REF!</definedName>
    <definedName name="SHIP_TO_PHONE" localSheetId="1">[9]Sachin!#REF!</definedName>
    <definedName name="SHIP_TO_PHONE" localSheetId="4">[21]Sachin!#REF!</definedName>
    <definedName name="SHIP_TO_PHONE" localSheetId="0">[21]Sachin!#REF!</definedName>
    <definedName name="SHIP_TO_PHONE">[9]Sachin!#REF!</definedName>
    <definedName name="Shipping">1.25</definedName>
    <definedName name="SHIPPING_ZONE_0" localSheetId="1">[9]Sachin!#REF!</definedName>
    <definedName name="SHIPPING_ZONE_0" localSheetId="4">[21]Sachin!#REF!</definedName>
    <definedName name="SHIPPING_ZONE_0" localSheetId="0">[21]Sachin!#REF!</definedName>
    <definedName name="SHIPPING_ZONE_0">[9]Sachin!#REF!</definedName>
    <definedName name="SHIPPING_ZONE_1" localSheetId="1">[9]Sachin!#REF!</definedName>
    <definedName name="SHIPPING_ZONE_1" localSheetId="4">[21]Sachin!#REF!</definedName>
    <definedName name="SHIPPING_ZONE_1" localSheetId="0">[21]Sachin!#REF!</definedName>
    <definedName name="SHIPPING_ZONE_1">[9]Sachin!#REF!</definedName>
    <definedName name="SHIPPING_ZONE_2" localSheetId="1">[9]Sachin!#REF!</definedName>
    <definedName name="SHIPPING_ZONE_2" localSheetId="4">[21]Sachin!#REF!</definedName>
    <definedName name="SHIPPING_ZONE_2" localSheetId="0">[21]Sachin!#REF!</definedName>
    <definedName name="SHIPPING_ZONE_2">[9]Sachin!#REF!</definedName>
    <definedName name="si">"$#REF!.$D$152"</definedName>
    <definedName name="SingleCur" localSheetId="1">#REF!</definedName>
    <definedName name="SingleCur" localSheetId="4">#REF!</definedName>
    <definedName name="SingleCur">#REF!</definedName>
    <definedName name="SingleEuro" localSheetId="4">#REF!</definedName>
    <definedName name="SingleEuro">#REF!</definedName>
    <definedName name="SinglrCur" localSheetId="4">#REF!</definedName>
    <definedName name="SinglrCur">#REF!</definedName>
    <definedName name="SiteName" localSheetId="4">'[51]Content Instructions'!$B$4</definedName>
    <definedName name="SiteName">'[52]Content Instructions'!$B$4</definedName>
    <definedName name="SIXTH" localSheetId="4">#REF!</definedName>
    <definedName name="SIXTH">#REF!</definedName>
    <definedName name="Size" localSheetId="4">#REF!</definedName>
    <definedName name="Size" localSheetId="0">#REF!</definedName>
    <definedName name="Size">#REF!</definedName>
    <definedName name="skv" localSheetId="4">#REF!</definedName>
    <definedName name="skv">#REF!</definedName>
    <definedName name="small" localSheetId="4">#REF!</definedName>
    <definedName name="small">#REF!</definedName>
    <definedName name="smx" localSheetId="4">#REF!</definedName>
    <definedName name="smx">#REF!</definedName>
    <definedName name="smy" localSheetId="4">#REF!</definedName>
    <definedName name="smy">#REF!</definedName>
    <definedName name="Software" localSheetId="4">#REF!</definedName>
    <definedName name="Software">#REF!</definedName>
    <definedName name="soilwt" localSheetId="4">[140]Footing!$F$26</definedName>
    <definedName name="soilwt">#REF!</definedName>
    <definedName name="SOLD_TO_ADDRESS" localSheetId="4">[21]Sachin!#REF!</definedName>
    <definedName name="SOLD_TO_ADDRESS" localSheetId="0">[21]Sachin!#REF!</definedName>
    <definedName name="SOLD_TO_ADDRESS">[9]Sachin!#REF!</definedName>
    <definedName name="SOLD_TO_CONTACT" localSheetId="4">[21]Sachin!#REF!</definedName>
    <definedName name="SOLD_TO_CONTACT" localSheetId="0">[21]Sachin!#REF!</definedName>
    <definedName name="SOLD_TO_CONTACT">[9]Sachin!#REF!</definedName>
    <definedName name="SOLD_TO_LABEL" localSheetId="4">[21]Sachin!#REF!</definedName>
    <definedName name="SOLD_TO_LABEL" localSheetId="0">[21]Sachin!#REF!</definedName>
    <definedName name="SOLD_TO_LABEL">[9]Sachin!#REF!</definedName>
    <definedName name="SOLD_TO_NAME" localSheetId="4">[21]Sachin!#REF!</definedName>
    <definedName name="SOLD_TO_NAME" localSheetId="0">[21]Sachin!#REF!</definedName>
    <definedName name="SOLD_TO_NAME">[9]Sachin!#REF!</definedName>
    <definedName name="SOLD_TO_PHONE" localSheetId="4">[21]Sachin!#REF!</definedName>
    <definedName name="SOLD_TO_PHONE" localSheetId="0">[21]Sachin!#REF!</definedName>
    <definedName name="SOLD_TO_PHONE">[9]Sachin!#REF!</definedName>
    <definedName name="Solutions" localSheetId="1">#REF!</definedName>
    <definedName name="Solutions" localSheetId="4">#REF!</definedName>
    <definedName name="Solutions">#REF!</definedName>
    <definedName name="sond" localSheetId="4">#REF!</definedName>
    <definedName name="sond">#REF!</definedName>
    <definedName name="sondf" localSheetId="4">#REF!</definedName>
    <definedName name="sondf">#REF!</definedName>
    <definedName name="SONTF">"'file://Vijay/d/Offers/GRUNDFOSS/Grundfoss Offer 4A12/Final Offer - 4C16/IO List 4C08.xls'#$factors.$#REF!$#REF!"</definedName>
    <definedName name="Spa" localSheetId="4">'[56]Master data'!$B$19:$C$24</definedName>
    <definedName name="Spa">#REF!</definedName>
    <definedName name="Spare" localSheetId="4">'[56]Master data'!$B$14:$C$15</definedName>
    <definedName name="Spare">#REF!</definedName>
    <definedName name="Spares" localSheetId="4">'[56]Master data'!$B$11:$C$12</definedName>
    <definedName name="Spares">#REF!</definedName>
    <definedName name="SparesNEW" localSheetId="4">'[141]Master data'!$B$60</definedName>
    <definedName name="SparesNEW">#REF!</definedName>
    <definedName name="Specification" localSheetId="1">'[142]d-safe DELUXE'!#REF!</definedName>
    <definedName name="Specification" localSheetId="4">'[143]d-safe DELUXE'!#REF!</definedName>
    <definedName name="Specification">'[143]d-safe DELUXE'!#REF!</definedName>
    <definedName name="SPIM" localSheetId="1">#REF!</definedName>
    <definedName name="SPIM" localSheetId="4">#REF!</definedName>
    <definedName name="SPIM">#REF!</definedName>
    <definedName name="SPPRT" localSheetId="1" hidden="1">{"'LTITL'!$A$1:$P$35"}</definedName>
    <definedName name="SPPRT" localSheetId="4" hidden="1">{"'LTITL'!$A$1:$P$35"}</definedName>
    <definedName name="SPPRT" localSheetId="0" hidden="1">{"'LTITL'!$A$1:$P$35"}</definedName>
    <definedName name="SPPRT" hidden="1">{"'LTITL'!$A$1:$P$35"}</definedName>
    <definedName name="Spülfreqenz_Filter" localSheetId="4">[26]BALAN1!#REF!</definedName>
    <definedName name="Spülfreqenz_Filter">#REF!</definedName>
    <definedName name="SQRT__1___0.6___1.0">"$#REF!.$D$99"</definedName>
    <definedName name="Sri" localSheetId="1" hidden="1">{"'LTITL'!$A$1:$P$35"}</definedName>
    <definedName name="Sri" localSheetId="4" hidden="1">{"'LTITL'!$A$1:$P$35"}</definedName>
    <definedName name="Sri" localSheetId="0" hidden="1">{"'LTITL'!$A$1:$P$35"}</definedName>
    <definedName name="Sri" hidden="1">{"'LTITL'!$A$1:$P$35"}</definedName>
    <definedName name="sriram" localSheetId="1" hidden="1">{#N/A,#N/A,TRUE,"Overall";#N/A,#N/A,TRUE,"Region Wise ";#N/A,#N/A,TRUE,"Client Wise"}</definedName>
    <definedName name="sriram" localSheetId="4" hidden="1">{#N/A,#N/A,TRUE,"Overall";#N/A,#N/A,TRUE,"Region Wise ";#N/A,#N/A,TRUE,"Client Wise"}</definedName>
    <definedName name="sriram" localSheetId="0" hidden="1">{#N/A,#N/A,TRUE,"Overall";#N/A,#N/A,TRUE,"Region Wise ";#N/A,#N/A,TRUE,"Client Wise"}</definedName>
    <definedName name="sriram" hidden="1">{#N/A,#N/A,TRUE,"Overall";#N/A,#N/A,TRUE,"Region Wise ";#N/A,#N/A,TRUE,"Client Wise"}</definedName>
    <definedName name="srvf">"$#REF!.$I$3"</definedName>
    <definedName name="ss" localSheetId="4" hidden="1">'[144]Inter unit set off'!$C$7</definedName>
    <definedName name="ss" hidden="1">'[145]Inter unit set off'!$C$7</definedName>
    <definedName name="SS_Reinigung_in_BiopurC" localSheetId="1">#REF!</definedName>
    <definedName name="SS_Reinigung_in_BiopurC" localSheetId="4">[26]BALAN1!#REF!</definedName>
    <definedName name="SS_Reinigung_in_BiopurC">#REF!</definedName>
    <definedName name="SS_reinigung_in_BiopurN" localSheetId="1">#REF!</definedName>
    <definedName name="SS_reinigung_in_BiopurN" localSheetId="4">[26]BALAN1!#REF!</definedName>
    <definedName name="SS_reinigung_in_BiopurN">#REF!</definedName>
    <definedName name="SS_Reinigung_in_Filter" localSheetId="1">#REF!</definedName>
    <definedName name="SS_Reinigung_in_Filter" localSheetId="4">[26]BALAN1!#REF!</definedName>
    <definedName name="SS_Reinigung_in_Filter">#REF!</definedName>
    <definedName name="ssd">"$#REF!.$B$4"</definedName>
    <definedName name="ssdsdsds" localSheetId="4">#REF!</definedName>
    <definedName name="ssdsdsds">#REF!</definedName>
    <definedName name="ssf">"$#REF!.$J$4"</definedName>
    <definedName name="SSRückläufekg" localSheetId="4">[26]BALAN1!$E$13</definedName>
    <definedName name="SSRückläufekg">#REF!</definedName>
    <definedName name="SSS" localSheetId="4">#REF!</definedName>
    <definedName name="SSS">#REF!</definedName>
    <definedName name="sssdsdas" localSheetId="4">#REF!</definedName>
    <definedName name="sssdsdas">#REF!</definedName>
    <definedName name="ssss" localSheetId="4">#REF!</definedName>
    <definedName name="ssss">#REF!</definedName>
    <definedName name="sst" localSheetId="4">#REF!</definedName>
    <definedName name="sst">#REF!</definedName>
    <definedName name="SSvorklkg" localSheetId="4">[26]BALAN1!$F$13</definedName>
    <definedName name="SSvorklkg">#REF!</definedName>
    <definedName name="SSvorklmg" localSheetId="4">[26]BALAN1!$F$14</definedName>
    <definedName name="SSvorklmg">#REF!</definedName>
    <definedName name="st" localSheetId="4">#REF!</definedName>
    <definedName name="st">#REF!</definedName>
    <definedName name="st_1">"$#REF!.$I$120"</definedName>
    <definedName name="st_2" localSheetId="4">#REF!</definedName>
    <definedName name="st_2">#REF!</definedName>
    <definedName name="st_3" localSheetId="4">#REF!</definedName>
    <definedName name="st_3">#REF!</definedName>
    <definedName name="st_4" localSheetId="4">#REF!</definedName>
    <definedName name="st_4">#REF!</definedName>
    <definedName name="Stage" localSheetId="4">#REF!</definedName>
    <definedName name="Stage">#REF!</definedName>
    <definedName name="Staircase" localSheetId="4">#REF!</definedName>
    <definedName name="Staircase">#REF!</definedName>
    <definedName name="Staircase2" localSheetId="4">#REF!</definedName>
    <definedName name="Staircase2">#REF!</definedName>
    <definedName name="Start" localSheetId="4">#REF!</definedName>
    <definedName name="Start">#REF!</definedName>
    <definedName name="Start_Date" localSheetId="4">#REF!</definedName>
    <definedName name="Start_Date">#REF!</definedName>
    <definedName name="StartHints" localSheetId="4">#REF!</definedName>
    <definedName name="StartHints">#REF!</definedName>
    <definedName name="StartRow">6</definedName>
    <definedName name="steelar" localSheetId="4">#REF!</definedName>
    <definedName name="steelar">#REF!</definedName>
    <definedName name="steelreq" localSheetId="4">#REF!</definedName>
    <definedName name="steelreq">#REF!</definedName>
    <definedName name="STIL" localSheetId="4">#REF!</definedName>
    <definedName name="STIL">#REF!</definedName>
    <definedName name="storage" localSheetId="1">[22]Reference!$F$2:$F$8</definedName>
    <definedName name="storage" localSheetId="4">[22]Reference!$F$2:$F$8</definedName>
    <definedName name="storage">#REF!</definedName>
    <definedName name="Storage_c_a" localSheetId="1">#REF!</definedName>
    <definedName name="Storage_c_a" localSheetId="4">#REF!</definedName>
    <definedName name="Storage_c_a">#REF!</definedName>
    <definedName name="Storage_Cal_A" localSheetId="1">#REF!</definedName>
    <definedName name="Storage_Cal_A" localSheetId="4">#REF!</definedName>
    <definedName name="Storage_Cal_A">#REF!</definedName>
    <definedName name="Storage_type" localSheetId="4">#REF!</definedName>
    <definedName name="Storage_type">#REF!</definedName>
    <definedName name="StorageCOC" localSheetId="1">'[49]MS NET'!#REF!</definedName>
    <definedName name="StorageCOC" localSheetId="4">'[49]MS NET'!#REF!</definedName>
    <definedName name="StorageCOC" localSheetId="0">'[49]MS NET'!#REF!</definedName>
    <definedName name="StorageCOC">'[49]MS NET'!#REF!</definedName>
    <definedName name="STORED_FRAME_BSIZE" localSheetId="4">#REF!</definedName>
    <definedName name="STORED_FRAME_BSIZE">#REF!</definedName>
    <definedName name="STP" localSheetId="4">#REF!</definedName>
    <definedName name="STP">#REF!</definedName>
    <definedName name="Streitwert" localSheetId="4">'[146]Legal Risk Analysis'!#REF!</definedName>
    <definedName name="Streitwert">#REF!</definedName>
    <definedName name="StrID" localSheetId="4">#REF!</definedName>
    <definedName name="StrID">#REF!</definedName>
    <definedName name="struct" localSheetId="4">'[7]Design basis-C'!$B$7</definedName>
    <definedName name="struct">#REF!</definedName>
    <definedName name="struct2" localSheetId="4">'[7]Design basis-C'!$B$7</definedName>
    <definedName name="struct2">#REF!</definedName>
    <definedName name="struct4" localSheetId="4">'[7]Design basis-C'!$B$7</definedName>
    <definedName name="struct4">#REF!</definedName>
    <definedName name="structure" localSheetId="4">#REF!</definedName>
    <definedName name="structure">#REF!</definedName>
    <definedName name="stuct1" localSheetId="4">'[7]Design basis-C'!$B$7</definedName>
    <definedName name="stuct1">#REF!</definedName>
    <definedName name="studext" localSheetId="4">#REF!</definedName>
    <definedName name="studext">#REF!</definedName>
    <definedName name="studext_1">"$#REF!.$I$49"</definedName>
    <definedName name="studext_2" localSheetId="4">#REF!</definedName>
    <definedName name="studext_2">#REF!</definedName>
    <definedName name="studext_3" localSheetId="4">#REF!</definedName>
    <definedName name="studext_3">#REF!</definedName>
    <definedName name="studext_4" localSheetId="4">#REF!</definedName>
    <definedName name="studext_4">#REF!</definedName>
    <definedName name="STUDEXT1" localSheetId="4">#REF!</definedName>
    <definedName name="STUDEXT1">#REF!</definedName>
    <definedName name="Subject" localSheetId="4">#REF!</definedName>
    <definedName name="Subject">#REF!</definedName>
    <definedName name="sumana" localSheetId="4">#REF!</definedName>
    <definedName name="sumana">#REF!</definedName>
    <definedName name="SumCur" localSheetId="4">#REF!</definedName>
    <definedName name="SumCur">#REF!</definedName>
    <definedName name="SumEuro" localSheetId="4">#REF!</definedName>
    <definedName name="SumEuro">#REF!</definedName>
    <definedName name="surcharge" localSheetId="4">#REF!</definedName>
    <definedName name="surcharge">#REF!</definedName>
    <definedName name="sw" localSheetId="4">#REF!</definedName>
    <definedName name="sw">#REF!</definedName>
    <definedName name="SW_lic" localSheetId="4">#REF!</definedName>
    <definedName name="SW_lic">#REF!</definedName>
    <definedName name="SW_type" localSheetId="4">#REF!</definedName>
    <definedName name="SW_type">#REF!</definedName>
    <definedName name="swf">"$#REF!.$#REF!$#REF!"</definedName>
    <definedName name="Switch_Router" localSheetId="4">#REF!</definedName>
    <definedName name="Switch_Router">#REF!</definedName>
    <definedName name="Sy" localSheetId="4">#REF!</definedName>
    <definedName name="Sy">#REF!</definedName>
    <definedName name="Sy_1">"$#REF!.$I$271"</definedName>
    <definedName name="Sy_2" localSheetId="4">#REF!</definedName>
    <definedName name="Sy_2">#REF!</definedName>
    <definedName name="Sy_3" localSheetId="4">#REF!</definedName>
    <definedName name="Sy_3">#REF!</definedName>
    <definedName name="Sy_4" localSheetId="4">#REF!</definedName>
    <definedName name="Sy_4">#REF!</definedName>
    <definedName name="Syn_coefrex" localSheetId="4">#REF!</definedName>
    <definedName name="Syn_coefrex">#REF!</definedName>
    <definedName name="Syn_rexcible" localSheetId="4">#REF!</definedName>
    <definedName name="Syn_rexcible">#REF!</definedName>
    <definedName name="SysName" localSheetId="4">#REF!</definedName>
    <definedName name="SysName">#REF!</definedName>
    <definedName name="SysSerNum" localSheetId="4">#REF!</definedName>
    <definedName name="SysSerNum">#REF!</definedName>
    <definedName name="System" localSheetId="4">#REF!</definedName>
    <definedName name="System">#REF!</definedName>
    <definedName name="System_Role" localSheetId="1">'[57]Data Domains'!$C$2:$C$11</definedName>
    <definedName name="System_Role" localSheetId="4">'[57]Data Domains'!$C$2:$C$11</definedName>
    <definedName name="System_Role" localSheetId="0">'[57]Data Domains'!$C$2:$C$11</definedName>
    <definedName name="System_Role">'[58]Data Domains'!$C$2:$C$11</definedName>
    <definedName name="SystemName" localSheetId="1">#REF!</definedName>
    <definedName name="SystemName" localSheetId="4">#REF!</definedName>
    <definedName name="SystemName">#REF!</definedName>
    <definedName name="T" localSheetId="4">#REF!</definedName>
    <definedName name="T">#REF!</definedName>
    <definedName name="t_1">"$#REF!.$I$19"</definedName>
    <definedName name="t_2" localSheetId="4">#REF!</definedName>
    <definedName name="t_2">#REF!</definedName>
    <definedName name="t_3" localSheetId="4">#REF!</definedName>
    <definedName name="t_3">#REF!</definedName>
    <definedName name="t_4" localSheetId="4">#REF!</definedName>
    <definedName name="t_4">#REF!</definedName>
    <definedName name="T_Face" localSheetId="4">#REF!</definedName>
    <definedName name="T_Face">#REF!</definedName>
    <definedName name="tab" localSheetId="4">#REF!</definedName>
    <definedName name="tab">#REF!</definedName>
    <definedName name="Table" localSheetId="4">#REF!</definedName>
    <definedName name="Table">#REF!</definedName>
    <definedName name="table0" localSheetId="4">'[146]moments-table(tri)'!$A$746:$E$885</definedName>
    <definedName name="table0">#REF!</definedName>
    <definedName name="table0.2" localSheetId="4">'[146]moments-table(tri)'!$A$601:$E$740</definedName>
    <definedName name="table0.2">#REF!</definedName>
    <definedName name="table0.4" localSheetId="4">'[146]moments-table(tri)'!$A$456:$E$595</definedName>
    <definedName name="table0.4">#REF!</definedName>
    <definedName name="table0.6" localSheetId="4">'[146]moments-table(tri)'!$A$307:$E$446</definedName>
    <definedName name="table0.6">#REF!</definedName>
    <definedName name="table0.8" localSheetId="4">'[146]moments-table(tri)'!$A$162:$E$301</definedName>
    <definedName name="table0.8">#REF!</definedName>
    <definedName name="table1" localSheetId="4">'[4]SPT vs PHI'!$E$2:$F$47</definedName>
    <definedName name="table1">#REF!</definedName>
    <definedName name="TABLE2" localSheetId="4">#REF!</definedName>
    <definedName name="TABLE2">#REF!</definedName>
    <definedName name="table3" localSheetId="4">#REF!</definedName>
    <definedName name="table3">#REF!</definedName>
    <definedName name="table4" localSheetId="4">#REF!</definedName>
    <definedName name="table4">#REF!</definedName>
    <definedName name="table5" localSheetId="4">#REF!</definedName>
    <definedName name="table5">#REF!</definedName>
    <definedName name="table6" localSheetId="4">#REF!</definedName>
    <definedName name="table6">#REF!</definedName>
    <definedName name="table7" localSheetId="4">#REF!</definedName>
    <definedName name="table7">#REF!</definedName>
    <definedName name="table8" localSheetId="4">#REF!</definedName>
    <definedName name="table8">#REF!</definedName>
    <definedName name="table9" localSheetId="4">#REF!</definedName>
    <definedName name="table9">#REF!</definedName>
    <definedName name="TableRange" localSheetId="4">#REF!</definedName>
    <definedName name="TableRange">#REF!</definedName>
    <definedName name="tav" localSheetId="4">#REF!</definedName>
    <definedName name="tav">#REF!</definedName>
    <definedName name="Tax">'[53]Master data'!$B$37:$C$50</definedName>
    <definedName name="TaxesTable" localSheetId="1">[47]Summary!$H$22:$I$31</definedName>
    <definedName name="TaxesTable" localSheetId="4">[47]Summary!$H$22:$I$31</definedName>
    <definedName name="TaxesTable" localSheetId="0">#REF!</definedName>
    <definedName name="TaxesTable">[48]Summary!$H$22:$I$31</definedName>
    <definedName name="tbs" localSheetId="4">#REF!</definedName>
    <definedName name="tbs">#REF!</definedName>
    <definedName name="tcol" localSheetId="4">#REF!</definedName>
    <definedName name="tcol">#REF!</definedName>
    <definedName name="TCSserviceMargin" localSheetId="1">[47]Summary!$F$26</definedName>
    <definedName name="TCSserviceMargin" localSheetId="4">[47]Summary!$F$26</definedName>
    <definedName name="TCSserviceMargin" localSheetId="0">#REF!</definedName>
    <definedName name="TCSserviceMargin">[48]Summary!$F$26</definedName>
    <definedName name="technov" localSheetId="1" hidden="1">{"'LTITL'!$A$1:$P$35"}</definedName>
    <definedName name="technov" localSheetId="4" hidden="1">{"'LTITL'!$A$1:$P$35"}</definedName>
    <definedName name="technov" localSheetId="0" hidden="1">{"'LTITL'!$A$1:$P$35"}</definedName>
    <definedName name="technov" hidden="1">{"'LTITL'!$A$1:$P$35"}</definedName>
    <definedName name="tedge" localSheetId="4">#REF!</definedName>
    <definedName name="tedge">#REF!</definedName>
    <definedName name="temp" localSheetId="1" hidden="1">{#N/A,#N/A,TRUE,"Front";#N/A,#N/A,TRUE,"Simple Letter";#N/A,#N/A,TRUE,"Inside";#N/A,#N/A,TRUE,"Contents";#N/A,#N/A,TRUE,"Basis";#N/A,#N/A,TRUE,"Inclusions";#N/A,#N/A,TRUE,"Exclusions";#N/A,#N/A,TRUE,"Areas";#N/A,#N/A,TRUE,"Summary";#N/A,#N/A,TRUE,"Detail"}</definedName>
    <definedName name="temp" localSheetId="4"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1">"$#REF!.$I$19"</definedName>
    <definedName name="temp_2" localSheetId="4">#REF!</definedName>
    <definedName name="temp_2">#REF!</definedName>
    <definedName name="temp_3" localSheetId="4">#REF!</definedName>
    <definedName name="temp_3">#REF!</definedName>
    <definedName name="temp_4" localSheetId="4">#REF!</definedName>
    <definedName name="temp_4">#REF!</definedName>
    <definedName name="temp1" localSheetId="1" hidden="1">{#N/A,#N/A,TRUE,"Front";#N/A,#N/A,TRUE,"Simple Letter";#N/A,#N/A,TRUE,"Inside";#N/A,#N/A,TRUE,"Contents";#N/A,#N/A,TRUE,"Basis";#N/A,#N/A,TRUE,"Inclusions";#N/A,#N/A,TRUE,"Exclusions";#N/A,#N/A,TRUE,"Areas";#N/A,#N/A,TRUE,"Summary";#N/A,#N/A,TRUE,"Detail"}</definedName>
    <definedName name="temp1" localSheetId="4"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RGDF" localSheetId="4">#REF!</definedName>
    <definedName name="TERGDF">#REF!</definedName>
    <definedName name="Term" localSheetId="1">[106]Reference!$M$19:$M$30</definedName>
    <definedName name="Term">[107]Reference!$M$19:$M$30</definedName>
    <definedName name="Terms" localSheetId="4">#REF!</definedName>
    <definedName name="Terms">#REF!</definedName>
    <definedName name="TEs">"$#REF!.$B$82"</definedName>
    <definedName name="test" localSheetId="1">'[147]d-safe specs'!#REF!</definedName>
    <definedName name="test" localSheetId="4">'[147]d-safe specs'!#REF!</definedName>
    <definedName name="test">'[147]d-safe specs'!#REF!</definedName>
    <definedName name="test1" localSheetId="1" hidden="1">{#N/A,#N/A,TRUE,"Overall";#N/A,#N/A,TRUE,"Region Wise ";#N/A,#N/A,TRUE,"Client Wise"}</definedName>
    <definedName name="test1" localSheetId="4" hidden="1">{#N/A,#N/A,TRUE,"Overall";#N/A,#N/A,TRUE,"Region Wise ";#N/A,#N/A,TRUE,"Client Wise"}</definedName>
    <definedName name="test1" localSheetId="0" hidden="1">{#N/A,#N/A,TRUE,"Overall";#N/A,#N/A,TRUE,"Region Wise ";#N/A,#N/A,TRUE,"Client Wise"}</definedName>
    <definedName name="test1" hidden="1">{#N/A,#N/A,TRUE,"Overall";#N/A,#N/A,TRUE,"Region Wise ";#N/A,#N/A,TRUE,"Client Wise"}</definedName>
    <definedName name="TEt">"$#REF!.$B$73"</definedName>
    <definedName name="TextRefCopy1" localSheetId="1">#REF!</definedName>
    <definedName name="TextRefCopy1" localSheetId="4">#REF!</definedName>
    <definedName name="TextRefCopy1">#REF!</definedName>
    <definedName name="TextRefCopy10" localSheetId="4">#REF!</definedName>
    <definedName name="TextRefCopy10">#REF!</definedName>
    <definedName name="TextRefCopy11" localSheetId="4">#REF!</definedName>
    <definedName name="TextRefCopy11">#REF!</definedName>
    <definedName name="TextRefCopy12" localSheetId="4">#REF!</definedName>
    <definedName name="TextRefCopy12">#REF!</definedName>
    <definedName name="TextRefCopy13" localSheetId="4">#REF!</definedName>
    <definedName name="TextRefCopy13">#REF!</definedName>
    <definedName name="TextRefCopy2" localSheetId="4">#REF!</definedName>
    <definedName name="TextRefCopy2">#REF!</definedName>
    <definedName name="TextRefCopy20" localSheetId="4">#REF!</definedName>
    <definedName name="TextRefCopy20">#REF!</definedName>
    <definedName name="TextRefCopy21" localSheetId="4">#REF!</definedName>
    <definedName name="TextRefCopy21">#REF!</definedName>
    <definedName name="TextRefCopy22" localSheetId="4">#REF!</definedName>
    <definedName name="TextRefCopy22">#REF!</definedName>
    <definedName name="TextRefCopy23" localSheetId="4">#REF!</definedName>
    <definedName name="TextRefCopy23">#REF!</definedName>
    <definedName name="TextRefCopy3" localSheetId="4">#REF!</definedName>
    <definedName name="TextRefCopy3">#REF!</definedName>
    <definedName name="TextRefCopy4" localSheetId="4">#REF!</definedName>
    <definedName name="TextRefCopy4">#REF!</definedName>
    <definedName name="TextRefCopy5" localSheetId="4">#REF!</definedName>
    <definedName name="TextRefCopy5">#REF!</definedName>
    <definedName name="TextRefCopy6" localSheetId="4">#REF!</definedName>
    <definedName name="TextRefCopy6">#REF!</definedName>
    <definedName name="TextRefCopy7" localSheetId="4">#REF!</definedName>
    <definedName name="TextRefCopy7">#REF!</definedName>
    <definedName name="TextRefCopy8" localSheetId="4">#REF!</definedName>
    <definedName name="TextRefCopy8">#REF!</definedName>
    <definedName name="TextRefCopy9" localSheetId="4">#REF!</definedName>
    <definedName name="TextRefCopy9">#REF!</definedName>
    <definedName name="TextRefCopyRangeCount" hidden="1">2</definedName>
    <definedName name="Threshold" localSheetId="1">#REF!</definedName>
    <definedName name="Threshold" localSheetId="4">#REF!</definedName>
    <definedName name="Threshold">#REF!</definedName>
    <definedName name="ti" localSheetId="1">#REF!</definedName>
    <definedName name="ti" localSheetId="4">#REF!</definedName>
    <definedName name="ti">#REF!</definedName>
    <definedName name="TicmarkLegend">[148]PL!$L$11</definedName>
    <definedName name="Tier" localSheetId="1">#REF!</definedName>
    <definedName name="Tier" localSheetId="4">#REF!</definedName>
    <definedName name="Tier">#REF!</definedName>
    <definedName name="tii" localSheetId="1">#REF!</definedName>
    <definedName name="tii" localSheetId="4">#REF!</definedName>
    <definedName name="tii">#REF!</definedName>
    <definedName name="TIT" localSheetId="4">#REF!</definedName>
    <definedName name="TIT">#REF!</definedName>
    <definedName name="Title1" localSheetId="4">#REF!</definedName>
    <definedName name="Title1">#REF!</definedName>
    <definedName name="Title2" localSheetId="4">#REF!</definedName>
    <definedName name="Title2">#REF!</definedName>
    <definedName name="Tittle1" localSheetId="4">#REF!</definedName>
    <definedName name="Tittle1">#REF!</definedName>
    <definedName name="TK">"$#REF!.$#REF!$#REF!"</definedName>
    <definedName name="Tkl">"$#REF!.$#REF!$#REF!"</definedName>
    <definedName name="tnd_server_compute_requirement_cores" localSheetId="0">[149]Calculations!$H$203</definedName>
    <definedName name="tnd_server_compute_requirement_cores">[150]Calculations!$H$203</definedName>
    <definedName name="tnd_server_disk_performance_requirement_iops" localSheetId="0">[149]Calculations!$H$206</definedName>
    <definedName name="tnd_server_disk_performance_requirement_iops">[150]Calculations!$H$206</definedName>
    <definedName name="tnd_server_disk_throughput_requirement_mib_s" localSheetId="0">[149]Calculations!$H$207</definedName>
    <definedName name="tnd_server_disk_throughput_requirement_mib_s">[150]Calculations!$H$207</definedName>
    <definedName name="tnd_server_memory_requirement_gib" localSheetId="0">[149]Calculations!$H$204</definedName>
    <definedName name="tnd_server_memory_requirement_gib">[150]Calculations!$H$204</definedName>
    <definedName name="tnd_server_storage_requirement_gb" localSheetId="0">[149]Calculations!$H$205</definedName>
    <definedName name="tnd_server_storage_requirement_gb">[150]Calculations!$H$205</definedName>
    <definedName name="tol" localSheetId="1">#REF!</definedName>
    <definedName name="tol" localSheetId="4">#REF!</definedName>
    <definedName name="tol">#REF!</definedName>
    <definedName name="Toll_plaza">[50]Input!$B$10</definedName>
    <definedName name="topl" localSheetId="4">#REF!</definedName>
    <definedName name="topl">#REF!</definedName>
    <definedName name="topn" localSheetId="4">#REF!</definedName>
    <definedName name="topn">#REF!</definedName>
    <definedName name="TopPackage" localSheetId="4">#REF!</definedName>
    <definedName name="TopPackage">#REF!</definedName>
    <definedName name="Tot" localSheetId="1">[151]EMLWorkstations!$O$4:$O$36+[151]EMLLaptops!$R$4:$R$37+[151]EMLServers!$Q$6:$Q$21+#REF!</definedName>
    <definedName name="Tot" localSheetId="4">[152]EMLWorkstations!$O$4:$O$36+[152]EMLLaptops!$R$4:$R$37+[152]EMLServers!$Q$6:$Q$21+#REF!</definedName>
    <definedName name="Tot">[152]EMLWorkstations!$O$4:$O$36+[152]EMLLaptops!$R$4:$R$37+[152]EMLServers!$Q$6:$Q$21+#REF!</definedName>
    <definedName name="TOT_ST" localSheetId="1">'[153]PRICE BID'!$G$14</definedName>
    <definedName name="TOT_ST" localSheetId="0">#REF!</definedName>
    <definedName name="TOT_ST">'[154]PRICE BID'!$G$14</definedName>
    <definedName name="TOTAL_GSTORAGE" localSheetId="1">#REF!</definedName>
    <definedName name="TOTAL_GSTORAGE" localSheetId="4">#REF!</definedName>
    <definedName name="TOTAL_GSTORAGE">#REF!</definedName>
    <definedName name="TOTAL_INVOICE" localSheetId="1">'[155]Sizing Assumptions'!$C$7</definedName>
    <definedName name="TOTAL_INVOICE" localSheetId="4">'[155]Sizing Assumptions'!$C$7</definedName>
    <definedName name="TOTAL_INVOICE" localSheetId="0">#REF!</definedName>
    <definedName name="TOTAL_INVOICE">'[156]Sizing Assumptions'!$C$7</definedName>
    <definedName name="TotalPrice" localSheetId="1">#REF!</definedName>
    <definedName name="TotalPrice" localSheetId="4">#REF!</definedName>
    <definedName name="TotalPrice">#REF!</definedName>
    <definedName name="TotNvorklkg" localSheetId="1">#REF!</definedName>
    <definedName name="TotNvorklkg" localSheetId="4">[26]BALAN1!$F$17</definedName>
    <definedName name="TotNvorklkg">#REF!</definedName>
    <definedName name="TotNvorklmg" localSheetId="4">[26]BALAN1!$F$18</definedName>
    <definedName name="TotNvorklmg">#REF!</definedName>
    <definedName name="TPHint" localSheetId="4">#REF!</definedName>
    <definedName name="TPHint">#REF!</definedName>
    <definedName name="TPR" localSheetId="4">#REF!</definedName>
    <definedName name="TPR">#REF!</definedName>
    <definedName name="TPR_1">"$#REF!.$I$21"</definedName>
    <definedName name="TPR_2" localSheetId="4">#REF!</definedName>
    <definedName name="TPR_2">#REF!</definedName>
    <definedName name="TPR_3" localSheetId="4">#REF!</definedName>
    <definedName name="TPR_3">#REF!</definedName>
    <definedName name="TPR_4" localSheetId="4">#REF!</definedName>
    <definedName name="TPR_4">#REF!</definedName>
    <definedName name="tr" localSheetId="4">#REF!</definedName>
    <definedName name="tr">#REF!</definedName>
    <definedName name="TRADEIN_SECTION" localSheetId="1">[9]Sachin!#REF!</definedName>
    <definedName name="TRADEIN_SECTION" localSheetId="4">[21]Sachin!#REF!</definedName>
    <definedName name="TRADEIN_SECTION" localSheetId="0">[21]Sachin!#REF!</definedName>
    <definedName name="TRADEIN_SECTION">[9]Sachin!#REF!</definedName>
    <definedName name="TRADEIN_SECTION_TOTAL" localSheetId="1">[9]Sachin!#REF!</definedName>
    <definedName name="TRADEIN_SECTION_TOTAL" localSheetId="4">[21]Sachin!#REF!</definedName>
    <definedName name="TRADEIN_SECTION_TOTAL" localSheetId="0">[21]Sachin!#REF!</definedName>
    <definedName name="TRADEIN_SECTION_TOTAL">[9]Sachin!#REF!</definedName>
    <definedName name="Tres">"$#REF!.$K$144"</definedName>
    <definedName name="tres4">"$#REF!.$D$148"</definedName>
    <definedName name="Truck_lay_bay">[27]Input!$B$18</definedName>
    <definedName name="ts" localSheetId="4">#REF!</definedName>
    <definedName name="ts">#REF!</definedName>
    <definedName name="ts_1">"$#REF!.$I$96"</definedName>
    <definedName name="ts_2" localSheetId="4">#REF!</definedName>
    <definedName name="ts_2">#REF!</definedName>
    <definedName name="ts_3" localSheetId="4">#REF!</definedName>
    <definedName name="ts_3">#REF!</definedName>
    <definedName name="ts_4" localSheetId="4">#REF!</definedName>
    <definedName name="ts_4">#REF!</definedName>
    <definedName name="tsfb" localSheetId="4">#REF!</definedName>
    <definedName name="tsfb">#REF!</definedName>
    <definedName name="tshirts" localSheetId="4">#REF!</definedName>
    <definedName name="tshirts">#REF!</definedName>
    <definedName name="tsl" localSheetId="4">#REF!</definedName>
    <definedName name="tsl">#REF!</definedName>
    <definedName name="TSNO" localSheetId="4">#REF!</definedName>
    <definedName name="TSNO">#REF!</definedName>
    <definedName name="tsswd" localSheetId="4">#REF!</definedName>
    <definedName name="tsswd">#REF!</definedName>
    <definedName name="tsw" localSheetId="4">#REF!</definedName>
    <definedName name="tsw">#REF!</definedName>
    <definedName name="tt" localSheetId="4">#REF!</definedName>
    <definedName name="tt">#REF!</definedName>
    <definedName name="ty" localSheetId="4">#REF!</definedName>
    <definedName name="ty">#REF!</definedName>
    <definedName name="Type" localSheetId="4">'[157]Maintenance Work Order'!#REF!</definedName>
    <definedName name="type" localSheetId="0">#REF!</definedName>
    <definedName name="Type">'[157]Maintenance Work Order'!#REF!</definedName>
    <definedName name="Type3" localSheetId="1">#REF!</definedName>
    <definedName name="Type3" localSheetId="4">#REF!</definedName>
    <definedName name="Type3">#REF!</definedName>
    <definedName name="tyty" localSheetId="4">#REF!</definedName>
    <definedName name="tyty">#REF!</definedName>
    <definedName name="u" localSheetId="4">#REF!</definedName>
    <definedName name="u">#REF!</definedName>
    <definedName name="U_SAPS">#N/A</definedName>
    <definedName name="UCTable" localSheetId="4">#REF!</definedName>
    <definedName name="UCTable">#REF!</definedName>
    <definedName name="ui" localSheetId="4">#REF!</definedName>
    <definedName name="ui">#REF!</definedName>
    <definedName name="ulenx" localSheetId="4">#REF!</definedName>
    <definedName name="ulenx">#REF!</definedName>
    <definedName name="uleny" localSheetId="4">#REF!</definedName>
    <definedName name="uleny">#REF!</definedName>
    <definedName name="uniexp" localSheetId="4">#REF!</definedName>
    <definedName name="uniexp">#REF!</definedName>
    <definedName name="uniexp1" localSheetId="4">#REF!</definedName>
    <definedName name="uniexp1">#REF!</definedName>
    <definedName name="Unit" localSheetId="4">#REF!</definedName>
    <definedName name="Unit" localSheetId="0">[75]Choices!$G$32:$G$41</definedName>
    <definedName name="Unit">[76]Choices!$G$32:$G$41</definedName>
    <definedName name="Uo">"$#REF!.$#REF!$39"</definedName>
    <definedName name="UPTable" comment="Unit Price table for lookup values" localSheetId="4">#REF!</definedName>
    <definedName name="UPTable" comment="Unit Price table for lookup values">#REF!</definedName>
    <definedName name="Urban_stretch">[27]Input!$B$8</definedName>
    <definedName name="usd">"$#REF!.$#REF!$#REF!"</definedName>
    <definedName name="Use_Alternates" localSheetId="4">#REF!</definedName>
    <definedName name="Use_Alternates">#REF!</definedName>
    <definedName name="User_Score" localSheetId="1">[36]Controls!$C$10:$C$14</definedName>
    <definedName name="User_Score" localSheetId="0">#REF!</definedName>
    <definedName name="User_Score">[37]Controls!$C$10:$C$14</definedName>
    <definedName name="UserCompany" localSheetId="1">#REF!</definedName>
    <definedName name="UserCompany" localSheetId="4">#REF!</definedName>
    <definedName name="UserCompany">#REF!</definedName>
    <definedName name="UserEmail" localSheetId="4">#REF!</definedName>
    <definedName name="UserEmail">#REF!</definedName>
    <definedName name="UserFax" localSheetId="4">#REF!</definedName>
    <definedName name="UserFax">#REF!</definedName>
    <definedName name="UserFSC" localSheetId="4">#REF!</definedName>
    <definedName name="UserFSC">#REF!</definedName>
    <definedName name="UserName" localSheetId="4">#REF!</definedName>
    <definedName name="UserName">#REF!</definedName>
    <definedName name="UserStreet" localSheetId="4">#REF!</definedName>
    <definedName name="UserStreet">#REF!</definedName>
    <definedName name="UserTel" localSheetId="4">#REF!</definedName>
    <definedName name="UserTel">#REF!</definedName>
    <definedName name="UserTown" localSheetId="4">#REF!</definedName>
    <definedName name="UserTown">#REF!</definedName>
    <definedName name="usrPeriod" localSheetId="4">[158]Ref!$A$4</definedName>
    <definedName name="usrPeriod" localSheetId="0">#REF!</definedName>
    <definedName name="usrPeriod">[159]Ref!$A$4</definedName>
    <definedName name="usrUnitDesc" localSheetId="4">[158]Ref!$A$3</definedName>
    <definedName name="usrUnitDesc" localSheetId="0">#REF!</definedName>
    <definedName name="usrUnitDesc">[159]Ref!$A$3</definedName>
    <definedName name="usrWholeYear" localSheetId="4">[158]Ref!$A$6</definedName>
    <definedName name="usrWholeYear" localSheetId="0">#REF!</definedName>
    <definedName name="usrWholeYear">[159]Ref!$A$6</definedName>
    <definedName name="Utility_Name" localSheetId="1">#REF!</definedName>
    <definedName name="Utility_Name" localSheetId="4">#REF!</definedName>
    <definedName name="Utility_Name">#REF!</definedName>
    <definedName name="uuuu" localSheetId="1">#REF!</definedName>
    <definedName name="uuuu" localSheetId="4">#REF!</definedName>
    <definedName name="uuuu">#REF!</definedName>
    <definedName name="ValueSubType" localSheetId="4">#REF!</definedName>
    <definedName name="ValueSubType" localSheetId="0">#REF!</definedName>
    <definedName name="ValueSubType">#REF!</definedName>
    <definedName name="ValueType" localSheetId="4">#REF!</definedName>
    <definedName name="ValueType" localSheetId="0">#REF!</definedName>
    <definedName name="ValueType">#REF!</definedName>
    <definedName name="ValueType1">[108]Config!$F$2:$F$8</definedName>
    <definedName name="ValueTypesub">[108]Config!$G$2:$G$5</definedName>
    <definedName name="valve2" localSheetId="4">#REF!</definedName>
    <definedName name="valve2" localSheetId="0">#REF!</definedName>
    <definedName name="valve2">#REF!</definedName>
    <definedName name="valve3" localSheetId="4">#REF!</definedName>
    <definedName name="valve3" localSheetId="0">#REF!</definedName>
    <definedName name="valve3">#REF!</definedName>
    <definedName name="ValveCfg" localSheetId="4">#REF!</definedName>
    <definedName name="ValveCfg">#REF!</definedName>
    <definedName name="ValveCloseoff" localSheetId="4">#REF!</definedName>
    <definedName name="ValveCloseoff">#REF!</definedName>
    <definedName name="ValveCode" localSheetId="4">#REF!</definedName>
    <definedName name="ValveCode">#REF!</definedName>
    <definedName name="ValveConn" localSheetId="4">#REF!</definedName>
    <definedName name="ValveConn">#REF!</definedName>
    <definedName name="ValveCv" localSheetId="4">#REF!</definedName>
    <definedName name="ValveCv">#REF!</definedName>
    <definedName name="ValveFlow" localSheetId="4">#REF!</definedName>
    <definedName name="ValveFlow">#REF!</definedName>
    <definedName name="ValveFP" localSheetId="4">#REF!</definedName>
    <definedName name="ValveFP">#REF!</definedName>
    <definedName name="ValveQty" localSheetId="4">#REF!</definedName>
    <definedName name="ValveQty">#REF!</definedName>
    <definedName name="valves" localSheetId="4">#REF!</definedName>
    <definedName name="valves" localSheetId="0">#REF!</definedName>
    <definedName name="valves">#REF!</definedName>
    <definedName name="ValveSize" localSheetId="4">#REF!</definedName>
    <definedName name="ValveSize">#REF!</definedName>
    <definedName name="vatf" localSheetId="4">#REF!</definedName>
    <definedName name="vatf">#REF!</definedName>
    <definedName name="VC" localSheetId="4">#REF!</definedName>
    <definedName name="VC">#REF!</definedName>
    <definedName name="Vendor" localSheetId="4">#REF!</definedName>
    <definedName name="Vendor" localSheetId="0">#REF!</definedName>
    <definedName name="Vendor">#REF!</definedName>
    <definedName name="vendor1">[108]Config!$AA$2:$AA$24</definedName>
    <definedName name="Version" localSheetId="1">#REF!</definedName>
    <definedName name="Version" localSheetId="4">#REF!</definedName>
    <definedName name="Version">#REF!</definedName>
    <definedName name="VersionText" localSheetId="4">#REF!</definedName>
    <definedName name="VersionText">#REF!</definedName>
    <definedName name="Vertical" localSheetId="4">#REF!</definedName>
    <definedName name="Vertical" localSheetId="0">#REF!</definedName>
    <definedName name="Vertical">#REF!</definedName>
    <definedName name="Vertical1">[108]Config!$J$2:$J$100</definedName>
    <definedName name="Vfour">"$#REF!.$D$264"</definedName>
    <definedName name="VIDEO_BRATE" localSheetId="4">#REF!</definedName>
    <definedName name="VIDEO_BRATE">#REF!</definedName>
    <definedName name="VIDEO_FRATE" localSheetId="4">#REF!</definedName>
    <definedName name="VIDEO_FRATE">#REF!</definedName>
    <definedName name="VILAS" localSheetId="4">#REF!</definedName>
    <definedName name="VILAS">#REF!</definedName>
    <definedName name="Virtualization" localSheetId="4">#REF!</definedName>
    <definedName name="Virtualization">#REF!</definedName>
    <definedName name="VKDIFF">"$#REF!.$F$27"</definedName>
    <definedName name="VKDP">"$#REF!.$F$36"</definedName>
    <definedName name="VKREF">"$#REF!.$F$18"</definedName>
    <definedName name="VLOOKUP_Values" localSheetId="1">'[160]Technology Assessment'!$F$47:$G$85</definedName>
    <definedName name="VLOOKUP_Values" localSheetId="0">#REF!</definedName>
    <definedName name="VLOOKUP_Values">'[161]Technology Assessment'!$F$47:$G$85</definedName>
    <definedName name="VM_Environment" localSheetId="0">[75]Choices!$A$39:$A$43</definedName>
    <definedName name="VM_Environment">[76]Choices!$A$39:$A$43</definedName>
    <definedName name="Vone">"$#REF!.$D$201"</definedName>
    <definedName name="vonnector1">'[53]Master data'!$B$14:$C$15</definedName>
    <definedName name="vra" localSheetId="1">#REF!</definedName>
    <definedName name="vra" localSheetId="4">#REF!</definedName>
    <definedName name="vra">#REF!</definedName>
    <definedName name="vtc" localSheetId="4">#REF!</definedName>
    <definedName name="vtc">#REF!</definedName>
    <definedName name="vthree">"$#REF!.$K$212"</definedName>
    <definedName name="Vtwo">"$#REF!.$#REF!$205"</definedName>
    <definedName name="Vtwo1">"$#REF!.$G$234"</definedName>
    <definedName name="vu_bfr_option" localSheetId="4">'[120]Structure du projet'!#REF!</definedName>
    <definedName name="vu_bfr_option">#REF!</definedName>
    <definedName name="VUP">[27]Input!$B$26</definedName>
    <definedName name="vv" localSheetId="4">#REF!</definedName>
    <definedName name="vv" localSheetId="0">#REF!</definedName>
    <definedName name="vv">#REF!</definedName>
    <definedName name="VVCX" localSheetId="4">#REF!</definedName>
    <definedName name="VVCX">#REF!</definedName>
    <definedName name="vxvxc" localSheetId="4">#REF!</definedName>
    <definedName name="vxvxc">#REF!</definedName>
    <definedName name="vxvxvcxv" localSheetId="4">#REF!</definedName>
    <definedName name="vxvxvcxv">#REF!</definedName>
    <definedName name="Vz" localSheetId="4">#REF!</definedName>
    <definedName name="Vz">#REF!</definedName>
    <definedName name="Vz_1">"$#REF!.$I$170"</definedName>
    <definedName name="Vz_2" localSheetId="4">#REF!</definedName>
    <definedName name="Vz_2">#REF!</definedName>
    <definedName name="Vz_3" localSheetId="4">#REF!</definedName>
    <definedName name="Vz_3">#REF!</definedName>
    <definedName name="Vz_4" localSheetId="4">#REF!</definedName>
    <definedName name="Vz_4">#REF!</definedName>
    <definedName name="w" localSheetId="1" hidden="1">'[162]mdd &amp; co Fdr jan.02 '!$A$33:$M$147</definedName>
    <definedName name="w" localSheetId="4" hidden="1">'[162]mdd &amp; co Fdr jan.02 '!$A$33:$M$147</definedName>
    <definedName name="w" localSheetId="0" hidden="1">'[163]mdd &amp; co Fdr jan.02 '!$A$33:$M$147</definedName>
    <definedName name="w" hidden="1">'[164]mdd &amp; co Fdr jan.02 '!$A$33:$M$147</definedName>
    <definedName name="wa" localSheetId="1">#REF!</definedName>
    <definedName name="wa" localSheetId="4">#REF!</definedName>
    <definedName name="wa">#REF!</definedName>
    <definedName name="Waiting">"Picture 1"</definedName>
    <definedName name="WarrantyCountry" localSheetId="1">#REF!</definedName>
    <definedName name="WarrantyCountry" localSheetId="4">#REF!</definedName>
    <definedName name="WarrantyCountry">#REF!</definedName>
    <definedName name="WAS_ND">"$#REF!.$#REF!$7"</definedName>
    <definedName name="WAS_SE">"$#REF!.$#REF!$6"</definedName>
    <definedName name="wbs" localSheetId="4">#REF!</definedName>
    <definedName name="wbs">#REF!</definedName>
    <definedName name="WBSSHORT" localSheetId="4">#REF!</definedName>
    <definedName name="WBSSHORT">#REF!</definedName>
    <definedName name="WBSTEXT" localSheetId="4">#REF!</definedName>
    <definedName name="WBSTEXT">#REF!</definedName>
    <definedName name="WDW" localSheetId="4">#REF!</definedName>
    <definedName name="WDW">#REF!</definedName>
    <definedName name="we" localSheetId="4">#REF!</definedName>
    <definedName name="we">#REF!</definedName>
    <definedName name="Wg">"$#REF!.$#REF!$33"</definedName>
    <definedName name="WLS_SE">"$#REF!.$#REF!$8"</definedName>
    <definedName name="work" localSheetId="4">#REF!</definedName>
    <definedName name="work">#REF!</definedName>
    <definedName name="working1" localSheetId="1">#REF!</definedName>
    <definedName name="working1" localSheetId="4">#REF!</definedName>
    <definedName name="working1">#REF!</definedName>
    <definedName name="works_range" localSheetId="4">#REF!</definedName>
    <definedName name="works_range">#REF!</definedName>
    <definedName name="WorksheetYear5" localSheetId="1" hidden="1">{#N/A,#N/A,TRUE,"Overall";#N/A,#N/A,TRUE,"Region Wise ";#N/A,#N/A,TRUE,"Client Wise"}</definedName>
    <definedName name="WorksheetYear5" localSheetId="4" hidden="1">{#N/A,#N/A,TRUE,"Overall";#N/A,#N/A,TRUE,"Region Wise ";#N/A,#N/A,TRUE,"Client Wise"}</definedName>
    <definedName name="WorksheetYear5" localSheetId="0" hidden="1">{#N/A,#N/A,TRUE,"Overall";#N/A,#N/A,TRUE,"Region Wise ";#N/A,#N/A,TRUE,"Client Wise"}</definedName>
    <definedName name="WorksheetYear5" hidden="1">{#N/A,#N/A,TRUE,"Overall";#N/A,#N/A,TRUE,"Region Wise ";#N/A,#N/A,TRUE,"Client Wise"}</definedName>
    <definedName name="wrn.Full._.Report." localSheetId="1"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IS._.Report._.for._.Sept01." localSheetId="1" hidden="1">{"YTD Profitability",#N/A,FALSE,"Dash Board";"Manpower-Sept",#N/A,FALSE,"Dash Board";"Consolidated-Q2",#N/A,FALSE,"Dash Board"}</definedName>
    <definedName name="wrn.MIS._.Report._.for._.Sept01." localSheetId="4" hidden="1">{"YTD Profitability",#N/A,FALSE,"Dash Board";"Manpower-Sept",#N/A,FALSE,"Dash Board";"Consolidated-Q2",#N/A,FALSE,"Dash Board"}</definedName>
    <definedName name="wrn.MIS._.Report._.for._.Sept01." localSheetId="0" hidden="1">{"YTD Profitability",#N/A,FALSE,"Dash Board";"Manpower-Sept",#N/A,FALSE,"Dash Board";"Consolidated-Q2",#N/A,FALSE,"Dash Board"}</definedName>
    <definedName name="wrn.MIS._.Report._.for._.Sept01." hidden="1">{"YTD Profitability",#N/A,FALSE,"Dash Board";"Manpower-Sept",#N/A,FALSE,"Dash Board";"Consolidated-Q2",#N/A,FALSE,"Dash Board"}</definedName>
    <definedName name="wrn.ReadMe." localSheetId="1" hidden="1">{#N/A,#N/A,FALSE,"Schedule-Cost";#N/A,#N/A,FALSE,"Estimates-Unit_Level";#N/A,#N/A,FALSE,"ComplexityBasedUnitEfforts";#N/A,#N/A,FALSE,"Unit Cost";#N/A,#N/A,FALSE,"ComplexityAnalysis"}</definedName>
    <definedName name="wrn.ReadMe." localSheetId="4" hidden="1">{#N/A,#N/A,FALSE,"Schedule-Cost";#N/A,#N/A,FALSE,"Estimates-Unit_Level";#N/A,#N/A,FALSE,"ComplexityBasedUnitEfforts";#N/A,#N/A,FALSE,"Unit Cost";#N/A,#N/A,FALSE,"ComplexityAnalysis"}</definedName>
    <definedName name="wrn.ReadMe." localSheetId="0" hidden="1">{#N/A,#N/A,FALSE,"Schedule-Cost";#N/A,#N/A,FALSE,"Estimates-Unit_Level";#N/A,#N/A,FALSE,"ComplexityBasedUnitEfforts";#N/A,#N/A,FALSE,"Unit Cost";#N/A,#N/A,FALSE,"ComplexityAnalysis"}</definedName>
    <definedName name="wrn.ReadMe." hidden="1">{#N/A,#N/A,FALSE,"Schedule-Cost";#N/A,#N/A,FALSE,"Estimates-Unit_Level";#N/A,#N/A,FALSE,"ComplexityBasedUnitEfforts";#N/A,#N/A,FALSE,"Unit Cost";#N/A,#N/A,FALSE,"ComplexityAnalysis"}</definedName>
    <definedName name="ww" localSheetId="4">#REF!</definedName>
    <definedName name="ww">#REF!</definedName>
    <definedName name="wwww" localSheetId="4">#REF!</definedName>
    <definedName name="wwww">#REF!</definedName>
    <definedName name="X" localSheetId="4">#REF!</definedName>
    <definedName name="X">#REF!</definedName>
    <definedName name="X_CQuelleBiopurC" localSheetId="4">[26]BALAN1!$I$27</definedName>
    <definedName name="X_CQuelleBiopurC">#REF!</definedName>
    <definedName name="X255QTY" localSheetId="1">([2]xSeries255:'[165]xSeries306'!$D$13:$D$42,[2]xSeries255:'[165]xSeries306'!$D$45:$D$421)</definedName>
    <definedName name="X255QTY" localSheetId="4">([2]xSeries255:'[165]xSeries306'!$D$13:$D$42,[2]xSeries255:'[165]xSeries306'!$D$45:$D$421)</definedName>
    <definedName name="X255QTY" localSheetId="0">([2]xSeries255:'[165]xSeries306'!$D$13:$D$42,[2]xSeries255:'[165]xSeries306'!$D$45:$D$421)</definedName>
    <definedName name="X255QTY">([2]xSeries255:'[165]xSeries306'!$D$13:$D$42,[2]xSeries255:'[165]xSeries306'!$D$45:$D$421)</definedName>
    <definedName name="X255QTZ" localSheetId="1">([2]xSeries255:'[165]xSeries306'!$D$13:$D$42,[2]xSeries255:'[165]xSeries306'!$D$45:$D$421)</definedName>
    <definedName name="X255QTZ" localSheetId="4">([2]xSeries255:'[165]xSeries306'!$D$13:$D$42,[2]xSeries255:'[165]xSeries306'!$D$45:$D$421)</definedName>
    <definedName name="X255QTZ" localSheetId="0">([2]xSeries255:'[165]xSeries306'!$D$13:$D$42,[2]xSeries255:'[165]xSeries306'!$D$45:$D$421)</definedName>
    <definedName name="X255QTZ">([2]xSeries255:'[165]xSeries306'!$D$13:$D$42,[2]xSeries255:'[165]xSeries306'!$D$45:$D$421)</definedName>
    <definedName name="xi" localSheetId="1">#REF!</definedName>
    <definedName name="xi" localSheetId="4">#REF!</definedName>
    <definedName name="xi">#REF!</definedName>
    <definedName name="xii" localSheetId="1">#REF!</definedName>
    <definedName name="xii" localSheetId="4">#REF!</definedName>
    <definedName name="xii">#REF!</definedName>
    <definedName name="xiii" localSheetId="4">#REF!</definedName>
    <definedName name="xiii">#REF!</definedName>
    <definedName name="XREF_COLUMN_1" localSheetId="4" hidden="1">#REF!</definedName>
    <definedName name="XREF_COLUMN_1" hidden="1">#REF!</definedName>
    <definedName name="XREF_COLUMN_2" localSheetId="4" hidden="1">#REF!</definedName>
    <definedName name="XREF_COLUMN_2" hidden="1">#REF!</definedName>
    <definedName name="XREF_COLUMN_4" localSheetId="4" hidden="1">#REF!</definedName>
    <definedName name="XREF_COLUMN_4" hidden="1">#REF!</definedName>
    <definedName name="XRefColumnsCount" hidden="1">12</definedName>
    <definedName name="XRefCopy1" localSheetId="1" hidden="1">#REF!</definedName>
    <definedName name="XRefCopy1" localSheetId="4" hidden="1">#REF!</definedName>
    <definedName name="XRefCopy1" hidden="1">#REF!</definedName>
    <definedName name="XRefCopy16Row" localSheetId="4" hidden="1">#REF!</definedName>
    <definedName name="XRefCopy16Row" hidden="1">#REF!</definedName>
    <definedName name="XRefCopy1Row" localSheetId="4" hidden="1">#REF!</definedName>
    <definedName name="XRefCopy1Row" hidden="1">#REF!</definedName>
    <definedName name="XRefCopy2" localSheetId="4" hidden="1">#REF!</definedName>
    <definedName name="XRefCopy2" hidden="1">#REF!</definedName>
    <definedName name="XRefCopy3" localSheetId="4" hidden="1">#REF!</definedName>
    <definedName name="XRefCopy3" hidden="1">#REF!</definedName>
    <definedName name="XRefCopy4" localSheetId="4" hidden="1">#REF!</definedName>
    <definedName name="XRefCopy4" hidden="1">#REF!</definedName>
    <definedName name="XRefCopy5" localSheetId="4" hidden="1">#REF!</definedName>
    <definedName name="XRefCopy5" hidden="1">#REF!</definedName>
    <definedName name="XRefCopy5Row" localSheetId="4" hidden="1">#REF!</definedName>
    <definedName name="XRefCopy5Row" hidden="1">#REF!</definedName>
    <definedName name="XRefCopy6" localSheetId="4" hidden="1">#REF!</definedName>
    <definedName name="XRefCopy6" hidden="1">#REF!</definedName>
    <definedName name="XRefCopy6Row" localSheetId="4" hidden="1">#REF!</definedName>
    <definedName name="XRefCopy6Row" hidden="1">#REF!</definedName>
    <definedName name="XRefCopy7" localSheetId="4" hidden="1">#REF!</definedName>
    <definedName name="XRefCopy7" hidden="1">#REF!</definedName>
    <definedName name="XRefCopy7Row" localSheetId="1" hidden="1">[166]XREF!#REF!</definedName>
    <definedName name="XRefCopy7Row" localSheetId="4" hidden="1">[166]XREF!#REF!</definedName>
    <definedName name="XRefCopy7Row" hidden="1">[166]XREF!#REF!</definedName>
    <definedName name="XRefCopyRangeCount" hidden="1">7</definedName>
    <definedName name="XRefPaste1" localSheetId="1" hidden="1">#REF!</definedName>
    <definedName name="XRefPaste1" localSheetId="4" hidden="1">#REF!</definedName>
    <definedName name="XRefPaste1" hidden="1">#REF!</definedName>
    <definedName name="XRefPaste10" localSheetId="4" hidden="1">#REF!</definedName>
    <definedName name="XRefPaste10" hidden="1">#REF!</definedName>
    <definedName name="XRefPaste10Row" localSheetId="4" hidden="1">#REF!</definedName>
    <definedName name="XRefPaste10Row" hidden="1">#REF!</definedName>
    <definedName name="XRefPaste11" localSheetId="4" hidden="1">#REF!</definedName>
    <definedName name="XRefPaste11" hidden="1">#REF!</definedName>
    <definedName name="XRefPaste110Row" localSheetId="1" hidden="1">[166]XREF!#REF!</definedName>
    <definedName name="XRefPaste110Row" localSheetId="4" hidden="1">[166]XREF!#REF!</definedName>
    <definedName name="XRefPaste110Row" hidden="1">[166]XREF!#REF!</definedName>
    <definedName name="XRefPaste111Row" localSheetId="1" hidden="1">[166]XREF!#REF!</definedName>
    <definedName name="XRefPaste111Row" localSheetId="4" hidden="1">[166]XREF!#REF!</definedName>
    <definedName name="XRefPaste111Row" hidden="1">[166]XREF!#REF!</definedName>
    <definedName name="XRefPaste112Row" localSheetId="1" hidden="1">[166]XREF!#REF!</definedName>
    <definedName name="XRefPaste112Row" localSheetId="4" hidden="1">[166]XREF!#REF!</definedName>
    <definedName name="XRefPaste112Row" hidden="1">[166]XREF!#REF!</definedName>
    <definedName name="XRefPaste113Row" localSheetId="1" hidden="1">[166]XREF!#REF!</definedName>
    <definedName name="XRefPaste113Row" localSheetId="4" hidden="1">[166]XREF!#REF!</definedName>
    <definedName name="XRefPaste113Row" hidden="1">[166]XREF!#REF!</definedName>
    <definedName name="XRefPaste11Row" localSheetId="1" hidden="1">#REF!</definedName>
    <definedName name="XRefPaste11Row" localSheetId="4" hidden="1">#REF!</definedName>
    <definedName name="XRefPaste11Row" hidden="1">#REF!</definedName>
    <definedName name="XRefPaste12" localSheetId="4" hidden="1">#REF!</definedName>
    <definedName name="XRefPaste12" hidden="1">#REF!</definedName>
    <definedName name="XRefPaste120Row" localSheetId="1" hidden="1">[166]XREF!#REF!</definedName>
    <definedName name="XRefPaste120Row" localSheetId="4" hidden="1">[166]XREF!#REF!</definedName>
    <definedName name="XRefPaste120Row" hidden="1">[166]XREF!#REF!</definedName>
    <definedName name="XRefPaste121Row" localSheetId="1" hidden="1">[166]XREF!#REF!</definedName>
    <definedName name="XRefPaste121Row" localSheetId="4" hidden="1">[166]XREF!#REF!</definedName>
    <definedName name="XRefPaste121Row" hidden="1">[166]XREF!#REF!</definedName>
    <definedName name="XRefPaste12Row" localSheetId="1" hidden="1">#REF!</definedName>
    <definedName name="XRefPaste12Row" localSheetId="4" hidden="1">#REF!</definedName>
    <definedName name="XRefPaste12Row" hidden="1">#REF!</definedName>
    <definedName name="XRefPaste13" localSheetId="4" hidden="1">#REF!</definedName>
    <definedName name="XRefPaste13" hidden="1">#REF!</definedName>
    <definedName name="XRefPaste13Row" localSheetId="4" hidden="1">#REF!</definedName>
    <definedName name="XRefPaste13Row" hidden="1">#REF!</definedName>
    <definedName name="XRefPaste14" localSheetId="4" hidden="1">#REF!</definedName>
    <definedName name="XRefPaste14" hidden="1">#REF!</definedName>
    <definedName name="XRefPaste14Row" localSheetId="4" hidden="1">#REF!</definedName>
    <definedName name="XRefPaste14Row" hidden="1">#REF!</definedName>
    <definedName name="XRefPaste15" localSheetId="4" hidden="1">#REF!</definedName>
    <definedName name="XRefPaste15" hidden="1">#REF!</definedName>
    <definedName name="XRefPaste15Row" localSheetId="4" hidden="1">#REF!</definedName>
    <definedName name="XRefPaste15Row" hidden="1">#REF!</definedName>
    <definedName name="XRefPaste2" localSheetId="4" hidden="1">#REF!</definedName>
    <definedName name="XRefPaste2" hidden="1">#REF!</definedName>
    <definedName name="XRefPaste3" localSheetId="4" hidden="1">#REF!</definedName>
    <definedName name="XRefPaste3" hidden="1">#REF!</definedName>
    <definedName name="XRefPaste4" localSheetId="4" hidden="1">#REF!</definedName>
    <definedName name="XRefPaste4" hidden="1">#REF!</definedName>
    <definedName name="XRefPaste5" localSheetId="4" hidden="1">#REF!</definedName>
    <definedName name="XRefPaste5" hidden="1">#REF!</definedName>
    <definedName name="XRefPaste6" localSheetId="4" hidden="1">#REF!</definedName>
    <definedName name="XRefPaste6" hidden="1">#REF!</definedName>
    <definedName name="XRefPaste6Row" localSheetId="4" hidden="1">#REF!</definedName>
    <definedName name="XRefPaste6Row" hidden="1">#REF!</definedName>
    <definedName name="XRefPaste7" localSheetId="4" hidden="1">#REF!</definedName>
    <definedName name="XRefPaste7" hidden="1">#REF!</definedName>
    <definedName name="XRefPaste7Row" localSheetId="4" hidden="1">#REF!</definedName>
    <definedName name="XRefPaste7Row" hidden="1">#REF!</definedName>
    <definedName name="XRefPaste8" localSheetId="4" hidden="1">#REF!</definedName>
    <definedName name="XRefPaste8" hidden="1">#REF!</definedName>
    <definedName name="XRefPaste8Row" localSheetId="4" hidden="1">#REF!</definedName>
    <definedName name="XRefPaste8Row" hidden="1">#REF!</definedName>
    <definedName name="XRefPaste9" localSheetId="4" hidden="1">#REF!</definedName>
    <definedName name="XRefPaste9" hidden="1">#REF!</definedName>
    <definedName name="XRefPaste9Row" localSheetId="4" hidden="1">#REF!</definedName>
    <definedName name="XRefPaste9Row" hidden="1">#REF!</definedName>
    <definedName name="XRefPasteRangeCount" hidden="1">142</definedName>
    <definedName name="XSER235" localSheetId="4">#REF!</definedName>
    <definedName name="XSER235" localSheetId="0">#REF!</definedName>
    <definedName name="XSER235">#REF!</definedName>
    <definedName name="XSER255" localSheetId="1">([2]xSeries255:'[165]xSeries306'!$A$13:$M$42,[2]xSeries255:'[165]xSeries306'!$A$45:$M$421)</definedName>
    <definedName name="XSER255" localSheetId="4">([2]xSeries255:'[165]xSeries306'!$A$13:$M$42,[2]xSeries255:'[165]xSeries306'!$A$45:$M$421)</definedName>
    <definedName name="XSER255" localSheetId="0">([2]xSeries255:'[165]xSeries306'!$A$13:$M$42,[2]xSeries255:'[165]xSeries306'!$A$45:$M$421)</definedName>
    <definedName name="XSER255">([2]xSeries255:'[165]xSeries306'!$A$13:$M$42,[2]xSeries255:'[165]xSeries306'!$A$45:$M$421)</definedName>
    <definedName name="XSER335" localSheetId="1">#REF!</definedName>
    <definedName name="XSER335" localSheetId="4">#REF!</definedName>
    <definedName name="XSER335" localSheetId="0">#REF!</definedName>
    <definedName name="XSER335">#REF!</definedName>
    <definedName name="XSER345" localSheetId="4">#REF!</definedName>
    <definedName name="XSER345" localSheetId="0">#REF!</definedName>
    <definedName name="XSER345">#REF!</definedName>
    <definedName name="XSER382" localSheetId="4">#REF!</definedName>
    <definedName name="XSER382" localSheetId="0">#REF!</definedName>
    <definedName name="XSER382">#REF!</definedName>
    <definedName name="xx" localSheetId="1" hidden="1">{#N/A,#N/A,TRUE,"Overall";#N/A,#N/A,TRUE,"Region Wise ";#N/A,#N/A,TRUE,"Client Wise"}</definedName>
    <definedName name="xx" localSheetId="4" hidden="1">{#N/A,#N/A,TRUE,"Overall";#N/A,#N/A,TRUE,"Region Wise ";#N/A,#N/A,TRUE,"Client Wise"}</definedName>
    <definedName name="xx" localSheetId="0" hidden="1">{#N/A,#N/A,TRUE,"Overall";#N/A,#N/A,TRUE,"Region Wise ";#N/A,#N/A,TRUE,"Client Wise"}</definedName>
    <definedName name="xx" hidden="1">{#N/A,#N/A,TRUE,"Overall";#N/A,#N/A,TRUE,"Region Wise ";#N/A,#N/A,TRUE,"Client Wise"}</definedName>
    <definedName name="XXX" localSheetId="1" hidden="1">{#N/A,#N/A,TRUE,"Overall";#N/A,#N/A,TRUE,"Region Wise ";#N/A,#N/A,TRUE,"Client Wise"}</definedName>
    <definedName name="XXX" localSheetId="4" hidden="1">{#N/A,#N/A,TRUE,"Overall";#N/A,#N/A,TRUE,"Region Wise ";#N/A,#N/A,TRUE,"Client Wise"}</definedName>
    <definedName name="XXX" localSheetId="0" hidden="1">{#N/A,#N/A,TRUE,"Overall";#N/A,#N/A,TRUE,"Region Wise ";#N/A,#N/A,TRUE,"Client Wise"}</definedName>
    <definedName name="XXX" hidden="1">{#N/A,#N/A,TRUE,"Overall";#N/A,#N/A,TRUE,"Region Wise ";#N/A,#N/A,TRUE,"Client Wise"}</definedName>
    <definedName name="xxxx" localSheetId="4">#REF!</definedName>
    <definedName name="xxxx">#REF!</definedName>
    <definedName name="XZCVXFSDF">"$#REF!.$#REF!$#REF!"</definedName>
    <definedName name="y" localSheetId="4">#REF!</definedName>
    <definedName name="y">#REF!</definedName>
    <definedName name="Year" localSheetId="1">#REF!</definedName>
    <definedName name="Year" localSheetId="4">#REF!</definedName>
    <definedName name="Year">#REF!</definedName>
    <definedName name="Year0" localSheetId="1">[47]Sheet1!$B$6:$C$20</definedName>
    <definedName name="Year0" localSheetId="4">[47]Sheet1!$B$6:$C$20</definedName>
    <definedName name="Year0" localSheetId="0">#REF!</definedName>
    <definedName name="Year0">[48]Sheet1!$B$6:$C$20</definedName>
    <definedName name="Year1" localSheetId="1">[47]Sheet1!$B$22:$C$36</definedName>
    <definedName name="Year1" localSheetId="4">[47]Sheet1!$B$22:$C$36</definedName>
    <definedName name="Year1" localSheetId="0">[107]Reference!$D$22:$D$25</definedName>
    <definedName name="Year1">[48]Sheet1!$B$22:$C$36</definedName>
    <definedName name="Year10" localSheetId="1">[47]Sheet1!$B$166:$C$180</definedName>
    <definedName name="Year10" localSheetId="4">[47]Sheet1!$B$166:$C$180</definedName>
    <definedName name="Year10" localSheetId="0">#REF!</definedName>
    <definedName name="Year10">[48]Sheet1!$B$166:$C$180</definedName>
    <definedName name="Year11" localSheetId="1">[47]Sheet1!$B$182:$C$196</definedName>
    <definedName name="Year11" localSheetId="4">[47]Sheet1!$B$182:$C$196</definedName>
    <definedName name="Year11" localSheetId="0">#REF!</definedName>
    <definedName name="Year11">[48]Sheet1!$B$182:$C$196</definedName>
    <definedName name="Year2" localSheetId="1">[47]Sheet1!$B$38:$C$52</definedName>
    <definedName name="Year2" localSheetId="4">[47]Sheet1!$B$38:$C$52</definedName>
    <definedName name="Year2" localSheetId="0">#REF!</definedName>
    <definedName name="Year2">[48]Sheet1!$B$38:$C$52</definedName>
    <definedName name="Year3" localSheetId="1">[47]Sheet1!$B$54:$C$68</definedName>
    <definedName name="Year3" localSheetId="4">[47]Sheet1!$B$54:$C$68</definedName>
    <definedName name="Year3" localSheetId="0">#REF!</definedName>
    <definedName name="Year3">[48]Sheet1!$B$54:$C$68</definedName>
    <definedName name="Year4" localSheetId="1">[47]Sheet1!$B$70:$C$84</definedName>
    <definedName name="Year4" localSheetId="4">[47]Sheet1!$B$70:$C$84</definedName>
    <definedName name="Year4" localSheetId="0">#REF!</definedName>
    <definedName name="Year4">[48]Sheet1!$B$70:$C$84</definedName>
    <definedName name="Year5" localSheetId="1">[47]Sheet1!$B$86:$C$100</definedName>
    <definedName name="Year5" localSheetId="4">[47]Sheet1!$B$86:$C$100</definedName>
    <definedName name="Year5" localSheetId="0">#REF!</definedName>
    <definedName name="Year5">[48]Sheet1!$B$86:$C$100</definedName>
    <definedName name="Year6" localSheetId="1">[47]Sheet1!$B$102:$C$116</definedName>
    <definedName name="Year6" localSheetId="4">[47]Sheet1!$B$102:$C$116</definedName>
    <definedName name="Year6" localSheetId="0">#REF!</definedName>
    <definedName name="Year6">[48]Sheet1!$B$102:$C$116</definedName>
    <definedName name="Year7" localSheetId="1">[47]Sheet1!$B$118:$C$132</definedName>
    <definedName name="Year7" localSheetId="4">[47]Sheet1!$B$118:$C$132</definedName>
    <definedName name="Year7" localSheetId="0">#REF!</definedName>
    <definedName name="Year7">[48]Sheet1!$B$118:$C$132</definedName>
    <definedName name="Year8" localSheetId="1">[47]Sheet1!$B$134:$C$148</definedName>
    <definedName name="Year8" localSheetId="4">[47]Sheet1!$B$134:$C$148</definedName>
    <definedName name="Year8" localSheetId="0">#REF!</definedName>
    <definedName name="Year8">[48]Sheet1!$B$134:$C$148</definedName>
    <definedName name="Year9" localSheetId="1">[47]Sheet1!$B$150:$C$164</definedName>
    <definedName name="Year9" localSheetId="4">[47]Sheet1!$B$150:$C$164</definedName>
    <definedName name="Year9" localSheetId="0">#REF!</definedName>
    <definedName name="Year9">[48]Sheet1!$B$150:$C$164</definedName>
    <definedName name="YES" localSheetId="1">#REF!</definedName>
    <definedName name="YES" localSheetId="4">#REF!</definedName>
    <definedName name="YES">#REF!</definedName>
    <definedName name="YES_Contingency" localSheetId="1">[47]Sheet2!$B$206</definedName>
    <definedName name="YES_Contingency" localSheetId="4">[47]Sheet2!$B$206</definedName>
    <definedName name="YES_Contingency" localSheetId="0">#REF!</definedName>
    <definedName name="YES_Contingency">[48]Sheet2!$B$206</definedName>
    <definedName name="ys" localSheetId="1">#REF!</definedName>
    <definedName name="ys" localSheetId="4">#REF!</definedName>
    <definedName name="ys">#REF!</definedName>
    <definedName name="ys_1">"$#REF!.$I$117"</definedName>
    <definedName name="ys_2" localSheetId="4">#REF!</definedName>
    <definedName name="ys_2">#REF!</definedName>
    <definedName name="ys_3" localSheetId="4">#REF!</definedName>
    <definedName name="ys_3">#REF!</definedName>
    <definedName name="ys_4" localSheetId="4">#REF!</definedName>
    <definedName name="ys_4">#REF!</definedName>
    <definedName name="yty" localSheetId="4">#REF!</definedName>
    <definedName name="yty">#REF!</definedName>
    <definedName name="yu" localSheetId="4">#REF!</definedName>
    <definedName name="yu">#REF!</definedName>
    <definedName name="yxcyxc" localSheetId="4">#REF!</definedName>
    <definedName name="yxcyxc">#REF!</definedName>
    <definedName name="Z" localSheetId="4">#REF!</definedName>
    <definedName name="Z">#REF!</definedName>
    <definedName name="Z_ED32C521_2B6F_11D6_9967_009027BE6DFE_.wvu.Rows" localSheetId="4" hidden="1">#REF!,#REF!,#REF!,#REF!,#REF!,#REF!,#REF!</definedName>
    <definedName name="Z_ED32C521_2B6F_11D6_9967_009027BE6DFE_.wvu.Rows" hidden="1">#REF!,#REF!,#REF!,#REF!,#REF!,#REF!,#REF!</definedName>
    <definedName name="Zins_Garantee" localSheetId="4">#REF!</definedName>
    <definedName name="Zins_Garantee">#REF!</definedName>
    <definedName name="Zins_Monat" localSheetId="4">#REF!</definedName>
    <definedName name="Zins_Monat">#REF!</definedName>
    <definedName name="Zinz_ÖKB" localSheetId="4">#REF!</definedName>
    <definedName name="Zinz_ÖKB">#REF!</definedName>
    <definedName name="zitd">"$#REF!.$#REF!$#REF!"</definedName>
    <definedName name="zxczxczxc" localSheetId="4">#REF!</definedName>
    <definedName name="zxczxczxc">#REF!</definedName>
    <definedName name="ZXFVXCVXCV">"$#REF!.$#REF!$#REF!"</definedName>
    <definedName name="zxZx" localSheetId="4">#REF!</definedName>
    <definedName name="zxZx">#REF!</definedName>
    <definedName name="zxzxzxxx" localSheetId="4">#REF!</definedName>
    <definedName name="zxzxzxxx">#REF!</definedName>
    <definedName name="ZY">"$#REF!.$H$62"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15" l="1"/>
  <c r="G21" i="15"/>
  <c r="F21" i="15"/>
  <c r="G20" i="15"/>
  <c r="G22" i="15" s="1"/>
  <c r="F18" i="15"/>
  <c r="D18" i="15"/>
  <c r="F15" i="15"/>
  <c r="F13" i="15"/>
  <c r="F12" i="15"/>
  <c r="D8" i="15"/>
  <c r="F8" i="15" s="1"/>
  <c r="M6" i="15"/>
  <c r="E6" i="15"/>
  <c r="F6" i="15" s="1"/>
  <c r="F20" i="15" s="1"/>
  <c r="F22" i="15" s="1"/>
  <c r="E12" i="11" s="1"/>
  <c r="G12" i="11" s="1"/>
  <c r="G13" i="11" s="1"/>
  <c r="C6" i="15"/>
  <c r="J13" i="13"/>
  <c r="J11" i="13"/>
  <c r="J28" i="13" s="1"/>
  <c r="J30" i="13" s="1"/>
  <c r="I9" i="4"/>
  <c r="H30" i="12"/>
  <c r="I28" i="12"/>
  <c r="I30" i="12" s="1"/>
  <c r="H28" i="12"/>
  <c r="E11" i="4"/>
  <c r="E9" i="4"/>
  <c r="E19" i="4" l="1"/>
  <c r="G11" i="6"/>
  <c r="D19" i="4"/>
  <c r="L7" i="4"/>
  <c r="K7" i="4"/>
  <c r="J7" i="4"/>
  <c r="L6" i="4"/>
  <c r="K6" i="4"/>
  <c r="J6" i="4"/>
  <c r="B7" i="4"/>
  <c r="B6" i="4"/>
  <c r="D22" i="4"/>
  <c r="E7" i="4" l="1"/>
  <c r="C6" i="4"/>
  <c r="E6" i="4"/>
  <c r="C7" i="4"/>
  <c r="K9" i="4"/>
  <c r="L9" i="4"/>
  <c r="J9" i="4"/>
  <c r="G6" i="6" l="1"/>
  <c r="G7" i="6"/>
  <c r="G8" i="6"/>
  <c r="E12" i="4" s="1"/>
  <c r="F12" i="4" s="1"/>
  <c r="G26" i="4"/>
  <c r="G20" i="6"/>
  <c r="K3" i="4" l="1"/>
  <c r="L3" i="4"/>
  <c r="G25" i="6" l="1"/>
  <c r="E23" i="4" s="1"/>
  <c r="G24" i="6"/>
  <c r="E22" i="4" s="1"/>
  <c r="G23" i="6"/>
  <c r="G22" i="6"/>
  <c r="E20" i="4" s="1"/>
  <c r="G21" i="6"/>
  <c r="G19" i="6"/>
  <c r="G17" i="6"/>
  <c r="G16" i="6"/>
  <c r="G15" i="6"/>
  <c r="G13" i="6"/>
  <c r="G10" i="6"/>
  <c r="G5" i="6"/>
  <c r="E14" i="4" l="1"/>
  <c r="J3" i="4"/>
  <c r="E16" i="4"/>
  <c r="E17" i="4"/>
  <c r="E21" i="4"/>
  <c r="F7" i="4" l="1"/>
  <c r="F17" i="4"/>
  <c r="F16" i="4"/>
  <c r="F14" i="4"/>
  <c r="D9" i="4"/>
  <c r="F9" i="4" s="1"/>
  <c r="F21" i="4" l="1"/>
  <c r="F19" i="4"/>
  <c r="F23" i="4"/>
  <c r="F22" i="4"/>
  <c r="F20" i="4"/>
  <c r="F11" i="4" l="1"/>
  <c r="F6" i="4"/>
  <c r="F27" i="4"/>
  <c r="F26" i="4" l="1"/>
  <c r="F28" i="4" s="1"/>
  <c r="E11" i="11" s="1"/>
  <c r="G11" i="11" l="1"/>
  <c r="G27" i="4"/>
  <c r="G28" i="4" l="1"/>
  <c r="H11" i="11" s="1"/>
  <c r="H13" i="11" s="1"/>
  <c r="G15" i="11" s="1"/>
</calcChain>
</file>

<file path=xl/sharedStrings.xml><?xml version="1.0" encoding="utf-8"?>
<sst xmlns="http://schemas.openxmlformats.org/spreadsheetml/2006/main" count="481" uniqueCount="208">
  <si>
    <t>RAM</t>
  </si>
  <si>
    <t>Storage</t>
  </si>
  <si>
    <t>Services</t>
  </si>
  <si>
    <t>ESDS Cloud Hosting Services - Primary Site (DC Site)</t>
  </si>
  <si>
    <t>Compute</t>
  </si>
  <si>
    <t>Environment</t>
  </si>
  <si>
    <t>Hosting Components</t>
  </si>
  <si>
    <t>vCores</t>
  </si>
  <si>
    <t>HDD</t>
  </si>
  <si>
    <t>OS</t>
  </si>
  <si>
    <t>DB</t>
  </si>
  <si>
    <t>A.1</t>
  </si>
  <si>
    <t>eNlight Cloud Hosting</t>
  </si>
  <si>
    <t>Unit</t>
  </si>
  <si>
    <t>Cost/Unit</t>
  </si>
  <si>
    <t>MRC</t>
  </si>
  <si>
    <t>OTC</t>
  </si>
  <si>
    <t>Comment</t>
  </si>
  <si>
    <t>No</t>
  </si>
  <si>
    <t>GB</t>
  </si>
  <si>
    <t>NA</t>
  </si>
  <si>
    <t>A.2</t>
  </si>
  <si>
    <t>Software Licenses</t>
  </si>
  <si>
    <t>Backup Agent</t>
  </si>
  <si>
    <t>A.3</t>
  </si>
  <si>
    <t xml:space="preserve">Backup </t>
  </si>
  <si>
    <t>A.4</t>
  </si>
  <si>
    <t>Security Services</t>
  </si>
  <si>
    <t>A.5</t>
  </si>
  <si>
    <t>Network Connectivity Services</t>
  </si>
  <si>
    <t>A.6</t>
  </si>
  <si>
    <t>Managed Hosting Services</t>
  </si>
  <si>
    <t xml:space="preserve">Operating System Management Services </t>
  </si>
  <si>
    <t>Storage Management Services -Per TB</t>
  </si>
  <si>
    <t>Backup management</t>
  </si>
  <si>
    <t>vFirewall Management Services</t>
  </si>
  <si>
    <t>eMagic Cloud Monitoring Softwares</t>
  </si>
  <si>
    <t>NO.</t>
  </si>
  <si>
    <t xml:space="preserve">DESCRIPTION </t>
  </si>
  <si>
    <t xml:space="preserve">MRC </t>
  </si>
  <si>
    <t>Infrastructure (A.1 + A.2 + A.3+A.4 +A.5)</t>
  </si>
  <si>
    <t>Managed Services (A.6)</t>
  </si>
  <si>
    <t>Total Monthly Service Pay Without Taxes (A.1 + A.2 + A.3 + A.4 +A.5 +A.6)</t>
  </si>
  <si>
    <t xml:space="preserve">Discount Sheet </t>
  </si>
  <si>
    <t>Enterprise Storage &amp; Backup Space (IaaS)</t>
  </si>
  <si>
    <t>UNIT</t>
  </si>
  <si>
    <t>Price/UNIT</t>
  </si>
  <si>
    <t>DISCOUNT (%)</t>
  </si>
  <si>
    <t>Iaas</t>
  </si>
  <si>
    <t>vCPU</t>
  </si>
  <si>
    <t>vRAM</t>
  </si>
  <si>
    <t>B.2</t>
  </si>
  <si>
    <t>Software as Service (SaaS)</t>
  </si>
  <si>
    <t>Security As Service</t>
  </si>
  <si>
    <t>Service</t>
  </si>
  <si>
    <t xml:space="preserve">Network as Service </t>
  </si>
  <si>
    <t>Unmetered Internet Bandwidth at Datacenter Site</t>
  </si>
  <si>
    <t>Public IP</t>
  </si>
  <si>
    <t xml:space="preserve">Cross Connect + Port Termination - 1 Gbps Fiber Port </t>
  </si>
  <si>
    <t>B.3</t>
  </si>
  <si>
    <t>Infra Monitoring and Mgmt and Other Services</t>
  </si>
  <si>
    <t>Operating System Management</t>
  </si>
  <si>
    <t>MSSQL Database Managed Services (Up to 100 GB)</t>
  </si>
  <si>
    <t>Storage Management</t>
  </si>
  <si>
    <t xml:space="preserve">Backup Management - </t>
  </si>
  <si>
    <t>Security Management Service (Firewall)</t>
  </si>
  <si>
    <t xml:space="preserve">eMagic basic Monitoring </t>
  </si>
  <si>
    <t>PostgresSQL Database Managed Services Up to 100 GB</t>
  </si>
  <si>
    <t xml:space="preserve">Public IP </t>
  </si>
  <si>
    <r>
      <t xml:space="preserve">Internet Bandwidth </t>
    </r>
    <r>
      <rPr>
        <sz val="11"/>
        <color rgb="FFFF0000"/>
        <rFont val="Calibri"/>
        <family val="2"/>
        <scheme val="minor"/>
      </rPr>
      <t>- (Speed Based)</t>
    </r>
  </si>
  <si>
    <t xml:space="preserve">Internal Virtual Firewall 1 Gbps throughput </t>
  </si>
  <si>
    <t>As per input</t>
  </si>
  <si>
    <t>Virtual Firewall</t>
  </si>
  <si>
    <t xml:space="preserve">Client Name        :  </t>
  </si>
  <si>
    <t xml:space="preserve">Account Lead      : </t>
  </si>
  <si>
    <t xml:space="preserve">Date                       : </t>
  </si>
  <si>
    <t>Validity                  :</t>
  </si>
  <si>
    <t xml:space="preserve">Client Name:- </t>
  </si>
  <si>
    <t>Sr. No.</t>
  </si>
  <si>
    <t>Item Wise Amounts (Exclusive of Taxes)</t>
  </si>
  <si>
    <t>Total Monthly Cost</t>
  </si>
  <si>
    <t>Duration</t>
  </si>
  <si>
    <t xml:space="preserve">Total Cost </t>
  </si>
  <si>
    <t>Data Center Site</t>
  </si>
  <si>
    <t>Total cost</t>
  </si>
  <si>
    <t>Terms &amp; Conditions:</t>
  </si>
  <si>
    <t>Price:</t>
  </si>
  <si>
    <r>
      <t xml:space="preserve">• All prices are in Indian Rupee </t>
    </r>
    <r>
      <rPr>
        <u/>
        <sz val="10"/>
        <color theme="1"/>
        <rFont val="Calibri Light"/>
        <family val="1"/>
        <scheme val="major"/>
      </rPr>
      <t>without Taxes</t>
    </r>
  </si>
  <si>
    <t>• Any change in the taxes, duties or levies due to change in government policies will be borne by the customer.</t>
  </si>
  <si>
    <t>• Billing shall start from the date of infrastructure hand-over in partial or full, irrespective of the Go-Live of the project, for e.g Dev environment is setup and released to client/partner for development activity, then the billing for the Dev enviornment will start immediately after Development environment is handed over to department / partner, similarly for any other environment, what ever is handed over, billing will start immediately after that.</t>
  </si>
  <si>
    <t>• The quote is valid for 30 days from the date of submission of offer.</t>
  </si>
  <si>
    <t>• Infrastructure setup will be done based on the finalized and approved BoM and architecture, in case any change need to be done, then it will be considerd as a change request and charges for the same will be additional.</t>
  </si>
  <si>
    <t>• Prices are composite for the total Bill of Material and may vary with change in the Bill of Material due to increase or decrease in quantity/service period at the time of ordering.</t>
  </si>
  <si>
    <t>• Software which are proposed in the BoM with default features, if any specifc features is required then the charges for the same would be extra.</t>
  </si>
  <si>
    <t>Payment Terms:</t>
  </si>
  <si>
    <t>• One Time Charges (OTC) to be paid in advance along with Purchase Order.</t>
  </si>
  <si>
    <t>• Recurring charges (RC) payable as per RFP terms. Invoice will be generated and shared.</t>
  </si>
  <si>
    <t>• No back to back dependencie on end customer's payments/payment terms.</t>
  </si>
  <si>
    <t>• Payments are due from date of receipt of invoice and payable within Ten (10) days of date of invoice. Notice for overdue invoices will be sent on 10th of the next month of unpaid invoices.</t>
  </si>
  <si>
    <t xml:space="preserve">• In case of delay in payment there will be a late fee @ 2% on invoice due. </t>
  </si>
  <si>
    <t xml:space="preserve">• Post email notice/ notification to pay over due invoices, Client will have 72 working hours time to continue enjoying uninterrupted services. </t>
  </si>
  <si>
    <t xml:space="preserve">• On completion of grace time for overdue invoices, ESDS services will be completely disconnected. </t>
  </si>
  <si>
    <t>• The services will be resume only after clearing on of all over dues as per ESDS Payment Terms and Invoice Policies.</t>
  </si>
  <si>
    <t>Assumption:</t>
  </si>
  <si>
    <r>
      <t xml:space="preserve">•  </t>
    </r>
    <r>
      <rPr>
        <sz val="11"/>
        <color theme="0" tint="-0.499984740745262"/>
        <rFont val="Calibri"/>
        <family val="2"/>
        <scheme val="minor"/>
      </rPr>
      <t>Anything that is not mentioned in the proposal/commercial/BoQ/BoM submitted by ESDS at the time of finalization of PO, will not be delivered for whatsoever reason.</t>
    </r>
  </si>
  <si>
    <r>
      <t xml:space="preserve">•  </t>
    </r>
    <r>
      <rPr>
        <sz val="11"/>
        <color theme="0" tint="-0.499984740745262"/>
        <rFont val="Calibri"/>
        <family val="2"/>
        <scheme val="minor"/>
      </rPr>
      <t>In case client requires any new or additional item/service/license except what is mentioned in the proposal, will be charged at additional prices. Rates/Prices &amp; Scope for all such additional/new requirements over and above the BoM/BoQ/Proposal submitted at the time of finalization will be additional and such Rates/Prices &amp; Scope will be submitted to client based on the actual requirement.</t>
    </r>
  </si>
  <si>
    <t>Delivery:</t>
  </si>
  <si>
    <t>• Delivery Period 2-4 weeks from the date of receipt of PO &amp; advance.</t>
  </si>
  <si>
    <t>Order to be placed on:</t>
  </si>
  <si>
    <t>ESDS Software Solution Ltd.</t>
  </si>
  <si>
    <t>Plot No. B-24 &amp; 25, NICE Industrial Area, Satpur, Nashik - 422 007</t>
  </si>
  <si>
    <t>Disclaimer:</t>
  </si>
  <si>
    <t>• Any hardware, software &amp; service which is not mentioned in the BoM won't be under ESDS Scope, if client want it to be covered then the charges for the same will be additional mutually agreed by both client and ESDS.</t>
  </si>
  <si>
    <t>• All the Compute, hardware, Network sizing is done based on the inputs received from client. If any upgradation is required then the charges for the same will be additional.</t>
  </si>
  <si>
    <t>• If there any revisions to the requirement i.e. BoQ, both technical and commercials submitted for that requirement will not be considered valid.</t>
  </si>
  <si>
    <r>
      <t>• The above data center(s) are selected as per availability of the resources at the respective facilities as on date. ESDS reserves the right to change DC/DR location within India at any point of time subjected to availability of resources, the same shall be compliant to the requirement</t>
    </r>
    <r>
      <rPr>
        <sz val="10"/>
        <color rgb="FF000000"/>
        <rFont val="Calibri Light"/>
        <family val="1"/>
        <scheme val="major"/>
      </rPr>
      <t>.</t>
    </r>
  </si>
  <si>
    <t>Ravi S</t>
  </si>
  <si>
    <t>NIPI</t>
  </si>
  <si>
    <t>Hosting cost for - Primary Site (DC)</t>
  </si>
  <si>
    <t>• ESDS has proposed DC Solution on cloud.</t>
  </si>
  <si>
    <t>• Since there is no clarity on the OS version and edition, ESDS has considered Ubuntu OS with the Community Edition. Any changes to this configuration may incur additional charges.</t>
  </si>
  <si>
    <t>• As there is no clarification on the number of public IPs required, ESDS has assumed one public IP for each VM. Any changes to this configuration may result in additional charges</t>
  </si>
  <si>
    <t>Grand total cost with Total DC- Without Taxes</t>
  </si>
  <si>
    <t>• Due to the lack of clarity regarding the existing storage setup, ESDS has assumed that all responsibilities related to data migration fall under the client's scope.</t>
  </si>
  <si>
    <t>• ESDS considered postgree DB with community edition. Any changes to this configuration may incur additional charges</t>
  </si>
  <si>
    <t>• Since there is no clarification on the total number of concurrent users, ESDS has assumed 5 Mbps of internet bandwidth. Any changes to this configuration may result in additional charges.</t>
  </si>
  <si>
    <t>• Since there is no clarification on the total backup storage required, ESDS has assumed an initial 1 TB of backup storage with agent. Any increase in storage usage will incur additional charges.</t>
  </si>
  <si>
    <t>Security</t>
  </si>
  <si>
    <t>Basic monitoring</t>
  </si>
  <si>
    <t>ESDS Software Solution Pvt Ltd.</t>
  </si>
  <si>
    <t>Plot No. B-24 &amp; 25, NICE Industrial Area, Satpur MIDC, Nashik 422007.</t>
  </si>
  <si>
    <t>Submitted To:</t>
  </si>
  <si>
    <t>Eviden India Private Limited  Smruti Ranjan Mishra</t>
  </si>
  <si>
    <t>Opportunity Title :</t>
  </si>
  <si>
    <t>Renewal PO</t>
  </si>
  <si>
    <t>Opportunity Code</t>
  </si>
  <si>
    <t>POT-13814</t>
  </si>
  <si>
    <t>Location</t>
  </si>
  <si>
    <t>Group Name</t>
  </si>
  <si>
    <t>Group Quantity</t>
  </si>
  <si>
    <t>Item Name</t>
  </si>
  <si>
    <t>Item Quantity</t>
  </si>
  <si>
    <t>Existing</t>
  </si>
  <si>
    <t>New</t>
  </si>
  <si>
    <t xml:space="preserve">Old Product ID </t>
  </si>
  <si>
    <t>CPU</t>
  </si>
  <si>
    <t>VM  Name</t>
  </si>
  <si>
    <t>IP</t>
  </si>
  <si>
    <t>New Product ID</t>
  </si>
  <si>
    <t>Remarks</t>
  </si>
  <si>
    <t>Nashik DC</t>
  </si>
  <si>
    <t>SAP ECC DEV</t>
  </si>
  <si>
    <t>1</t>
  </si>
  <si>
    <t>vCPU Static Cloud Compute</t>
  </si>
  <si>
    <t>6</t>
  </si>
  <si>
    <t>Number</t>
  </si>
  <si>
    <t>ESDS-4306-18110-eccdev</t>
  </si>
  <si>
    <t>10.9.52.196</t>
  </si>
  <si>
    <t>SUSE OS Softwares</t>
  </si>
  <si>
    <t>SAP ECC PRD</t>
  </si>
  <si>
    <t>ESDS-4306-18109-eccprd</t>
  </si>
  <si>
    <t>10.9.52.194</t>
  </si>
  <si>
    <t>Block Storage 0 3 IOPS GB</t>
  </si>
  <si>
    <t>829</t>
  </si>
  <si>
    <t>Compute Storage ST Nasik Backup Storage BS Per GB 0 3 IOPS</t>
  </si>
  <si>
    <t>2000</t>
  </si>
  <si>
    <t>Connectivity</t>
  </si>
  <si>
    <t>Speed Based Internet Bandwidth Connectivity</t>
  </si>
  <si>
    <t>10</t>
  </si>
  <si>
    <t>Mbps</t>
  </si>
  <si>
    <t>Public IP - IPv6</t>
  </si>
  <si>
    <t>2</t>
  </si>
  <si>
    <t>Security Services Virtual Firewall Fortinet VM01</t>
  </si>
  <si>
    <t>Managed Services</t>
  </si>
  <si>
    <t>SUSE OSMng Managed Services</t>
  </si>
  <si>
    <t>Virtual Firewall Internal Security Mng Managed Services</t>
  </si>
  <si>
    <t>Backup Management Managed Services</t>
  </si>
  <si>
    <t>VM</t>
  </si>
  <si>
    <t>Storage Management Per TB Storage Mng Managed Services</t>
  </si>
  <si>
    <t>TB</t>
  </si>
  <si>
    <t>5</t>
  </si>
  <si>
    <t>One Time Cost</t>
  </si>
  <si>
    <t>SUSE OS</t>
  </si>
  <si>
    <t>Additional Storage &amp; Backup Storage</t>
  </si>
  <si>
    <t>Backup storage 0.3 IOPS</t>
  </si>
  <si>
    <t>Block Storage</t>
  </si>
  <si>
    <t>Price</t>
  </si>
  <si>
    <t>Updated Price</t>
  </si>
  <si>
    <t>POT-16616</t>
  </si>
  <si>
    <t>Monthly Total Cost without Taxes (INR)</t>
  </si>
  <si>
    <t>Updated Price (MRP)</t>
  </si>
  <si>
    <t>Cloud Hosting for Primary Site</t>
  </si>
  <si>
    <t>ESDS' eNlight Community Cloud Hosting Services - Primary Site (DC Site)</t>
  </si>
  <si>
    <t>IOPS</t>
  </si>
  <si>
    <t>VM 1</t>
  </si>
  <si>
    <t>Win</t>
  </si>
  <si>
    <t>Operating System - windows core</t>
  </si>
  <si>
    <t>Virtual External Firewall 1 Gbps Throughput</t>
  </si>
  <si>
    <t>Internet Bandwidth - Speed Based</t>
  </si>
  <si>
    <t xml:space="preserve">Existing </t>
  </si>
  <si>
    <t>Antivirus</t>
  </si>
  <si>
    <t>Operating System Management Services - Windows</t>
  </si>
  <si>
    <t>Storage Management Services</t>
  </si>
  <si>
    <t>Firewall Management Services</t>
  </si>
  <si>
    <t>eMagic Cloud Monitoring</t>
  </si>
  <si>
    <t>Infrastructure (A.1 + A.2 + A.3)</t>
  </si>
  <si>
    <t>Managed Services (A.5)</t>
  </si>
  <si>
    <t xml:space="preserve">Total Monthly Service Pay Without Taxes (A.1 + A.2 + A.3 + A.4)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</si>
</sst>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General\ &quot;NO&quot;"/>
    <numFmt numFmtId="165" formatCode="_([$INR]\ * #,##0_);_([$INR]\ * \(#,##0\);_([$INR]\ * &quot;-&quot;??_);_(@_)"/>
    <numFmt numFmtId="166" formatCode="General\ &quot;No.&quot;"/>
    <numFmt numFmtId="167" formatCode="General\ &quot;GB&quot;"/>
    <numFmt numFmtId="168" formatCode="_ * #,##0.00_ ;_ * \-#,##0.00_ ;_ * &quot;-&quot;??_ ;_ @_ "/>
    <numFmt numFmtId="169" formatCode="_ [$INR]\ * #,##0.00_ ;_ [$INR]\ * \-#,##0.00_ ;_ [$INR]\ * &quot;-&quot;??_ ;_ @_ "/>
    <numFmt numFmtId="170" formatCode="General\ &quot;Mbps&quot;"/>
    <numFmt numFmtId="171" formatCode="General\ &quot;No&quot;"/>
    <numFmt numFmtId="172" formatCode="_([$INR]\ * #,##0.0_);_([$INR]\ * \(#,##0.0\);_([$INR]\ * &quot;-&quot;??_);_(@_)"/>
    <numFmt numFmtId="173" formatCode="General\ &quot;months&quot;"/>
    <numFmt numFmtId="174" formatCode="_([$INR]\ * #,##0.00_);_([$INR]\ * \(#,##0.00\);_([$INR]\ * &quot;-&quot;??_);_(@_)"/>
    <numFmt numFmtId="175" formatCode="General\ &quot;INR&quot;"/>
    <numFmt numFmtId="176" formatCode="_ [$₹-4009]\ * #,##0_ ;_ [$₹-4009]\ * \-#,##0_ ;_ [$₹-4009]\ * &quot;-&quot;??_ ;_ @_ "/>
  </numFmts>
  <fonts count="61"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i/>
      <sz val="11"/>
      <color rgb="FFFF0000"/>
      <name val="Calibri"/>
      <family val="2"/>
      <scheme val="minor"/>
    </font>
    <font>
      <b/>
      <sz val="11"/>
      <color rgb="FFFFFF00"/>
      <name val="Calibri"/>
      <family val="2"/>
      <scheme val="minor"/>
    </font>
    <font>
      <b/>
      <sz val="11"/>
      <color rgb="FFFF0000"/>
      <name val="Calibri"/>
      <family val="2"/>
      <scheme val="minor"/>
    </font>
    <font>
      <b/>
      <sz val="11"/>
      <color rgb="FF0070C0"/>
      <name val="Calibri"/>
      <family val="2"/>
      <scheme val="minor"/>
    </font>
    <font>
      <b/>
      <sz val="11"/>
      <name val="Calibri"/>
      <family val="2"/>
      <scheme val="minor"/>
    </font>
    <font>
      <sz val="11"/>
      <color rgb="FF000000"/>
      <name val="Cambria"/>
      <family val="1"/>
    </font>
    <font>
      <sz val="10"/>
      <color rgb="FFFF0000"/>
      <name val="Calibri"/>
      <family val="2"/>
      <scheme val="minor"/>
    </font>
    <font>
      <sz val="10"/>
      <color theme="1"/>
      <name val="Calibri"/>
      <family val="2"/>
      <scheme val="minor"/>
    </font>
    <font>
      <b/>
      <sz val="10"/>
      <color theme="0"/>
      <name val="Calibri"/>
      <family val="2"/>
      <scheme val="minor"/>
    </font>
    <font>
      <b/>
      <sz val="10"/>
      <color rgb="FF0070C0"/>
      <name val="Calibri"/>
      <family val="2"/>
      <scheme val="minor"/>
    </font>
    <font>
      <sz val="10"/>
      <color rgb="FF000000"/>
      <name val="Calibri"/>
      <family val="2"/>
      <scheme val="minor"/>
    </font>
    <font>
      <b/>
      <sz val="11"/>
      <color theme="4"/>
      <name val="Calibri"/>
      <family val="2"/>
      <scheme val="minor"/>
    </font>
    <font>
      <sz val="10"/>
      <color theme="1"/>
      <name val="Californian FB"/>
      <family val="2"/>
    </font>
    <font>
      <sz val="10"/>
      <name val="Times New Roman"/>
      <family val="1"/>
      <charset val="1"/>
    </font>
    <font>
      <sz val="10"/>
      <color rgb="FF0070C0"/>
      <name val="Calibri"/>
      <family val="2"/>
      <scheme val="minor"/>
    </font>
    <font>
      <sz val="11"/>
      <name val="Calibri"/>
      <family val="2"/>
      <scheme val="minor"/>
    </font>
    <font>
      <sz val="11"/>
      <name val="Calibri"/>
      <family val="2"/>
    </font>
    <font>
      <sz val="11"/>
      <color rgb="FF000000"/>
      <name val="Calibri"/>
      <family val="2"/>
      <charset val="204"/>
    </font>
    <font>
      <sz val="11"/>
      <color theme="1"/>
      <name val="Calibri Light"/>
      <family val="1"/>
      <scheme val="major"/>
    </font>
    <font>
      <b/>
      <sz val="11"/>
      <name val="Calibri Light"/>
      <family val="1"/>
      <scheme val="major"/>
    </font>
    <font>
      <sz val="11"/>
      <name val="Calibri Light"/>
      <family val="1"/>
      <scheme val="major"/>
    </font>
    <font>
      <b/>
      <u/>
      <sz val="11"/>
      <color theme="4" tint="-0.499984740745262"/>
      <name val="Calibri Light"/>
      <family val="1"/>
      <scheme val="major"/>
    </font>
    <font>
      <sz val="10"/>
      <color theme="4" tint="-0.499984740745262"/>
      <name val="Calibri Light"/>
      <family val="1"/>
      <scheme val="major"/>
    </font>
    <font>
      <b/>
      <sz val="10"/>
      <color indexed="23"/>
      <name val="Calibri Light"/>
      <family val="1"/>
      <scheme val="major"/>
    </font>
    <font>
      <sz val="10"/>
      <color indexed="23"/>
      <name val="Calibri Light"/>
      <family val="1"/>
      <scheme val="major"/>
    </font>
    <font>
      <sz val="11"/>
      <color theme="1"/>
      <name val="Cambria"/>
      <family val="2"/>
    </font>
    <font>
      <sz val="11"/>
      <color indexed="8"/>
      <name val="Calibri Light"/>
      <family val="1"/>
      <scheme val="major"/>
    </font>
    <font>
      <b/>
      <sz val="11"/>
      <color theme="1"/>
      <name val="Calibri Light"/>
      <family val="1"/>
      <scheme val="major"/>
    </font>
    <font>
      <sz val="10"/>
      <color rgb="FF000000"/>
      <name val="Times New Roman"/>
      <family val="1"/>
    </font>
    <font>
      <b/>
      <sz val="12"/>
      <color theme="0"/>
      <name val="Calibri Light"/>
      <family val="1"/>
      <scheme val="major"/>
    </font>
    <font>
      <b/>
      <sz val="12"/>
      <color theme="1"/>
      <name val="Calibri Light"/>
      <family val="1"/>
      <scheme val="major"/>
    </font>
    <font>
      <b/>
      <sz val="16"/>
      <color theme="1"/>
      <name val="Calibri Light"/>
      <family val="2"/>
      <scheme val="major"/>
    </font>
    <font>
      <b/>
      <sz val="11"/>
      <color theme="1"/>
      <name val="Calibri Light"/>
      <family val="2"/>
      <scheme val="major"/>
    </font>
    <font>
      <b/>
      <sz val="10"/>
      <color rgb="FFFF0000"/>
      <name val="Calibri Light"/>
      <family val="1"/>
      <scheme val="major"/>
    </font>
    <font>
      <b/>
      <sz val="12"/>
      <color theme="4" tint="-0.499984740745262"/>
      <name val="Calibri Light"/>
      <family val="1"/>
      <scheme val="major"/>
    </font>
    <font>
      <u/>
      <sz val="11"/>
      <color indexed="30"/>
      <name val="Calibri Light"/>
      <family val="1"/>
      <scheme val="major"/>
    </font>
    <font>
      <sz val="11"/>
      <color indexed="23"/>
      <name val="Calibri Light"/>
      <family val="1"/>
      <scheme val="major"/>
    </font>
    <font>
      <b/>
      <sz val="11"/>
      <color indexed="30"/>
      <name val="Calibri Light"/>
      <family val="1"/>
      <scheme val="major"/>
    </font>
    <font>
      <u/>
      <sz val="10"/>
      <color theme="1"/>
      <name val="Calibri Light"/>
      <family val="1"/>
      <scheme val="major"/>
    </font>
    <font>
      <sz val="10"/>
      <color theme="0" tint="-0.499984740745262"/>
      <name val="Calibri Light"/>
      <family val="1"/>
      <scheme val="major"/>
    </font>
    <font>
      <sz val="11"/>
      <color theme="0" tint="-0.499984740745262"/>
      <name val="Calibri"/>
      <family val="2"/>
      <scheme val="minor"/>
    </font>
    <font>
      <sz val="10"/>
      <color rgb="FF000000"/>
      <name val="Calibri Light"/>
      <family val="1"/>
      <scheme val="major"/>
    </font>
    <font>
      <b/>
      <sz val="10"/>
      <color theme="0" tint="-0.499984740745262"/>
      <name val="Calibri Light"/>
      <family val="2"/>
      <scheme val="major"/>
    </font>
    <font>
      <b/>
      <sz val="10"/>
      <color indexed="23"/>
      <name val="Calibri Light"/>
      <family val="2"/>
      <scheme val="major"/>
    </font>
    <font>
      <b/>
      <sz val="12"/>
      <color theme="1"/>
      <name val="Calibri Light"/>
      <family val="2"/>
      <scheme val="major"/>
    </font>
    <font>
      <sz val="11"/>
      <color rgb="FF000000"/>
      <name val="Calibri"/>
      <family val="2"/>
    </font>
    <font>
      <b/>
      <sz val="11"/>
      <color rgb="FF000000"/>
      <name val="Calibri"/>
      <family val="2"/>
    </font>
    <font>
      <b/>
      <sz val="10"/>
      <name val="Calibri"/>
      <family val="2"/>
      <scheme val="minor"/>
    </font>
    <font>
      <sz val="11"/>
      <color rgb="FFFF0000"/>
      <name val="Calibri"/>
      <family val="2"/>
    </font>
    <font>
      <sz val="6"/>
      <color rgb="FF313335"/>
      <name val="Arial"/>
      <family val="2"/>
    </font>
    <font>
      <b/>
      <sz val="12"/>
      <color rgb="FF000000"/>
      <name val="Calibri"/>
      <family val="2"/>
    </font>
    <font>
      <b/>
      <sz val="11"/>
      <color theme="4" tint="-0.499984740745262"/>
      <name val="Calibri"/>
      <family val="2"/>
      <scheme val="minor"/>
    </font>
    <font>
      <b/>
      <i/>
      <sz val="10"/>
      <color rgb="FFFF0000"/>
      <name val="Calibri"/>
      <family val="2"/>
      <scheme val="minor"/>
    </font>
    <font>
      <b/>
      <sz val="10"/>
      <color theme="1"/>
      <name val="Calibri"/>
      <family val="2"/>
      <scheme val="minor"/>
    </font>
    <font>
      <b/>
      <sz val="12"/>
      <color rgb="FFFFFF00"/>
      <name val="Calibri"/>
      <family val="2"/>
      <scheme val="minor"/>
    </font>
    <font>
      <b/>
      <sz val="10"/>
      <color rgb="FFFF00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rgb="FF0070C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A1CAF1"/>
      </patternFill>
    </fill>
    <fill>
      <patternFill patternType="solid">
        <fgColor rgb="FFFFFFFF"/>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theme="2" tint="-9.9978637043366805E-2"/>
      </left>
      <right/>
      <top/>
      <bottom/>
      <diagonal/>
    </border>
    <border>
      <left/>
      <right style="thin">
        <color indexed="64"/>
      </right>
      <top/>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indexed="64"/>
      </bottom>
      <diagonal/>
    </border>
    <border>
      <left/>
      <right style="thin">
        <color indexed="64"/>
      </right>
      <top style="thin">
        <color indexed="64"/>
      </top>
      <bottom style="thin">
        <color indexed="64"/>
      </bottom>
      <diagonal/>
    </border>
    <border>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style="thin">
        <color theme="0" tint="-0.14993743705557422"/>
      </right>
      <top style="thin">
        <color indexed="64"/>
      </top>
      <bottom style="thin">
        <color theme="0" tint="-0.14993743705557422"/>
      </bottom>
      <diagonal/>
    </border>
    <border>
      <left style="thin">
        <color theme="0" tint="-0.14993743705557422"/>
      </left>
      <right/>
      <top style="thin">
        <color indexed="64"/>
      </top>
      <bottom style="thin">
        <color theme="0" tint="-0.14993743705557422"/>
      </bottom>
      <diagonal/>
    </border>
    <border>
      <left/>
      <right/>
      <top style="thin">
        <color indexed="64"/>
      </top>
      <bottom style="thin">
        <color theme="0" tint="-0.14993743705557422"/>
      </bottom>
      <diagonal/>
    </border>
    <border>
      <left/>
      <right style="thin">
        <color theme="0" tint="-0.14993743705557422"/>
      </right>
      <top style="thin">
        <color indexed="64"/>
      </top>
      <bottom style="thin">
        <color theme="0" tint="-0.14993743705557422"/>
      </bottom>
      <diagonal/>
    </border>
    <border>
      <left style="thin">
        <color theme="0" tint="-0.14993743705557422"/>
      </left>
      <right style="thin">
        <color theme="0" tint="-0.14993743705557422"/>
      </right>
      <top style="thin">
        <color indexed="64"/>
      </top>
      <bottom style="thin">
        <color theme="0" tint="-0.14993743705557422"/>
      </bottom>
      <diagonal/>
    </border>
    <border>
      <left style="thin">
        <color theme="0" tint="-0.14993743705557422"/>
      </left>
      <right style="thin">
        <color indexed="64"/>
      </right>
      <top style="thin">
        <color indexed="64"/>
      </top>
      <bottom style="thin">
        <color theme="0" tint="-0.14993743705557422"/>
      </bottom>
      <diagonal/>
    </border>
    <border>
      <left style="thin">
        <color indexed="64"/>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indexed="64"/>
      </right>
      <top style="thin">
        <color theme="0" tint="-0.14993743705557422"/>
      </top>
      <bottom style="thin">
        <color theme="0" tint="-0.14993743705557422"/>
      </bottom>
      <diagonal/>
    </border>
    <border>
      <left style="thin">
        <color indexed="64"/>
      </left>
      <right style="thin">
        <color theme="0" tint="-0.14993743705557422"/>
      </right>
      <top style="thin">
        <color theme="0" tint="-0.14993743705557422"/>
      </top>
      <bottom style="thin">
        <color indexed="64"/>
      </bottom>
      <diagonal/>
    </border>
    <border>
      <left style="thin">
        <color theme="0" tint="-0.14993743705557422"/>
      </left>
      <right/>
      <top style="thin">
        <color theme="0" tint="-0.14993743705557422"/>
      </top>
      <bottom style="thin">
        <color indexed="64"/>
      </bottom>
      <diagonal/>
    </border>
    <border>
      <left/>
      <right/>
      <top style="thin">
        <color theme="0" tint="-0.14993743705557422"/>
      </top>
      <bottom style="thin">
        <color indexed="64"/>
      </bottom>
      <diagonal/>
    </border>
    <border>
      <left/>
      <right style="thin">
        <color theme="0" tint="-0.14993743705557422"/>
      </right>
      <top style="thin">
        <color theme="0" tint="-0.14993743705557422"/>
      </top>
      <bottom style="thin">
        <color indexed="64"/>
      </bottom>
      <diagonal/>
    </border>
    <border>
      <left style="thin">
        <color theme="0" tint="-0.14993743705557422"/>
      </left>
      <right style="thin">
        <color theme="0" tint="-0.14993743705557422"/>
      </right>
      <top style="thin">
        <color theme="0" tint="-0.14993743705557422"/>
      </top>
      <bottom style="thin">
        <color indexed="64"/>
      </bottom>
      <diagonal/>
    </border>
    <border>
      <left style="thin">
        <color theme="0" tint="-0.14993743705557422"/>
      </left>
      <right style="thin">
        <color indexed="64"/>
      </right>
      <top style="thin">
        <color theme="0" tint="-0.14993743705557422"/>
      </top>
      <bottom style="thin">
        <color indexed="64"/>
      </bottom>
      <diagonal/>
    </border>
    <border>
      <left style="thin">
        <color theme="0" tint="-0.34998626667073579"/>
      </left>
      <right style="thin">
        <color theme="4" tint="0.59996337778862885"/>
      </right>
      <top style="thin">
        <color theme="0" tint="-0.34998626667073579"/>
      </top>
      <bottom style="thin">
        <color theme="0" tint="-0.34998626667073579"/>
      </bottom>
      <diagonal/>
    </border>
    <border>
      <left style="thin">
        <color theme="4" tint="0.59996337778862885"/>
      </left>
      <right style="thin">
        <color theme="4" tint="0.59996337778862885"/>
      </right>
      <top style="thin">
        <color theme="0" tint="-0.34998626667073579"/>
      </top>
      <bottom style="thin">
        <color theme="0" tint="-0.34998626667073579"/>
      </bottom>
      <diagonal/>
    </border>
    <border>
      <left style="thin">
        <color theme="4" tint="0.59996337778862885"/>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
      <left style="thin">
        <color theme="2" tint="-9.9978637043366805E-2"/>
      </left>
      <right/>
      <top/>
      <bottom style="thin">
        <color theme="2" tint="-0.249977111117893"/>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2" tint="-9.9978637043366805E-2"/>
      </left>
      <right style="thin">
        <color theme="2" tint="-9.9978637043366805E-2"/>
      </right>
      <top style="thin">
        <color theme="2" tint="-0.249977111117893"/>
      </top>
      <bottom style="thin">
        <color theme="2" tint="-9.9978637043366805E-2"/>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s>
  <cellStyleXfs count="21">
    <xf numFmtId="0" fontId="0" fillId="0" borderId="0"/>
    <xf numFmtId="0" fontId="1" fillId="0" borderId="0"/>
    <xf numFmtId="43" fontId="1" fillId="0" borderId="0" applyFont="0" applyFill="0" applyBorder="0" applyAlignment="0" applyProtection="0"/>
    <xf numFmtId="168" fontId="1" fillId="0" borderId="0" applyFont="0" applyFill="0" applyBorder="0" applyAlignment="0" applyProtection="0"/>
    <xf numFmtId="0" fontId="1" fillId="0" borderId="0"/>
    <xf numFmtId="9" fontId="1" fillId="0" borderId="0" applyFont="0" applyFill="0" applyBorder="0" applyAlignment="0" applyProtection="0"/>
    <xf numFmtId="168" fontId="17" fillId="0" borderId="0" applyFont="0" applyFill="0" applyBorder="0" applyAlignment="0" applyProtection="0"/>
    <xf numFmtId="0" fontId="18" fillId="0" borderId="0">
      <alignment horizontal="left" vertical="top"/>
    </xf>
    <xf numFmtId="0" fontId="17" fillId="0" borderId="0"/>
    <xf numFmtId="168" fontId="17"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0" fontId="20" fillId="0" borderId="0"/>
    <xf numFmtId="0" fontId="1" fillId="0" borderId="0"/>
    <xf numFmtId="0" fontId="22" fillId="0" borderId="0"/>
    <xf numFmtId="0" fontId="30" fillId="0" borderId="0"/>
    <xf numFmtId="0" fontId="33" fillId="0" borderId="0"/>
    <xf numFmtId="0" fontId="50" fillId="0" borderId="0" applyBorder="0"/>
    <xf numFmtId="43" fontId="1" fillId="0" borderId="0" applyFont="0" applyFill="0" applyBorder="0" applyAlignment="0" applyProtection="0"/>
    <xf numFmtId="0" fontId="1" fillId="0" borderId="0"/>
  </cellStyleXfs>
  <cellXfs count="315">
    <xf numFmtId="0" fontId="0" fillId="0" borderId="0" xfId="0"/>
    <xf numFmtId="0" fontId="3" fillId="2" borderId="0" xfId="0" applyFont="1" applyFill="1" applyAlignment="1">
      <alignment horizontal="center" vertical="center"/>
    </xf>
    <xf numFmtId="0" fontId="3" fillId="2" borderId="0" xfId="0" applyFont="1" applyFill="1" applyAlignment="1">
      <alignment horizontal="left" vertical="center" wrapText="1"/>
    </xf>
    <xf numFmtId="164" fontId="5" fillId="2" borderId="0" xfId="0" applyNumberFormat="1" applyFont="1" applyFill="1" applyAlignment="1">
      <alignment horizontal="center" vertical="center"/>
    </xf>
    <xf numFmtId="165" fontId="5" fillId="2" borderId="0" xfId="0" applyNumberFormat="1" applyFont="1" applyFill="1" applyAlignment="1">
      <alignment horizontal="center" vertical="center"/>
    </xf>
    <xf numFmtId="9" fontId="3" fillId="2" borderId="0" xfId="0" applyNumberFormat="1" applyFont="1" applyFill="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left"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xf>
    <xf numFmtId="0" fontId="4" fillId="4" borderId="0" xfId="0" applyFont="1" applyFill="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165" fontId="2" fillId="5" borderId="1" xfId="0" applyNumberFormat="1"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7" xfId="0" applyFont="1" applyFill="1" applyBorder="1" applyAlignment="1">
      <alignment vertical="center"/>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165" fontId="9" fillId="6" borderId="1" xfId="0" applyNumberFormat="1" applyFont="1" applyFill="1" applyBorder="1" applyAlignment="1">
      <alignment horizontal="center" vertical="center"/>
    </xf>
    <xf numFmtId="165" fontId="0" fillId="2" borderId="0" xfId="0" applyNumberFormat="1" applyFill="1" applyAlignment="1">
      <alignment horizontal="left" vertical="center"/>
    </xf>
    <xf numFmtId="0" fontId="8" fillId="6" borderId="9" xfId="0" applyFont="1" applyFill="1" applyBorder="1" applyAlignment="1">
      <alignment horizontal="center" vertical="center"/>
    </xf>
    <xf numFmtId="0" fontId="0" fillId="2" borderId="0" xfId="0" applyFill="1" applyAlignment="1">
      <alignment horizontal="center" vertical="center"/>
    </xf>
    <xf numFmtId="0" fontId="0" fillId="2" borderId="11" xfId="1" applyFont="1" applyFill="1" applyBorder="1" applyAlignment="1">
      <alignment horizontal="left" vertical="center" wrapText="1"/>
    </xf>
    <xf numFmtId="166" fontId="0" fillId="2" borderId="1" xfId="0" applyNumberFormat="1" applyFill="1" applyBorder="1" applyAlignment="1">
      <alignment horizontal="center" vertical="center"/>
    </xf>
    <xf numFmtId="165" fontId="0" fillId="2" borderId="1" xfId="2" applyNumberFormat="1" applyFont="1" applyFill="1" applyBorder="1" applyAlignment="1">
      <alignment horizontal="center" vertical="center"/>
    </xf>
    <xf numFmtId="1" fontId="0" fillId="2" borderId="1" xfId="0" applyNumberFormat="1" applyFill="1" applyBorder="1" applyAlignment="1">
      <alignment horizontal="center" vertical="center"/>
    </xf>
    <xf numFmtId="1" fontId="0" fillId="2" borderId="1" xfId="0" applyNumberFormat="1" applyFill="1" applyBorder="1" applyAlignment="1">
      <alignment vertical="center" wrapText="1"/>
    </xf>
    <xf numFmtId="0" fontId="0" fillId="2" borderId="1" xfId="0" applyFill="1" applyBorder="1" applyAlignment="1">
      <alignment horizontal="center" vertical="center" wrapText="1"/>
    </xf>
    <xf numFmtId="164" fontId="0" fillId="2" borderId="0" xfId="0" applyNumberFormat="1" applyFill="1" applyAlignment="1">
      <alignment horizontal="left" vertical="center"/>
    </xf>
    <xf numFmtId="0" fontId="0" fillId="0" borderId="1" xfId="0" applyBorder="1" applyAlignment="1">
      <alignment horizontal="center" vertical="center"/>
    </xf>
    <xf numFmtId="166" fontId="0" fillId="2" borderId="0" xfId="0" applyNumberFormat="1" applyFill="1" applyAlignment="1">
      <alignment horizontal="left" vertical="center"/>
    </xf>
    <xf numFmtId="0" fontId="0" fillId="2" borderId="1" xfId="1" applyFont="1" applyFill="1" applyBorder="1" applyAlignment="1">
      <alignment horizontal="left" vertical="center" wrapText="1"/>
    </xf>
    <xf numFmtId="165" fontId="0" fillId="2" borderId="0" xfId="0" applyNumberFormat="1" applyFill="1" applyAlignment="1">
      <alignment horizontal="center" vertical="center"/>
    </xf>
    <xf numFmtId="164" fontId="0" fillId="2" borderId="0" xfId="0" applyNumberFormat="1" applyFill="1" applyAlignment="1">
      <alignment horizontal="center" vertical="center"/>
    </xf>
    <xf numFmtId="0" fontId="0" fillId="0" borderId="0" xfId="0" applyAlignment="1">
      <alignment horizontal="center" vertical="center"/>
    </xf>
    <xf numFmtId="165" fontId="0" fillId="0" borderId="13" xfId="2" applyNumberFormat="1" applyFont="1" applyBorder="1" applyAlignment="1">
      <alignment horizontal="center" vertical="center"/>
    </xf>
    <xf numFmtId="165" fontId="0" fillId="2" borderId="13" xfId="2" applyNumberFormat="1" applyFont="1" applyFill="1" applyBorder="1" applyAlignment="1">
      <alignment horizontal="center" vertical="center"/>
    </xf>
    <xf numFmtId="0" fontId="0" fillId="0" borderId="0" xfId="0" applyAlignment="1">
      <alignment horizontal="left" vertical="center"/>
    </xf>
    <xf numFmtId="0" fontId="0" fillId="2" borderId="0" xfId="0" applyFill="1" applyAlignment="1">
      <alignment horizontal="center" vertical="center" wrapText="1"/>
    </xf>
    <xf numFmtId="0" fontId="0" fillId="0" borderId="1" xfId="0" applyBorder="1" applyAlignment="1">
      <alignment horizontal="left" vertical="center" wrapText="1"/>
    </xf>
    <xf numFmtId="165" fontId="0" fillId="0" borderId="1" xfId="3" applyNumberFormat="1" applyFont="1" applyBorder="1" applyAlignment="1">
      <alignment horizontal="center" vertical="center" wrapText="1"/>
    </xf>
    <xf numFmtId="169" fontId="0" fillId="2" borderId="0" xfId="0" applyNumberFormat="1" applyFill="1" applyAlignment="1">
      <alignment horizontal="left" vertical="center"/>
    </xf>
    <xf numFmtId="0" fontId="0" fillId="2" borderId="0" xfId="0" applyFill="1" applyAlignment="1">
      <alignment horizontal="left" vertical="center" wrapText="1"/>
    </xf>
    <xf numFmtId="165" fontId="0" fillId="0" borderId="1" xfId="2" applyNumberFormat="1" applyFont="1" applyBorder="1" applyAlignment="1">
      <alignment horizontal="center" vertical="center"/>
    </xf>
    <xf numFmtId="169" fontId="0" fillId="2" borderId="0" xfId="0" applyNumberFormat="1" applyFill="1" applyAlignment="1">
      <alignment horizontal="center" vertical="center"/>
    </xf>
    <xf numFmtId="170" fontId="0" fillId="2" borderId="1" xfId="0" applyNumberFormat="1" applyFill="1" applyBorder="1" applyAlignment="1">
      <alignment horizontal="center" vertical="center"/>
    </xf>
    <xf numFmtId="3" fontId="0" fillId="2" borderId="0" xfId="0" applyNumberFormat="1" applyFill="1" applyAlignment="1">
      <alignment horizontal="left" vertical="center"/>
    </xf>
    <xf numFmtId="0" fontId="0" fillId="2" borderId="1" xfId="0" applyFill="1" applyBorder="1" applyAlignment="1">
      <alignment horizontal="left" vertical="center" wrapText="1"/>
    </xf>
    <xf numFmtId="166" fontId="0" fillId="0" borderId="1" xfId="0" applyNumberFormat="1" applyBorder="1" applyAlignment="1">
      <alignment horizontal="center" vertical="center"/>
    </xf>
    <xf numFmtId="0" fontId="0" fillId="0" borderId="0" xfId="0" applyAlignment="1">
      <alignment horizontal="left" vertical="center" wrapText="1"/>
    </xf>
    <xf numFmtId="164" fontId="0" fillId="0" borderId="0" xfId="0" applyNumberFormat="1" applyAlignment="1">
      <alignment horizontal="center" vertical="center"/>
    </xf>
    <xf numFmtId="165" fontId="0" fillId="2" borderId="0" xfId="2" applyNumberFormat="1" applyFont="1" applyFill="1" applyAlignment="1">
      <alignment horizontal="center" vertical="center"/>
    </xf>
    <xf numFmtId="0" fontId="4" fillId="8" borderId="18" xfId="0" applyFont="1" applyFill="1" applyBorder="1" applyAlignment="1">
      <alignment horizontal="center" vertical="center"/>
    </xf>
    <xf numFmtId="0" fontId="4" fillId="8" borderId="19" xfId="0" applyFont="1" applyFill="1" applyBorder="1" applyAlignment="1">
      <alignment horizontal="center" vertical="center"/>
    </xf>
    <xf numFmtId="165" fontId="4" fillId="9" borderId="24" xfId="0" applyNumberFormat="1" applyFont="1" applyFill="1" applyBorder="1" applyAlignment="1">
      <alignment horizontal="center" vertical="center"/>
    </xf>
    <xf numFmtId="165" fontId="4" fillId="9" borderId="25" xfId="0" applyNumberFormat="1" applyFont="1" applyFill="1" applyBorder="1" applyAlignment="1">
      <alignment horizontal="center" vertical="center"/>
    </xf>
    <xf numFmtId="165" fontId="4" fillId="6" borderId="24" xfId="0" applyNumberFormat="1" applyFont="1" applyFill="1" applyBorder="1" applyAlignment="1">
      <alignment horizontal="center" vertical="center"/>
    </xf>
    <xf numFmtId="165" fontId="4" fillId="6" borderId="25" xfId="0" applyNumberFormat="1" applyFont="1" applyFill="1" applyBorder="1" applyAlignment="1">
      <alignment horizontal="center" vertical="center"/>
    </xf>
    <xf numFmtId="165" fontId="4" fillId="7" borderId="30" xfId="0" applyNumberFormat="1" applyFont="1" applyFill="1" applyBorder="1" applyAlignment="1">
      <alignment horizontal="center" vertical="center"/>
    </xf>
    <xf numFmtId="165" fontId="4" fillId="7" borderId="31" xfId="0" applyNumberFormat="1" applyFont="1" applyFill="1" applyBorder="1" applyAlignment="1">
      <alignment horizontal="center" vertical="center"/>
    </xf>
    <xf numFmtId="165" fontId="0" fillId="0" borderId="0" xfId="0" applyNumberFormat="1" applyAlignment="1">
      <alignment horizontal="center" vertical="center"/>
    </xf>
    <xf numFmtId="0" fontId="11" fillId="2" borderId="0" xfId="4" applyFont="1" applyFill="1"/>
    <xf numFmtId="0" fontId="11" fillId="2" borderId="0" xfId="4" applyFont="1" applyFill="1" applyAlignment="1">
      <alignment horizontal="center"/>
    </xf>
    <xf numFmtId="0" fontId="11" fillId="2" borderId="0" xfId="4" applyFont="1" applyFill="1" applyAlignment="1">
      <alignment vertical="center"/>
    </xf>
    <xf numFmtId="0" fontId="11" fillId="2" borderId="0" xfId="4" applyFont="1" applyFill="1" applyAlignment="1">
      <alignment wrapText="1"/>
    </xf>
    <xf numFmtId="165" fontId="12" fillId="2" borderId="0" xfId="4" applyNumberFormat="1" applyFont="1" applyFill="1"/>
    <xf numFmtId="0" fontId="11" fillId="0" borderId="0" xfId="4" applyFont="1"/>
    <xf numFmtId="0" fontId="12" fillId="2" borderId="0" xfId="4" applyFont="1" applyFill="1"/>
    <xf numFmtId="0" fontId="14" fillId="9" borderId="32" xfId="4" applyFont="1" applyFill="1" applyBorder="1" applyAlignment="1">
      <alignment horizontal="center" vertical="center"/>
    </xf>
    <xf numFmtId="0" fontId="14" fillId="9" borderId="33" xfId="4" applyFont="1" applyFill="1" applyBorder="1" applyAlignment="1">
      <alignment vertical="center"/>
    </xf>
    <xf numFmtId="0" fontId="14" fillId="9" borderId="33" xfId="4" applyFont="1" applyFill="1" applyBorder="1" applyAlignment="1">
      <alignment horizontal="center" vertical="center" wrapText="1"/>
    </xf>
    <xf numFmtId="0" fontId="14" fillId="9" borderId="34" xfId="4" applyFont="1" applyFill="1" applyBorder="1" applyAlignment="1">
      <alignment horizontal="center" vertical="center" wrapText="1"/>
    </xf>
    <xf numFmtId="0" fontId="12" fillId="0" borderId="0" xfId="4" applyFont="1"/>
    <xf numFmtId="0" fontId="12" fillId="2" borderId="35" xfId="4" applyFont="1" applyFill="1" applyBorder="1"/>
    <xf numFmtId="171" fontId="12" fillId="0" borderId="33" xfId="4" applyNumberFormat="1" applyFont="1" applyBorder="1" applyAlignment="1">
      <alignment horizontal="center" vertical="center"/>
    </xf>
    <xf numFmtId="165" fontId="12" fillId="0" borderId="35" xfId="2" applyNumberFormat="1" applyFont="1" applyBorder="1" applyAlignment="1">
      <alignment horizontal="center" vertical="center" wrapText="1"/>
    </xf>
    <xf numFmtId="1" fontId="12" fillId="2" borderId="33" xfId="5" applyNumberFormat="1" applyFont="1" applyFill="1" applyBorder="1" applyAlignment="1">
      <alignment horizontal="center" vertical="center" wrapText="1"/>
    </xf>
    <xf numFmtId="172" fontId="12" fillId="2" borderId="34" xfId="2" applyNumberFormat="1" applyFont="1" applyFill="1" applyBorder="1" applyAlignment="1">
      <alignment horizontal="center" vertical="center" wrapText="1"/>
    </xf>
    <xf numFmtId="167" fontId="12" fillId="0" borderId="33" xfId="4" applyNumberFormat="1" applyFont="1" applyBorder="1" applyAlignment="1">
      <alignment horizontal="center" vertical="center"/>
    </xf>
    <xf numFmtId="0" fontId="14" fillId="9" borderId="35" xfId="4" applyFont="1" applyFill="1" applyBorder="1" applyAlignment="1">
      <alignment vertical="center"/>
    </xf>
    <xf numFmtId="0" fontId="14" fillId="9" borderId="35" xfId="4" applyFont="1" applyFill="1" applyBorder="1" applyAlignment="1">
      <alignment horizontal="center" vertical="center" wrapText="1"/>
    </xf>
    <xf numFmtId="172" fontId="14" fillId="9" borderId="34" xfId="4" applyNumberFormat="1" applyFont="1" applyFill="1" applyBorder="1" applyAlignment="1">
      <alignment horizontal="center" vertical="center" wrapText="1"/>
    </xf>
    <xf numFmtId="165" fontId="12" fillId="0" borderId="33" xfId="2" applyNumberFormat="1" applyFont="1" applyBorder="1" applyAlignment="1">
      <alignment horizontal="center" vertical="center" wrapText="1"/>
    </xf>
    <xf numFmtId="0" fontId="12" fillId="2" borderId="36" xfId="4" applyFont="1" applyFill="1" applyBorder="1" applyAlignment="1">
      <alignment horizontal="left" vertical="center" wrapText="1"/>
    </xf>
    <xf numFmtId="0" fontId="12" fillId="0" borderId="35" xfId="4" applyFont="1" applyBorder="1" applyAlignment="1">
      <alignment horizontal="center"/>
    </xf>
    <xf numFmtId="0" fontId="15" fillId="0" borderId="37" xfId="0" applyFont="1" applyBorder="1" applyAlignment="1">
      <alignment horizontal="left" vertical="center" wrapText="1"/>
    </xf>
    <xf numFmtId="0" fontId="12" fillId="0" borderId="35" xfId="4" applyFont="1" applyBorder="1" applyAlignment="1">
      <alignment vertical="center"/>
    </xf>
    <xf numFmtId="170" fontId="12" fillId="0" borderId="35" xfId="4" applyNumberFormat="1" applyFont="1" applyBorder="1" applyAlignment="1">
      <alignment horizontal="center" vertical="center"/>
    </xf>
    <xf numFmtId="0" fontId="12" fillId="0" borderId="35" xfId="4" applyFont="1" applyBorder="1" applyAlignment="1">
      <alignment horizontal="center" vertical="center"/>
    </xf>
    <xf numFmtId="165" fontId="12" fillId="2" borderId="34" xfId="2" applyNumberFormat="1" applyFont="1" applyFill="1" applyBorder="1" applyAlignment="1">
      <alignment horizontal="center" vertical="center" wrapText="1"/>
    </xf>
    <xf numFmtId="0" fontId="12" fillId="2" borderId="0" xfId="4" applyFont="1" applyFill="1" applyAlignment="1">
      <alignment wrapText="1"/>
    </xf>
    <xf numFmtId="0" fontId="12" fillId="2" borderId="0" xfId="4" applyFont="1" applyFill="1" applyAlignment="1">
      <alignment horizontal="center"/>
    </xf>
    <xf numFmtId="0" fontId="12" fillId="2" borderId="0" xfId="4" applyFont="1" applyFill="1" applyAlignment="1">
      <alignment vertical="center"/>
    </xf>
    <xf numFmtId="0" fontId="0" fillId="2" borderId="0" xfId="0" applyFill="1" applyAlignment="1">
      <alignment vertical="center"/>
    </xf>
    <xf numFmtId="0" fontId="4" fillId="2" borderId="0" xfId="4" applyFont="1" applyFill="1" applyAlignment="1">
      <alignment vertical="center" wrapText="1"/>
    </xf>
    <xf numFmtId="0" fontId="16" fillId="2" borderId="0" xfId="4" applyFont="1" applyFill="1" applyAlignment="1">
      <alignment horizontal="left" vertical="center" wrapText="1"/>
    </xf>
    <xf numFmtId="165" fontId="0" fillId="2" borderId="0" xfId="6" applyNumberFormat="1" applyFont="1" applyFill="1" applyAlignment="1">
      <alignment horizontal="left" vertical="center" wrapText="1"/>
    </xf>
    <xf numFmtId="0" fontId="0" fillId="2" borderId="0" xfId="4" applyFont="1" applyFill="1" applyAlignment="1">
      <alignment horizontal="left" vertical="center" wrapText="1"/>
    </xf>
    <xf numFmtId="165" fontId="0" fillId="2" borderId="0" xfId="6" applyNumberFormat="1" applyFont="1" applyFill="1" applyAlignment="1">
      <alignment horizontal="center" vertical="center" wrapText="1"/>
    </xf>
    <xf numFmtId="167" fontId="0" fillId="2" borderId="0" xfId="0" applyNumberFormat="1" applyFill="1" applyAlignment="1">
      <alignment horizontal="center" vertical="center"/>
    </xf>
    <xf numFmtId="164" fontId="0" fillId="2" borderId="0" xfId="0" applyNumberFormat="1" applyFill="1" applyAlignment="1">
      <alignment horizontal="center" vertical="center" wrapText="1"/>
    </xf>
    <xf numFmtId="165" fontId="3" fillId="2" borderId="0" xfId="6" applyNumberFormat="1" applyFont="1" applyFill="1" applyAlignment="1">
      <alignment horizontal="center" vertical="center" wrapText="1"/>
    </xf>
    <xf numFmtId="0" fontId="12" fillId="0" borderId="0" xfId="4" applyFont="1" applyAlignment="1">
      <alignment horizontal="center"/>
    </xf>
    <xf numFmtId="0" fontId="12" fillId="0" borderId="0" xfId="4" applyFont="1" applyAlignment="1">
      <alignment vertical="center"/>
    </xf>
    <xf numFmtId="0" fontId="12" fillId="0" borderId="0" xfId="4" applyFont="1" applyAlignment="1">
      <alignment wrapText="1"/>
    </xf>
    <xf numFmtId="0" fontId="3" fillId="2" borderId="0" xfId="0" applyFont="1" applyFill="1" applyAlignment="1">
      <alignment horizontal="right" vertical="center"/>
    </xf>
    <xf numFmtId="0" fontId="4" fillId="2" borderId="0" xfId="0" applyFont="1" applyFill="1" applyAlignment="1">
      <alignment horizontal="right" vertical="center"/>
    </xf>
    <xf numFmtId="0" fontId="0" fillId="2" borderId="0" xfId="0" applyFill="1" applyAlignment="1">
      <alignment horizontal="right" vertical="center"/>
    </xf>
    <xf numFmtId="0" fontId="0" fillId="0" borderId="0" xfId="0" applyAlignment="1">
      <alignment horizontal="right" vertical="center"/>
    </xf>
    <xf numFmtId="0" fontId="0" fillId="2" borderId="13" xfId="1" applyFont="1" applyFill="1" applyBorder="1" applyAlignment="1">
      <alignment vertical="top" wrapText="1"/>
    </xf>
    <xf numFmtId="1" fontId="0" fillId="2" borderId="0" xfId="0" applyNumberFormat="1" applyFill="1" applyAlignment="1">
      <alignment horizontal="center" vertical="center"/>
    </xf>
    <xf numFmtId="0" fontId="12" fillId="2" borderId="35" xfId="4" applyFont="1" applyFill="1" applyBorder="1" applyAlignment="1">
      <alignment horizontal="center" vertical="center" wrapText="1"/>
    </xf>
    <xf numFmtId="0" fontId="19" fillId="9" borderId="35" xfId="4" applyFont="1" applyFill="1" applyBorder="1" applyAlignment="1">
      <alignment horizontal="center" vertical="center"/>
    </xf>
    <xf numFmtId="0" fontId="12" fillId="2" borderId="32" xfId="4" applyFont="1" applyFill="1" applyBorder="1" applyAlignment="1">
      <alignment horizontal="center" vertical="center" wrapText="1"/>
    </xf>
    <xf numFmtId="1" fontId="10" fillId="7" borderId="12" xfId="0" applyNumberFormat="1" applyFont="1" applyFill="1" applyBorder="1" applyAlignment="1">
      <alignment horizontal="center" vertical="center" wrapText="1"/>
    </xf>
    <xf numFmtId="0" fontId="0" fillId="0" borderId="1" xfId="0" applyBorder="1" applyAlignment="1">
      <alignment vertical="top" wrapText="1"/>
    </xf>
    <xf numFmtId="0" fontId="3" fillId="2" borderId="0" xfId="0" applyFont="1" applyFill="1" applyAlignment="1">
      <alignment vertical="center"/>
    </xf>
    <xf numFmtId="0" fontId="2" fillId="5" borderId="1" xfId="0" applyFont="1" applyFill="1" applyBorder="1" applyAlignment="1">
      <alignment vertical="center"/>
    </xf>
    <xf numFmtId="0" fontId="9" fillId="6" borderId="1" xfId="0" applyFont="1" applyFill="1" applyBorder="1" applyAlignment="1">
      <alignment vertical="center"/>
    </xf>
    <xf numFmtId="0" fontId="0" fillId="2" borderId="1" xfId="0" quotePrefix="1" applyFill="1" applyBorder="1" applyAlignment="1">
      <alignment vertical="center"/>
    </xf>
    <xf numFmtId="165" fontId="0" fillId="2" borderId="1" xfId="2" applyNumberFormat="1" applyFont="1" applyFill="1" applyBorder="1" applyAlignment="1">
      <alignment vertical="center"/>
    </xf>
    <xf numFmtId="0" fontId="0" fillId="2" borderId="1" xfId="0" applyFill="1" applyBorder="1" applyAlignment="1">
      <alignment vertical="center" wrapText="1"/>
    </xf>
    <xf numFmtId="0" fontId="0" fillId="0" borderId="1" xfId="0" applyBorder="1" applyAlignment="1">
      <alignment vertical="center" wrapText="1"/>
    </xf>
    <xf numFmtId="0" fontId="8" fillId="6" borderId="10" xfId="0" applyFont="1" applyFill="1" applyBorder="1" applyAlignment="1">
      <alignment horizontal="center" vertical="center"/>
    </xf>
    <xf numFmtId="0" fontId="23" fillId="2" borderId="0" xfId="4" applyFont="1" applyFill="1"/>
    <xf numFmtId="0" fontId="23" fillId="2" borderId="0" xfId="4" applyFont="1" applyFill="1" applyAlignment="1">
      <alignment horizontal="center" vertical="center"/>
    </xf>
    <xf numFmtId="0" fontId="24" fillId="2" borderId="38" xfId="4" applyFont="1" applyFill="1" applyBorder="1" applyAlignment="1">
      <alignment horizontal="left" vertical="center"/>
    </xf>
    <xf numFmtId="0" fontId="25" fillId="2" borderId="39" xfId="4" applyFont="1" applyFill="1" applyBorder="1"/>
    <xf numFmtId="0" fontId="24" fillId="2" borderId="43" xfId="4" applyFont="1" applyFill="1" applyBorder="1" applyAlignment="1">
      <alignment horizontal="left" vertical="center"/>
    </xf>
    <xf numFmtId="0" fontId="25" fillId="2" borderId="44" xfId="4" applyFont="1" applyFill="1" applyBorder="1"/>
    <xf numFmtId="0" fontId="26" fillId="2" borderId="0" xfId="0" applyFont="1" applyFill="1"/>
    <xf numFmtId="14" fontId="25" fillId="2" borderId="44" xfId="4" applyNumberFormat="1" applyFont="1" applyFill="1" applyBorder="1" applyAlignment="1">
      <alignment horizontal="left"/>
    </xf>
    <xf numFmtId="0" fontId="27" fillId="2" borderId="0" xfId="0" applyFont="1" applyFill="1"/>
    <xf numFmtId="0" fontId="24" fillId="2" borderId="45" xfId="4" applyFont="1" applyFill="1" applyBorder="1" applyAlignment="1">
      <alignment horizontal="left" vertical="center"/>
    </xf>
    <xf numFmtId="14" fontId="23" fillId="2" borderId="46" xfId="4" applyNumberFormat="1" applyFont="1" applyFill="1" applyBorder="1" applyAlignment="1">
      <alignment horizontal="left" vertical="center"/>
    </xf>
    <xf numFmtId="0" fontId="24" fillId="2" borderId="0" xfId="0" applyFont="1" applyFill="1" applyAlignment="1">
      <alignment vertical="center"/>
    </xf>
    <xf numFmtId="0" fontId="32" fillId="2" borderId="0" xfId="0" applyFont="1" applyFill="1" applyAlignment="1">
      <alignment vertical="center"/>
    </xf>
    <xf numFmtId="0" fontId="23" fillId="2" borderId="0" xfId="0" applyFont="1" applyFill="1"/>
    <xf numFmtId="0" fontId="32" fillId="2" borderId="0" xfId="0" applyFont="1" applyFill="1" applyAlignment="1">
      <alignment horizontal="right" vertical="center"/>
    </xf>
    <xf numFmtId="0" fontId="34" fillId="3" borderId="40" xfId="17" applyFont="1" applyFill="1" applyBorder="1" applyAlignment="1">
      <alignment horizontal="center" vertical="center" wrapText="1"/>
    </xf>
    <xf numFmtId="165" fontId="23" fillId="2" borderId="0" xfId="4" applyNumberFormat="1" applyFont="1" applyFill="1"/>
    <xf numFmtId="165" fontId="36" fillId="12" borderId="40" xfId="4" applyNumberFormat="1" applyFont="1" applyFill="1" applyBorder="1"/>
    <xf numFmtId="174" fontId="23" fillId="2" borderId="0" xfId="4" applyNumberFormat="1" applyFont="1" applyFill="1"/>
    <xf numFmtId="0" fontId="38" fillId="2" borderId="0" xfId="4" applyFont="1" applyFill="1" applyAlignment="1">
      <alignment horizontal="left" vertical="center" wrapText="1"/>
    </xf>
    <xf numFmtId="0" fontId="39" fillId="2" borderId="0" xfId="0" applyFont="1" applyFill="1"/>
    <xf numFmtId="0" fontId="40" fillId="0" borderId="0" xfId="4" applyFont="1" applyAlignment="1" applyProtection="1">
      <alignment vertical="center"/>
      <protection locked="0" hidden="1"/>
    </xf>
    <xf numFmtId="0" fontId="23" fillId="0" borderId="0" xfId="0" applyFont="1" applyAlignment="1" applyProtection="1">
      <alignment vertical="center"/>
      <protection locked="0" hidden="1"/>
    </xf>
    <xf numFmtId="2" fontId="23" fillId="0" borderId="0" xfId="0" applyNumberFormat="1" applyFont="1" applyAlignment="1" applyProtection="1">
      <alignment vertical="center"/>
      <protection locked="0" hidden="1"/>
    </xf>
    <xf numFmtId="0" fontId="41" fillId="2" borderId="47" xfId="16" applyFont="1" applyFill="1" applyBorder="1" applyAlignment="1" applyProtection="1">
      <alignment vertical="center" wrapText="1"/>
      <protection locked="0" hidden="1"/>
    </xf>
    <xf numFmtId="0" fontId="42" fillId="0" borderId="0" xfId="4" applyFont="1" applyAlignment="1" applyProtection="1">
      <alignment vertical="center"/>
      <protection locked="0" hidden="1"/>
    </xf>
    <xf numFmtId="0" fontId="41" fillId="0" borderId="0" xfId="4" applyFont="1" applyAlignment="1" applyProtection="1">
      <alignment horizontal="left" vertical="center"/>
      <protection locked="0" hidden="1"/>
    </xf>
    <xf numFmtId="0" fontId="29" fillId="0" borderId="0" xfId="4" applyFont="1" applyAlignment="1" applyProtection="1">
      <alignment horizontal="left" vertical="center" wrapText="1"/>
      <protection locked="0" hidden="1"/>
    </xf>
    <xf numFmtId="0" fontId="41" fillId="0" borderId="0" xfId="4" applyFont="1" applyAlignment="1" applyProtection="1">
      <alignment horizontal="left" vertical="center" wrapText="1"/>
      <protection locked="0" hidden="1"/>
    </xf>
    <xf numFmtId="0" fontId="29" fillId="0" borderId="0" xfId="4" applyFont="1" applyAlignment="1" applyProtection="1">
      <alignment horizontal="left" vertical="center"/>
      <protection locked="0" hidden="1"/>
    </xf>
    <xf numFmtId="0" fontId="23" fillId="2" borderId="0" xfId="4" applyFont="1" applyFill="1" applyAlignment="1">
      <alignment wrapText="1"/>
    </xf>
    <xf numFmtId="0" fontId="29" fillId="0" borderId="0" xfId="4" applyFont="1" applyAlignment="1" applyProtection="1">
      <alignment vertical="center"/>
      <protection locked="0" hidden="1"/>
    </xf>
    <xf numFmtId="0" fontId="31" fillId="0" borderId="0" xfId="4" applyFont="1" applyAlignment="1" applyProtection="1">
      <alignment vertical="center"/>
      <protection locked="0" hidden="1"/>
    </xf>
    <xf numFmtId="0" fontId="28" fillId="0" borderId="0" xfId="4" applyFont="1" applyAlignment="1" applyProtection="1">
      <alignment vertical="center"/>
      <protection locked="0" hidden="1"/>
    </xf>
    <xf numFmtId="0" fontId="32" fillId="2" borderId="0" xfId="0" applyFont="1" applyFill="1" applyAlignment="1">
      <alignment vertical="center" wrapText="1"/>
    </xf>
    <xf numFmtId="0" fontId="23" fillId="0" borderId="0" xfId="0" applyFont="1" applyAlignment="1" applyProtection="1">
      <alignment vertical="center" wrapText="1"/>
      <protection locked="0" hidden="1"/>
    </xf>
    <xf numFmtId="0" fontId="0" fillId="2" borderId="1" xfId="1" applyFont="1" applyFill="1" applyBorder="1" applyAlignment="1">
      <alignment horizontal="center" vertical="center"/>
    </xf>
    <xf numFmtId="174" fontId="37" fillId="2" borderId="0" xfId="4" applyNumberFormat="1" applyFont="1" applyFill="1"/>
    <xf numFmtId="0" fontId="0" fillId="2" borderId="1" xfId="1" applyFont="1" applyFill="1" applyBorder="1" applyAlignment="1">
      <alignment horizontal="center" vertical="top"/>
    </xf>
    <xf numFmtId="0" fontId="0" fillId="2" borderId="13" xfId="1" applyFont="1" applyFill="1" applyBorder="1" applyAlignment="1">
      <alignment horizontal="center" vertical="center"/>
    </xf>
    <xf numFmtId="0" fontId="4" fillId="8" borderId="14" xfId="0" applyFont="1" applyFill="1" applyBorder="1" applyAlignment="1">
      <alignment horizontal="center" vertical="center"/>
    </xf>
    <xf numFmtId="0" fontId="4" fillId="9" borderId="20" xfId="0" applyFont="1" applyFill="1" applyBorder="1" applyAlignment="1">
      <alignment horizontal="center" vertical="center"/>
    </xf>
    <xf numFmtId="0" fontId="4" fillId="6" borderId="20" xfId="0" applyFont="1" applyFill="1" applyBorder="1" applyAlignment="1">
      <alignment horizontal="center" vertical="center"/>
    </xf>
    <xf numFmtId="165" fontId="0" fillId="7" borderId="26" xfId="0" applyNumberFormat="1" applyFill="1" applyBorder="1" applyAlignment="1">
      <alignment horizontal="center" vertical="center"/>
    </xf>
    <xf numFmtId="0" fontId="49" fillId="2" borderId="40" xfId="4" applyFont="1" applyFill="1" applyBorder="1" applyAlignment="1">
      <alignment horizontal="center" vertical="center"/>
    </xf>
    <xf numFmtId="0" fontId="49" fillId="2" borderId="40" xfId="4" applyFont="1" applyFill="1" applyBorder="1" applyAlignment="1">
      <alignment horizontal="left" vertical="center" wrapText="1"/>
    </xf>
    <xf numFmtId="165" fontId="49" fillId="0" borderId="40" xfId="0" applyNumberFormat="1" applyFont="1" applyBorder="1" applyAlignment="1">
      <alignment vertical="center" wrapText="1"/>
    </xf>
    <xf numFmtId="173" fontId="49" fillId="0" borderId="40" xfId="0" applyNumberFormat="1" applyFont="1" applyBorder="1" applyAlignment="1">
      <alignment horizontal="center" vertical="center" wrapText="1"/>
    </xf>
    <xf numFmtId="0" fontId="50" fillId="0" borderId="0" xfId="18"/>
    <xf numFmtId="0" fontId="50" fillId="0" borderId="0" xfId="18" applyAlignment="1">
      <alignment horizontal="center"/>
    </xf>
    <xf numFmtId="0" fontId="50" fillId="0" borderId="0" xfId="18" applyAlignment="1">
      <alignment wrapText="1"/>
    </xf>
    <xf numFmtId="0" fontId="51" fillId="6" borderId="1" xfId="18" applyFont="1" applyFill="1" applyBorder="1" applyAlignment="1">
      <alignment horizontal="center"/>
    </xf>
    <xf numFmtId="0" fontId="51" fillId="0" borderId="0" xfId="18" applyFont="1"/>
    <xf numFmtId="0" fontId="52" fillId="6" borderId="1" xfId="18" applyFont="1" applyFill="1" applyBorder="1" applyAlignment="1">
      <alignment horizontal="center" vertical="center"/>
    </xf>
    <xf numFmtId="0" fontId="50" fillId="0" borderId="1" xfId="18" applyBorder="1"/>
    <xf numFmtId="0" fontId="50" fillId="0" borderId="1" xfId="18" applyBorder="1" applyAlignment="1">
      <alignment horizontal="center"/>
    </xf>
    <xf numFmtId="0" fontId="53" fillId="0" borderId="1" xfId="18" applyFont="1" applyBorder="1" applyAlignment="1">
      <alignment horizontal="center"/>
    </xf>
    <xf numFmtId="0" fontId="21" fillId="0" borderId="1" xfId="18" applyFont="1" applyBorder="1"/>
    <xf numFmtId="0" fontId="21" fillId="0" borderId="1" xfId="18" applyFont="1" applyBorder="1" applyAlignment="1">
      <alignment horizontal="center"/>
    </xf>
    <xf numFmtId="0" fontId="53" fillId="0" borderId="0" xfId="18" applyFont="1" applyAlignment="1">
      <alignment horizontal="center"/>
    </xf>
    <xf numFmtId="167" fontId="0" fillId="0" borderId="13" xfId="0" applyNumberFormat="1" applyBorder="1" applyAlignment="1">
      <alignment horizontal="center" vertical="center"/>
    </xf>
    <xf numFmtId="0" fontId="0" fillId="0" borderId="1" xfId="0" applyBorder="1" applyAlignment="1">
      <alignment horizontal="left" vertical="center"/>
    </xf>
    <xf numFmtId="0" fontId="12" fillId="2" borderId="50" xfId="4" applyFont="1" applyFill="1" applyBorder="1" applyAlignment="1">
      <alignment horizontal="center" vertical="center" wrapText="1"/>
    </xf>
    <xf numFmtId="171" fontId="12" fillId="0" borderId="36" xfId="4" applyNumberFormat="1" applyFont="1" applyBorder="1" applyAlignment="1">
      <alignment horizontal="center" vertical="center"/>
    </xf>
    <xf numFmtId="0" fontId="54" fillId="14" borderId="0" xfId="0" applyFont="1" applyFill="1" applyAlignment="1">
      <alignment vertical="center" wrapText="1"/>
    </xf>
    <xf numFmtId="0" fontId="51" fillId="6" borderId="1" xfId="18" applyFont="1" applyFill="1" applyBorder="1" applyAlignment="1">
      <alignment horizontal="center" wrapText="1"/>
    </xf>
    <xf numFmtId="0" fontId="50" fillId="0" borderId="1" xfId="18" applyBorder="1" applyAlignment="1">
      <alignment wrapText="1"/>
    </xf>
    <xf numFmtId="0" fontId="21" fillId="0" borderId="1" xfId="18" applyFont="1" applyBorder="1" applyAlignment="1">
      <alignment wrapText="1"/>
    </xf>
    <xf numFmtId="175" fontId="50" fillId="0" borderId="1" xfId="18" applyNumberFormat="1" applyBorder="1" applyAlignment="1">
      <alignment horizontal="center"/>
    </xf>
    <xf numFmtId="0" fontId="50" fillId="0" borderId="0" xfId="18" applyAlignment="1">
      <alignment horizontal="center" wrapText="1"/>
    </xf>
    <xf numFmtId="175" fontId="55" fillId="10" borderId="1" xfId="18" applyNumberFormat="1" applyFont="1" applyFill="1" applyBorder="1" applyAlignment="1">
      <alignment horizontal="center" vertical="center"/>
    </xf>
    <xf numFmtId="0" fontId="50" fillId="0" borderId="1" xfId="18" applyBorder="1" applyAlignment="1">
      <alignment horizontal="center" wrapText="1"/>
    </xf>
    <xf numFmtId="176" fontId="56" fillId="2" borderId="1" xfId="4" applyNumberFormat="1" applyFont="1" applyFill="1" applyBorder="1" applyAlignment="1">
      <alignment vertical="center" wrapText="1"/>
    </xf>
    <xf numFmtId="0" fontId="11" fillId="2" borderId="0" xfId="0" applyFont="1" applyFill="1" applyAlignment="1">
      <alignment horizontal="left" vertical="center"/>
    </xf>
    <xf numFmtId="0" fontId="57" fillId="2" borderId="0" xfId="0" applyFont="1" applyFill="1" applyAlignment="1">
      <alignment horizontal="center" vertical="center"/>
    </xf>
    <xf numFmtId="9" fontId="57" fillId="2" borderId="0" xfId="0" applyNumberFormat="1" applyFont="1" applyFill="1" applyAlignment="1">
      <alignment horizontal="center" vertical="center"/>
    </xf>
    <xf numFmtId="9" fontId="11" fillId="2" borderId="0" xfId="0" applyNumberFormat="1" applyFont="1" applyFill="1" applyAlignment="1">
      <alignment horizontal="center" vertical="center"/>
    </xf>
    <xf numFmtId="0" fontId="11" fillId="2" borderId="0" xfId="0" applyFont="1" applyFill="1" applyAlignment="1">
      <alignment horizontal="center" vertical="center"/>
    </xf>
    <xf numFmtId="0" fontId="58" fillId="2" borderId="0" xfId="0" applyFont="1" applyFill="1" applyAlignment="1">
      <alignment horizontal="center" vertical="center"/>
    </xf>
    <xf numFmtId="0" fontId="59" fillId="3" borderId="0" xfId="0" applyFont="1" applyFill="1" applyAlignment="1">
      <alignment horizontal="center" vertical="center"/>
    </xf>
    <xf numFmtId="0" fontId="58" fillId="4" borderId="0" xfId="0" applyFont="1" applyFill="1" applyAlignment="1">
      <alignment horizontal="center" vertical="center"/>
    </xf>
    <xf numFmtId="0" fontId="12" fillId="2" borderId="0" xfId="1" applyFont="1" applyFill="1" applyAlignment="1">
      <alignment horizontal="center" vertical="center"/>
    </xf>
    <xf numFmtId="0" fontId="60" fillId="0" borderId="4" xfId="0" applyFont="1" applyBorder="1" applyAlignment="1">
      <alignment horizontal="center" vertical="center"/>
    </xf>
    <xf numFmtId="0" fontId="60" fillId="0" borderId="5" xfId="0" applyFont="1" applyBorder="1" applyAlignment="1">
      <alignment horizontal="center" vertical="center"/>
    </xf>
    <xf numFmtId="0" fontId="60" fillId="0" borderId="6" xfId="0" applyFont="1" applyBorder="1" applyAlignment="1">
      <alignment horizontal="center" vertical="center"/>
    </xf>
    <xf numFmtId="0" fontId="13" fillId="5" borderId="4" xfId="0" applyFont="1" applyFill="1" applyBorder="1" applyAlignment="1">
      <alignment horizontal="center" vertical="center"/>
    </xf>
    <xf numFmtId="0" fontId="13" fillId="5" borderId="54" xfId="0" applyFont="1" applyFill="1" applyBorder="1" applyAlignment="1">
      <alignment horizontal="center" vertical="center"/>
    </xf>
    <xf numFmtId="0" fontId="13" fillId="5" borderId="0" xfId="0" applyFont="1" applyFill="1" applyAlignment="1">
      <alignment horizontal="center" vertical="center"/>
    </xf>
    <xf numFmtId="0" fontId="14" fillId="6" borderId="4" xfId="0" applyFont="1" applyFill="1" applyBorder="1" applyAlignment="1">
      <alignment horizontal="center" vertical="center"/>
    </xf>
    <xf numFmtId="0" fontId="14" fillId="6" borderId="5" xfId="0" applyFont="1" applyFill="1" applyBorder="1" applyAlignment="1">
      <alignment horizontal="center" vertical="center"/>
    </xf>
    <xf numFmtId="0" fontId="52" fillId="6" borderId="5" xfId="0" applyFont="1" applyFill="1" applyBorder="1" applyAlignment="1">
      <alignment horizontal="center" vertical="center"/>
    </xf>
    <xf numFmtId="0" fontId="52" fillId="6" borderId="0" xfId="0" applyFont="1" applyFill="1" applyAlignment="1">
      <alignment horizontal="center" vertical="center"/>
    </xf>
    <xf numFmtId="0" fontId="12" fillId="2" borderId="0" xfId="0" applyFont="1" applyFill="1" applyAlignment="1">
      <alignment horizontal="center" vertical="center"/>
    </xf>
    <xf numFmtId="0" fontId="12" fillId="2" borderId="0" xfId="0" applyFont="1" applyFill="1" applyAlignment="1">
      <alignment horizontal="left" vertical="center"/>
    </xf>
    <xf numFmtId="0" fontId="12" fillId="2" borderId="7" xfId="1" applyFont="1" applyFill="1" applyBorder="1" applyAlignment="1">
      <alignment horizontal="center" vertical="center"/>
    </xf>
    <xf numFmtId="0" fontId="12" fillId="2" borderId="57" xfId="0" applyFont="1" applyFill="1" applyBorder="1" applyAlignment="1">
      <alignment horizontal="left" vertical="center"/>
    </xf>
    <xf numFmtId="164" fontId="12" fillId="2" borderId="57" xfId="0" applyNumberFormat="1" applyFont="1" applyFill="1" applyBorder="1" applyAlignment="1">
      <alignment horizontal="center" vertical="center"/>
    </xf>
    <xf numFmtId="165" fontId="12" fillId="2" borderId="5" xfId="19" applyNumberFormat="1" applyFont="1" applyFill="1" applyBorder="1" applyAlignment="1">
      <alignment horizontal="center" vertical="center"/>
    </xf>
    <xf numFmtId="165" fontId="12" fillId="2" borderId="57" xfId="19" applyNumberFormat="1" applyFont="1" applyFill="1" applyBorder="1" applyAlignment="1">
      <alignment horizontal="center" vertical="center"/>
    </xf>
    <xf numFmtId="165" fontId="12" fillId="2" borderId="0" xfId="19" applyNumberFormat="1" applyFont="1" applyFill="1" applyBorder="1" applyAlignment="1">
      <alignment horizontal="center" vertical="center"/>
    </xf>
    <xf numFmtId="0" fontId="12" fillId="2" borderId="58"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wrapText="1"/>
    </xf>
    <xf numFmtId="0" fontId="12" fillId="0" borderId="0" xfId="0" applyFont="1" applyAlignment="1">
      <alignment horizontal="center" vertical="center"/>
    </xf>
    <xf numFmtId="0" fontId="12" fillId="2" borderId="5" xfId="1" applyFont="1" applyFill="1" applyBorder="1" applyAlignment="1">
      <alignment horizontal="left" vertical="center"/>
    </xf>
    <xf numFmtId="164" fontId="12" fillId="0" borderId="5" xfId="0" applyNumberFormat="1" applyFont="1" applyBorder="1" applyAlignment="1">
      <alignment horizontal="center" vertical="center"/>
    </xf>
    <xf numFmtId="164" fontId="12" fillId="0" borderId="0" xfId="0" applyNumberFormat="1" applyFont="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center" vertical="center"/>
    </xf>
    <xf numFmtId="0" fontId="12" fillId="0" borderId="57" xfId="0" applyFont="1" applyBorder="1" applyAlignment="1">
      <alignment horizontal="left" vertical="center"/>
    </xf>
    <xf numFmtId="170" fontId="12" fillId="0" borderId="5" xfId="0" applyNumberFormat="1" applyFont="1" applyBorder="1" applyAlignment="1">
      <alignment horizontal="center" vertical="center"/>
    </xf>
    <xf numFmtId="0" fontId="12" fillId="0" borderId="7" xfId="0" applyFont="1" applyBorder="1" applyAlignment="1">
      <alignment horizontal="left" vertical="center"/>
    </xf>
    <xf numFmtId="164" fontId="12" fillId="0" borderId="0" xfId="0" applyNumberFormat="1" applyFont="1" applyAlignment="1">
      <alignment horizontal="center" vertical="center" wrapText="1"/>
    </xf>
    <xf numFmtId="165" fontId="12" fillId="2" borderId="0" xfId="0" applyNumberFormat="1" applyFont="1" applyFill="1" applyAlignment="1">
      <alignment horizontal="left" vertical="center"/>
    </xf>
    <xf numFmtId="0" fontId="52" fillId="6" borderId="54" xfId="0" applyFont="1" applyFill="1" applyBorder="1" applyAlignment="1">
      <alignment horizontal="center" vertical="center"/>
    </xf>
    <xf numFmtId="0" fontId="12" fillId="2" borderId="5" xfId="0" applyFont="1" applyFill="1" applyBorder="1" applyAlignment="1">
      <alignment horizontal="left" vertical="center" wrapText="1"/>
    </xf>
    <xf numFmtId="0" fontId="12" fillId="0" borderId="8" xfId="0" applyFont="1" applyBorder="1" applyAlignment="1">
      <alignment horizontal="center" vertical="center"/>
    </xf>
    <xf numFmtId="0" fontId="12" fillId="0" borderId="53" xfId="0" applyFont="1" applyBorder="1" applyAlignment="1">
      <alignment horizontal="left" vertical="center"/>
    </xf>
    <xf numFmtId="0" fontId="12" fillId="0" borderId="5" xfId="0" applyFont="1" applyBorder="1" applyAlignment="1">
      <alignment horizontal="left" vertical="center"/>
    </xf>
    <xf numFmtId="0" fontId="58" fillId="8" borderId="24" xfId="0" applyFont="1" applyFill="1" applyBorder="1" applyAlignment="1">
      <alignment horizontal="center" vertical="center"/>
    </xf>
    <xf numFmtId="0" fontId="58" fillId="8" borderId="0" xfId="0" applyFont="1" applyFill="1" applyAlignment="1">
      <alignment horizontal="center" vertical="center"/>
    </xf>
    <xf numFmtId="0" fontId="12" fillId="9" borderId="24" xfId="0" applyFont="1" applyFill="1" applyBorder="1" applyAlignment="1">
      <alignment horizontal="center" vertical="center"/>
    </xf>
    <xf numFmtId="165" fontId="58" fillId="9" borderId="24" xfId="0" applyNumberFormat="1" applyFont="1" applyFill="1" applyBorder="1" applyAlignment="1">
      <alignment horizontal="center" vertical="center"/>
    </xf>
    <xf numFmtId="165" fontId="58" fillId="9" borderId="0" xfId="0" applyNumberFormat="1" applyFont="1" applyFill="1" applyAlignment="1">
      <alignment horizontal="center" vertical="center"/>
    </xf>
    <xf numFmtId="0" fontId="12" fillId="6" borderId="24" xfId="0" applyFont="1" applyFill="1" applyBorder="1" applyAlignment="1">
      <alignment horizontal="center" vertical="center"/>
    </xf>
    <xf numFmtId="165" fontId="58" fillId="6" borderId="24" xfId="0" applyNumberFormat="1" applyFont="1" applyFill="1" applyBorder="1" applyAlignment="1">
      <alignment horizontal="center" vertical="center"/>
    </xf>
    <xf numFmtId="165" fontId="58" fillId="6" borderId="0" xfId="0" applyNumberFormat="1" applyFont="1" applyFill="1" applyAlignment="1">
      <alignment horizontal="center" vertical="center"/>
    </xf>
    <xf numFmtId="165" fontId="12" fillId="7" borderId="59" xfId="0" applyNumberFormat="1" applyFont="1" applyFill="1" applyBorder="1" applyAlignment="1">
      <alignment horizontal="left" vertical="center"/>
    </xf>
    <xf numFmtId="165" fontId="58" fillId="7" borderId="59" xfId="0" applyNumberFormat="1" applyFont="1" applyFill="1" applyBorder="1" applyAlignment="1">
      <alignment horizontal="center" vertical="center"/>
    </xf>
    <xf numFmtId="165" fontId="58" fillId="7" borderId="0" xfId="0" applyNumberFormat="1" applyFont="1" applyFill="1" applyAlignment="1">
      <alignment horizontal="center" vertical="center"/>
    </xf>
    <xf numFmtId="169" fontId="12" fillId="2" borderId="0" xfId="0" applyNumberFormat="1" applyFont="1" applyFill="1" applyAlignment="1">
      <alignment horizontal="center" vertical="center"/>
    </xf>
    <xf numFmtId="165" fontId="12" fillId="2" borderId="0" xfId="0" applyNumberFormat="1" applyFont="1" applyFill="1" applyAlignment="1">
      <alignment horizontal="center" vertical="center"/>
    </xf>
    <xf numFmtId="0" fontId="29" fillId="0" borderId="0" xfId="4" applyFont="1" applyAlignment="1" applyProtection="1">
      <alignment horizontal="left" vertical="center" wrapText="1"/>
      <protection locked="0" hidden="1"/>
    </xf>
    <xf numFmtId="0" fontId="35" fillId="11" borderId="40" xfId="17" applyFont="1" applyFill="1" applyBorder="1" applyAlignment="1">
      <alignment horizontal="center" vertical="center" wrapText="1"/>
    </xf>
    <xf numFmtId="0" fontId="36" fillId="12" borderId="40" xfId="4" applyFont="1" applyFill="1" applyBorder="1" applyAlignment="1">
      <alignment horizontal="center" vertical="center"/>
    </xf>
    <xf numFmtId="0" fontId="36" fillId="10" borderId="40" xfId="4" applyFont="1" applyFill="1" applyBorder="1" applyAlignment="1">
      <alignment horizontal="center" vertical="center"/>
    </xf>
    <xf numFmtId="165" fontId="36" fillId="10" borderId="40" xfId="4" applyNumberFormat="1" applyFont="1" applyFill="1" applyBorder="1" applyAlignment="1">
      <alignment horizontal="center" vertical="center"/>
    </xf>
    <xf numFmtId="0" fontId="29" fillId="0" borderId="0" xfId="4" applyFont="1" applyAlignment="1" applyProtection="1">
      <alignment horizontal="left" vertical="center"/>
      <protection locked="0" hidden="1"/>
    </xf>
    <xf numFmtId="0" fontId="44" fillId="0" borderId="0" xfId="4" applyFont="1" applyAlignment="1" applyProtection="1">
      <alignment vertical="center"/>
      <protection locked="0" hidden="1"/>
    </xf>
    <xf numFmtId="0" fontId="44" fillId="0" borderId="0" xfId="4" applyFont="1" applyAlignment="1" applyProtection="1">
      <alignment vertical="center" wrapText="1"/>
      <protection locked="0" hidden="1"/>
    </xf>
    <xf numFmtId="0" fontId="47" fillId="0" borderId="0" xfId="4" applyFont="1" applyAlignment="1" applyProtection="1">
      <alignment vertical="center" wrapText="1"/>
      <protection locked="0" hidden="1"/>
    </xf>
    <xf numFmtId="0" fontId="48" fillId="0" borderId="0" xfId="4" applyFont="1" applyAlignment="1" applyProtection="1">
      <alignment horizontal="left" vertical="center"/>
      <protection locked="0" hidden="1"/>
    </xf>
    <xf numFmtId="0" fontId="4" fillId="6" borderId="21" xfId="0" applyFont="1" applyFill="1" applyBorder="1" applyAlignment="1">
      <alignment horizontal="left" vertical="center"/>
    </xf>
    <xf numFmtId="0" fontId="4" fillId="6" borderId="22" xfId="0" applyFont="1" applyFill="1" applyBorder="1" applyAlignment="1">
      <alignment horizontal="left" vertical="center"/>
    </xf>
    <xf numFmtId="0" fontId="4" fillId="6" borderId="23" xfId="0" applyFont="1" applyFill="1" applyBorder="1" applyAlignment="1">
      <alignment horizontal="left" vertical="center"/>
    </xf>
    <xf numFmtId="0" fontId="4" fillId="7" borderId="27" xfId="0" applyFont="1" applyFill="1" applyBorder="1" applyAlignment="1">
      <alignment horizontal="left" vertical="center"/>
    </xf>
    <xf numFmtId="0" fontId="4" fillId="7" borderId="28" xfId="0" applyFont="1" applyFill="1" applyBorder="1" applyAlignment="1">
      <alignment horizontal="left" vertical="center"/>
    </xf>
    <xf numFmtId="0" fontId="4" fillId="7" borderId="29" xfId="0" applyFont="1" applyFill="1" applyBorder="1" applyAlignment="1">
      <alignment horizontal="left"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0" xfId="0" applyFont="1" applyFill="1" applyAlignment="1">
      <alignment horizontal="center" vertical="center"/>
    </xf>
    <xf numFmtId="0" fontId="6" fillId="3" borderId="3" xfId="0" applyFont="1" applyFill="1" applyBorder="1" applyAlignment="1">
      <alignment horizontal="center" vertical="center"/>
    </xf>
    <xf numFmtId="0" fontId="0" fillId="2" borderId="1" xfId="1" applyFont="1" applyFill="1" applyBorder="1" applyAlignment="1">
      <alignment horizontal="center" vertical="center"/>
    </xf>
    <xf numFmtId="0" fontId="8" fillId="6" borderId="8"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4" fillId="8" borderId="15"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17" xfId="0" applyFont="1" applyFill="1" applyBorder="1" applyAlignment="1">
      <alignment horizontal="center" vertical="center"/>
    </xf>
    <xf numFmtId="0" fontId="4" fillId="9" borderId="21" xfId="0" applyFont="1" applyFill="1" applyBorder="1" applyAlignment="1">
      <alignment horizontal="left" vertical="center"/>
    </xf>
    <xf numFmtId="0" fontId="4" fillId="9" borderId="22" xfId="0" applyFont="1" applyFill="1" applyBorder="1" applyAlignment="1">
      <alignment horizontal="left" vertical="center"/>
    </xf>
    <xf numFmtId="0" fontId="4" fillId="9" borderId="23" xfId="0" applyFont="1" applyFill="1" applyBorder="1" applyAlignment="1">
      <alignment horizontal="left" vertical="center"/>
    </xf>
    <xf numFmtId="0" fontId="58" fillId="9" borderId="24" xfId="0" applyFont="1" applyFill="1" applyBorder="1" applyAlignment="1">
      <alignment horizontal="left" vertical="center"/>
    </xf>
    <xf numFmtId="0" fontId="58" fillId="6" borderId="24" xfId="0" applyFont="1" applyFill="1" applyBorder="1" applyAlignment="1">
      <alignment horizontal="left" vertical="center"/>
    </xf>
    <xf numFmtId="0" fontId="58" fillId="7" borderId="59" xfId="0" applyFont="1" applyFill="1" applyBorder="1" applyAlignment="1">
      <alignment horizontal="left" vertical="center"/>
    </xf>
    <xf numFmtId="0" fontId="59" fillId="3" borderId="52" xfId="0" applyFont="1" applyFill="1" applyBorder="1" applyAlignment="1">
      <alignment horizontal="center" vertical="center"/>
    </xf>
    <xf numFmtId="0" fontId="59" fillId="3" borderId="2" xfId="0" applyFont="1" applyFill="1" applyBorder="1" applyAlignment="1">
      <alignment horizontal="center" vertical="center"/>
    </xf>
    <xf numFmtId="0" fontId="59" fillId="3" borderId="0" xfId="0" applyFont="1" applyFill="1" applyAlignment="1">
      <alignment horizontal="center" vertical="center"/>
    </xf>
    <xf numFmtId="0" fontId="59" fillId="3" borderId="3" xfId="0" applyFont="1" applyFill="1" applyBorder="1" applyAlignment="1">
      <alignment horizontal="center" vertical="center"/>
    </xf>
    <xf numFmtId="0" fontId="12" fillId="2" borderId="53" xfId="1" applyFont="1" applyFill="1" applyBorder="1" applyAlignment="1">
      <alignment horizontal="center" vertical="center"/>
    </xf>
    <xf numFmtId="0" fontId="12" fillId="2" borderId="4" xfId="1" applyFont="1" applyFill="1" applyBorder="1" applyAlignment="1">
      <alignment horizontal="center" vertical="center"/>
    </xf>
    <xf numFmtId="0" fontId="14" fillId="6" borderId="8" xfId="0" applyFont="1" applyFill="1" applyBorder="1" applyAlignment="1">
      <alignment horizontal="center" vertical="center"/>
    </xf>
    <xf numFmtId="0" fontId="14" fillId="6" borderId="55" xfId="0" applyFont="1" applyFill="1" applyBorder="1" applyAlignment="1">
      <alignment horizontal="center" vertical="center"/>
    </xf>
    <xf numFmtId="0" fontId="14" fillId="6" borderId="56" xfId="0" applyFont="1" applyFill="1" applyBorder="1" applyAlignment="1">
      <alignment horizontal="center" vertical="center"/>
    </xf>
    <xf numFmtId="0" fontId="58" fillId="8" borderId="24" xfId="0" applyFont="1" applyFill="1" applyBorder="1" applyAlignment="1">
      <alignment horizontal="center" vertical="center"/>
    </xf>
    <xf numFmtId="0" fontId="55" fillId="10" borderId="1" xfId="18" applyFont="1" applyFill="1" applyBorder="1" applyAlignment="1">
      <alignment horizontal="center" vertical="center"/>
    </xf>
    <xf numFmtId="0" fontId="51" fillId="13" borderId="0" xfId="18" applyFont="1" applyFill="1" applyAlignment="1">
      <alignment horizontal="center"/>
    </xf>
    <xf numFmtId="0" fontId="50" fillId="0" borderId="0" xfId="18"/>
    <xf numFmtId="0" fontId="50" fillId="0" borderId="0" xfId="18" applyAlignment="1">
      <alignment horizontal="center"/>
    </xf>
    <xf numFmtId="175" fontId="50" fillId="0" borderId="13" xfId="18" applyNumberFormat="1" applyBorder="1" applyAlignment="1">
      <alignment horizontal="center" vertical="center"/>
    </xf>
    <xf numFmtId="175" fontId="50" fillId="0" borderId="51" xfId="18" applyNumberFormat="1" applyBorder="1" applyAlignment="1">
      <alignment horizontal="center" vertical="center"/>
    </xf>
    <xf numFmtId="0" fontId="13" fillId="3" borderId="41" xfId="4" applyFont="1" applyFill="1" applyBorder="1" applyAlignment="1">
      <alignment horizontal="center" vertical="center"/>
    </xf>
    <xf numFmtId="0" fontId="13" fillId="3" borderId="42" xfId="4" applyFont="1" applyFill="1" applyBorder="1" applyAlignment="1">
      <alignment horizontal="center" vertical="center"/>
    </xf>
    <xf numFmtId="0" fontId="52" fillId="6" borderId="48" xfId="18" applyFont="1" applyFill="1" applyBorder="1" applyAlignment="1">
      <alignment horizontal="center" vertical="center"/>
    </xf>
    <xf numFmtId="0" fontId="52" fillId="6" borderId="49" xfId="18" applyFont="1" applyFill="1" applyBorder="1" applyAlignment="1">
      <alignment horizontal="center" vertical="center"/>
    </xf>
    <xf numFmtId="0" fontId="52" fillId="6" borderId="11" xfId="18" applyFont="1" applyFill="1" applyBorder="1" applyAlignment="1">
      <alignment horizontal="center" vertical="center"/>
    </xf>
  </cellXfs>
  <cellStyles count="21">
    <cellStyle name="Comma" xfId="19" builtinId="3"/>
    <cellStyle name="Comma 10" xfId="10" xr:uid="{22EBFB54-E2A0-412D-9344-62F9E0222B0E}"/>
    <cellStyle name="Comma 2 2" xfId="6" xr:uid="{A8CC627B-A087-4C67-BCBE-2A517AD70894}"/>
    <cellStyle name="Comma 2 3 2" xfId="3" xr:uid="{50FA60E8-A045-4127-884D-0CAEECD813B9}"/>
    <cellStyle name="Comma 2 3 3" xfId="2" xr:uid="{FFCD7521-52F8-43C9-82F4-5A67FEB869B6}"/>
    <cellStyle name="Comma 6 2" xfId="9" xr:uid="{2A929D3D-1075-45CB-8B5F-F3D9EEEB1066}"/>
    <cellStyle name="Excel Built-in Normal 1" xfId="7" xr:uid="{B9B3869C-960E-4FD3-8C40-C1771A90511A}"/>
    <cellStyle name="Normal" xfId="0" builtinId="0"/>
    <cellStyle name="Normal 10 2" xfId="14" xr:uid="{56499065-034C-44DC-93CD-D04EB49739D4}"/>
    <cellStyle name="Normal 2" xfId="1" xr:uid="{6D946F6D-E1D7-4719-A969-593E6CA48883}"/>
    <cellStyle name="Normal 2 2" xfId="15" xr:uid="{C120947E-C84D-49B1-9969-2120DD583EB7}"/>
    <cellStyle name="Normal 2 2 2 2 2" xfId="4" xr:uid="{1B2629C0-5220-45E9-91FA-393857A94D55}"/>
    <cellStyle name="Normal 2 2 2 2 3" xfId="20" xr:uid="{06D982E2-13D7-4640-9BDF-790ACFE5B61A}"/>
    <cellStyle name="Normal 2 2 2 3" xfId="17" xr:uid="{079E01BC-B5A2-494A-8106-E78032E37C4C}"/>
    <cellStyle name="Normal 2 4" xfId="8" xr:uid="{ECAD2C60-BB07-49E0-A87F-C67E158C66BA}"/>
    <cellStyle name="Normal 3" xfId="11" xr:uid="{7CFC3115-7880-482F-AE17-E8A72CF6CA3C}"/>
    <cellStyle name="Normal 4" xfId="13" xr:uid="{2C2BC54B-E8E5-47A0-B838-26CF556B4B36}"/>
    <cellStyle name="Normal 5" xfId="18" xr:uid="{F675333C-3D69-432D-9903-CA44632EBF77}"/>
    <cellStyle name="Normal 6" xfId="12" xr:uid="{03120BE5-4DAA-40C7-AB51-4034700FD522}"/>
    <cellStyle name="Normal 6 2" xfId="16" xr:uid="{DC8317ED-0890-43AB-927F-12F2DA357C3F}"/>
    <cellStyle name="Percent 2 2" xfId="5" xr:uid="{FB1F6E70-DC70-4F89-BAE3-46F69ED471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63" Type="http://schemas.openxmlformats.org/officeDocument/2006/relationships/externalLink" Target="externalLinks/externalLink57.xml"/><Relationship Id="rId84" Type="http://schemas.openxmlformats.org/officeDocument/2006/relationships/externalLink" Target="externalLinks/externalLink78.xml"/><Relationship Id="rId138" Type="http://schemas.openxmlformats.org/officeDocument/2006/relationships/externalLink" Target="externalLinks/externalLink132.xml"/><Relationship Id="rId159" Type="http://schemas.openxmlformats.org/officeDocument/2006/relationships/externalLink" Target="externalLinks/externalLink153.xml"/><Relationship Id="rId170" Type="http://schemas.openxmlformats.org/officeDocument/2006/relationships/externalLink" Target="externalLinks/externalLink164.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53" Type="http://schemas.openxmlformats.org/officeDocument/2006/relationships/externalLink" Target="externalLinks/externalLink47.xml"/><Relationship Id="rId74" Type="http://schemas.openxmlformats.org/officeDocument/2006/relationships/externalLink" Target="externalLinks/externalLink68.xml"/><Relationship Id="rId128" Type="http://schemas.openxmlformats.org/officeDocument/2006/relationships/externalLink" Target="externalLinks/externalLink122.xml"/><Relationship Id="rId149" Type="http://schemas.openxmlformats.org/officeDocument/2006/relationships/externalLink" Target="externalLinks/externalLink143.xml"/><Relationship Id="rId5" Type="http://schemas.openxmlformats.org/officeDocument/2006/relationships/worksheet" Target="worksheets/sheet5.xml"/><Relationship Id="rId95" Type="http://schemas.openxmlformats.org/officeDocument/2006/relationships/externalLink" Target="externalLinks/externalLink89.xml"/><Relationship Id="rId160" Type="http://schemas.openxmlformats.org/officeDocument/2006/relationships/externalLink" Target="externalLinks/externalLink154.xml"/><Relationship Id="rId22" Type="http://schemas.openxmlformats.org/officeDocument/2006/relationships/externalLink" Target="externalLinks/externalLink16.xml"/><Relationship Id="rId43" Type="http://schemas.openxmlformats.org/officeDocument/2006/relationships/externalLink" Target="externalLinks/externalLink37.xml"/><Relationship Id="rId64" Type="http://schemas.openxmlformats.org/officeDocument/2006/relationships/externalLink" Target="externalLinks/externalLink58.xml"/><Relationship Id="rId118" Type="http://schemas.openxmlformats.org/officeDocument/2006/relationships/externalLink" Target="externalLinks/externalLink112.xml"/><Relationship Id="rId139" Type="http://schemas.openxmlformats.org/officeDocument/2006/relationships/externalLink" Target="externalLinks/externalLink133.xml"/><Relationship Id="rId85" Type="http://schemas.openxmlformats.org/officeDocument/2006/relationships/externalLink" Target="externalLinks/externalLink79.xml"/><Relationship Id="rId150" Type="http://schemas.openxmlformats.org/officeDocument/2006/relationships/externalLink" Target="externalLinks/externalLink144.xml"/><Relationship Id="rId171" Type="http://schemas.openxmlformats.org/officeDocument/2006/relationships/externalLink" Target="externalLinks/externalLink165.xml"/><Relationship Id="rId12" Type="http://schemas.openxmlformats.org/officeDocument/2006/relationships/externalLink" Target="externalLinks/externalLink6.xml"/><Relationship Id="rId33" Type="http://schemas.openxmlformats.org/officeDocument/2006/relationships/externalLink" Target="externalLinks/externalLink27.xml"/><Relationship Id="rId108" Type="http://schemas.openxmlformats.org/officeDocument/2006/relationships/externalLink" Target="externalLinks/externalLink102.xml"/><Relationship Id="rId129" Type="http://schemas.openxmlformats.org/officeDocument/2006/relationships/externalLink" Target="externalLinks/externalLink123.xml"/><Relationship Id="rId54" Type="http://schemas.openxmlformats.org/officeDocument/2006/relationships/externalLink" Target="externalLinks/externalLink48.xml"/><Relationship Id="rId75" Type="http://schemas.openxmlformats.org/officeDocument/2006/relationships/externalLink" Target="externalLinks/externalLink69.xml"/><Relationship Id="rId96" Type="http://schemas.openxmlformats.org/officeDocument/2006/relationships/externalLink" Target="externalLinks/externalLink90.xml"/><Relationship Id="rId140" Type="http://schemas.openxmlformats.org/officeDocument/2006/relationships/externalLink" Target="externalLinks/externalLink134.xml"/><Relationship Id="rId161" Type="http://schemas.openxmlformats.org/officeDocument/2006/relationships/externalLink" Target="externalLinks/externalLink15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119" Type="http://schemas.openxmlformats.org/officeDocument/2006/relationships/externalLink" Target="externalLinks/externalLink113.xml"/><Relationship Id="rId44" Type="http://schemas.openxmlformats.org/officeDocument/2006/relationships/externalLink" Target="externalLinks/externalLink38.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35" Type="http://schemas.openxmlformats.org/officeDocument/2006/relationships/externalLink" Target="externalLinks/externalLink129.xml"/><Relationship Id="rId151" Type="http://schemas.openxmlformats.org/officeDocument/2006/relationships/externalLink" Target="externalLinks/externalLink145.xml"/><Relationship Id="rId156" Type="http://schemas.openxmlformats.org/officeDocument/2006/relationships/externalLink" Target="externalLinks/externalLink150.xml"/><Relationship Id="rId172" Type="http://schemas.openxmlformats.org/officeDocument/2006/relationships/externalLink" Target="externalLinks/externalLink166.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120" Type="http://schemas.openxmlformats.org/officeDocument/2006/relationships/externalLink" Target="externalLinks/externalLink114.xml"/><Relationship Id="rId125" Type="http://schemas.openxmlformats.org/officeDocument/2006/relationships/externalLink" Target="externalLinks/externalLink119.xml"/><Relationship Id="rId141" Type="http://schemas.openxmlformats.org/officeDocument/2006/relationships/externalLink" Target="externalLinks/externalLink135.xml"/><Relationship Id="rId146" Type="http://schemas.openxmlformats.org/officeDocument/2006/relationships/externalLink" Target="externalLinks/externalLink140.xml"/><Relationship Id="rId167" Type="http://schemas.openxmlformats.org/officeDocument/2006/relationships/externalLink" Target="externalLinks/externalLink161.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162" Type="http://schemas.openxmlformats.org/officeDocument/2006/relationships/externalLink" Target="externalLinks/externalLink15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15" Type="http://schemas.openxmlformats.org/officeDocument/2006/relationships/externalLink" Target="externalLinks/externalLink109.xml"/><Relationship Id="rId131" Type="http://schemas.openxmlformats.org/officeDocument/2006/relationships/externalLink" Target="externalLinks/externalLink125.xml"/><Relationship Id="rId136" Type="http://schemas.openxmlformats.org/officeDocument/2006/relationships/externalLink" Target="externalLinks/externalLink130.xml"/><Relationship Id="rId157" Type="http://schemas.openxmlformats.org/officeDocument/2006/relationships/externalLink" Target="externalLinks/externalLink15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52" Type="http://schemas.openxmlformats.org/officeDocument/2006/relationships/externalLink" Target="externalLinks/externalLink146.xml"/><Relationship Id="rId173" Type="http://schemas.openxmlformats.org/officeDocument/2006/relationships/theme" Target="theme/theme1.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147" Type="http://schemas.openxmlformats.org/officeDocument/2006/relationships/externalLink" Target="externalLinks/externalLink141.xml"/><Relationship Id="rId168" Type="http://schemas.openxmlformats.org/officeDocument/2006/relationships/externalLink" Target="externalLinks/externalLink162.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142" Type="http://schemas.openxmlformats.org/officeDocument/2006/relationships/externalLink" Target="externalLinks/externalLink136.xml"/><Relationship Id="rId163" Type="http://schemas.openxmlformats.org/officeDocument/2006/relationships/externalLink" Target="externalLinks/externalLink157.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116" Type="http://schemas.openxmlformats.org/officeDocument/2006/relationships/externalLink" Target="externalLinks/externalLink110.xml"/><Relationship Id="rId137" Type="http://schemas.openxmlformats.org/officeDocument/2006/relationships/externalLink" Target="externalLinks/externalLink131.xml"/><Relationship Id="rId158" Type="http://schemas.openxmlformats.org/officeDocument/2006/relationships/externalLink" Target="externalLinks/externalLink152.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3" Type="http://schemas.openxmlformats.org/officeDocument/2006/relationships/externalLink" Target="externalLinks/externalLink147.xml"/><Relationship Id="rId174" Type="http://schemas.openxmlformats.org/officeDocument/2006/relationships/styles" Target="styles.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143" Type="http://schemas.openxmlformats.org/officeDocument/2006/relationships/externalLink" Target="externalLinks/externalLink137.xml"/><Relationship Id="rId148" Type="http://schemas.openxmlformats.org/officeDocument/2006/relationships/externalLink" Target="externalLinks/externalLink142.xml"/><Relationship Id="rId164" Type="http://schemas.openxmlformats.org/officeDocument/2006/relationships/externalLink" Target="externalLinks/externalLink158.xml"/><Relationship Id="rId169" Type="http://schemas.openxmlformats.org/officeDocument/2006/relationships/externalLink" Target="externalLinks/externalLink163.xml"/><Relationship Id="rId4" Type="http://schemas.openxmlformats.org/officeDocument/2006/relationships/worksheet" Target="worksheets/sheet4.xml"/><Relationship Id="rId9" Type="http://schemas.openxmlformats.org/officeDocument/2006/relationships/externalLink" Target="externalLinks/externalLink3.xml"/><Relationship Id="rId26" Type="http://schemas.openxmlformats.org/officeDocument/2006/relationships/externalLink" Target="externalLinks/externalLink20.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externalLink" Target="externalLinks/externalLink127.xml"/><Relationship Id="rId154" Type="http://schemas.openxmlformats.org/officeDocument/2006/relationships/externalLink" Target="externalLinks/externalLink148.xml"/><Relationship Id="rId175" Type="http://schemas.openxmlformats.org/officeDocument/2006/relationships/sharedStrings" Target="sharedStrings.xml"/><Relationship Id="rId16" Type="http://schemas.openxmlformats.org/officeDocument/2006/relationships/externalLink" Target="externalLinks/externalLink10.xml"/><Relationship Id="rId37" Type="http://schemas.openxmlformats.org/officeDocument/2006/relationships/externalLink" Target="externalLinks/externalLink31.xml"/><Relationship Id="rId58" Type="http://schemas.openxmlformats.org/officeDocument/2006/relationships/externalLink" Target="externalLinks/externalLink52.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44" Type="http://schemas.openxmlformats.org/officeDocument/2006/relationships/externalLink" Target="externalLinks/externalLink138.xml"/><Relationship Id="rId90" Type="http://schemas.openxmlformats.org/officeDocument/2006/relationships/externalLink" Target="externalLinks/externalLink84.xml"/><Relationship Id="rId165" Type="http://schemas.openxmlformats.org/officeDocument/2006/relationships/externalLink" Target="externalLinks/externalLink159.xml"/><Relationship Id="rId27" Type="http://schemas.openxmlformats.org/officeDocument/2006/relationships/externalLink" Target="externalLinks/externalLink21.xml"/><Relationship Id="rId48" Type="http://schemas.openxmlformats.org/officeDocument/2006/relationships/externalLink" Target="externalLinks/externalLink42.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34" Type="http://schemas.openxmlformats.org/officeDocument/2006/relationships/externalLink" Target="externalLinks/externalLink128.xml"/><Relationship Id="rId80" Type="http://schemas.openxmlformats.org/officeDocument/2006/relationships/externalLink" Target="externalLinks/externalLink74.xml"/><Relationship Id="rId155" Type="http://schemas.openxmlformats.org/officeDocument/2006/relationships/externalLink" Target="externalLinks/externalLink149.xml"/><Relationship Id="rId176" Type="http://schemas.openxmlformats.org/officeDocument/2006/relationships/calcChain" Target="calcChain.xml"/><Relationship Id="rId17" Type="http://schemas.openxmlformats.org/officeDocument/2006/relationships/externalLink" Target="externalLinks/externalLink11.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24" Type="http://schemas.openxmlformats.org/officeDocument/2006/relationships/externalLink" Target="externalLinks/externalLink118.xml"/><Relationship Id="rId70" Type="http://schemas.openxmlformats.org/officeDocument/2006/relationships/externalLink" Target="externalLinks/externalLink64.xml"/><Relationship Id="rId91" Type="http://schemas.openxmlformats.org/officeDocument/2006/relationships/externalLink" Target="externalLinks/externalLink85.xml"/><Relationship Id="rId145" Type="http://schemas.openxmlformats.org/officeDocument/2006/relationships/externalLink" Target="externalLinks/externalLink139.xml"/><Relationship Id="rId166" Type="http://schemas.openxmlformats.org/officeDocument/2006/relationships/externalLink" Target="externalLinks/externalLink16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319860</xdr:colOff>
      <xdr:row>0</xdr:row>
      <xdr:rowOff>161842</xdr:rowOff>
    </xdr:from>
    <xdr:to>
      <xdr:col>3</xdr:col>
      <xdr:colOff>217796</xdr:colOff>
      <xdr:row>6</xdr:row>
      <xdr:rowOff>57223</xdr:rowOff>
    </xdr:to>
    <xdr:pic>
      <xdr:nvPicPr>
        <xdr:cNvPr id="2" name="Picture 1">
          <a:extLst>
            <a:ext uri="{FF2B5EF4-FFF2-40B4-BE49-F238E27FC236}">
              <a16:creationId xmlns:a16="http://schemas.microsoft.com/office/drawing/2014/main" id="{16F32BD0-9D5C-4F4C-93B3-7851FC19B5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179" y="161842"/>
          <a:ext cx="1529315" cy="997908"/>
        </a:xfrm>
        <a:prstGeom prst="rect">
          <a:avLst/>
        </a:prstGeom>
      </xdr:spPr>
    </xdr:pic>
    <xdr:clientData/>
  </xdr:twoCellAnchor>
  <xdr:twoCellAnchor editAs="oneCell">
    <xdr:from>
      <xdr:col>6</xdr:col>
      <xdr:colOff>0</xdr:colOff>
      <xdr:row>6</xdr:row>
      <xdr:rowOff>0</xdr:rowOff>
    </xdr:from>
    <xdr:to>
      <xdr:col>6</xdr:col>
      <xdr:colOff>304800</xdr:colOff>
      <xdr:row>7</xdr:row>
      <xdr:rowOff>112619</xdr:rowOff>
    </xdr:to>
    <xdr:sp macro="" textlink="">
      <xdr:nvSpPr>
        <xdr:cNvPr id="4" name="AutoShape 2" descr="Home">
          <a:extLst>
            <a:ext uri="{FF2B5EF4-FFF2-40B4-BE49-F238E27FC236}">
              <a16:creationId xmlns:a16="http://schemas.microsoft.com/office/drawing/2014/main" id="{ACE1E127-1D3D-4EAB-8C86-F72A73A7E124}"/>
            </a:ext>
          </a:extLst>
        </xdr:cNvPr>
        <xdr:cNvSpPr>
          <a:spLocks noChangeAspect="1" noChangeArrowheads="1"/>
        </xdr:cNvSpPr>
      </xdr:nvSpPr>
      <xdr:spPr bwMode="auto">
        <a:xfrm>
          <a:off x="10414000" y="3429000"/>
          <a:ext cx="304800" cy="2967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12</xdr:row>
      <xdr:rowOff>0</xdr:rowOff>
    </xdr:from>
    <xdr:ext cx="304800" cy="325532"/>
    <xdr:sp macro="" textlink="">
      <xdr:nvSpPr>
        <xdr:cNvPr id="5" name="AutoShape 2" descr="Home">
          <a:extLst>
            <a:ext uri="{FF2B5EF4-FFF2-40B4-BE49-F238E27FC236}">
              <a16:creationId xmlns:a16="http://schemas.microsoft.com/office/drawing/2014/main" id="{2B3B1990-E900-4756-9B73-17179ADD1358}"/>
            </a:ext>
          </a:extLst>
        </xdr:cNvPr>
        <xdr:cNvSpPr>
          <a:spLocks noChangeAspect="1" noChangeArrowheads="1"/>
        </xdr:cNvSpPr>
      </xdr:nvSpPr>
      <xdr:spPr bwMode="auto">
        <a:xfrm>
          <a:off x="12560300" y="530860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2603"/>
    <xdr:sp macro="" textlink="">
      <xdr:nvSpPr>
        <xdr:cNvPr id="6" name="AutoShape 2" descr="Home">
          <a:extLst>
            <a:ext uri="{FF2B5EF4-FFF2-40B4-BE49-F238E27FC236}">
              <a16:creationId xmlns:a16="http://schemas.microsoft.com/office/drawing/2014/main" id="{97FD11D1-E88F-48EE-B6DB-36E72B9C4679}"/>
            </a:ext>
          </a:extLst>
        </xdr:cNvPr>
        <xdr:cNvSpPr>
          <a:spLocks noChangeAspect="1" noChangeArrowheads="1"/>
        </xdr:cNvSpPr>
      </xdr:nvSpPr>
      <xdr:spPr bwMode="auto">
        <a:xfrm>
          <a:off x="12560300" y="530860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25532"/>
    <xdr:sp macro="" textlink="">
      <xdr:nvSpPr>
        <xdr:cNvPr id="7" name="AutoShape 2" descr="Home">
          <a:extLst>
            <a:ext uri="{FF2B5EF4-FFF2-40B4-BE49-F238E27FC236}">
              <a16:creationId xmlns:a16="http://schemas.microsoft.com/office/drawing/2014/main" id="{DF120168-4953-42A3-B7CD-ED0C71AFD65A}"/>
            </a:ext>
          </a:extLst>
        </xdr:cNvPr>
        <xdr:cNvSpPr>
          <a:spLocks noChangeAspect="1" noChangeArrowheads="1"/>
        </xdr:cNvSpPr>
      </xdr:nvSpPr>
      <xdr:spPr bwMode="auto">
        <a:xfrm>
          <a:off x="12560300" y="530860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2603"/>
    <xdr:sp macro="" textlink="">
      <xdr:nvSpPr>
        <xdr:cNvPr id="8" name="AutoShape 2" descr="Home">
          <a:extLst>
            <a:ext uri="{FF2B5EF4-FFF2-40B4-BE49-F238E27FC236}">
              <a16:creationId xmlns:a16="http://schemas.microsoft.com/office/drawing/2014/main" id="{0682989E-6A5F-42D7-A046-E0A41AB42B7D}"/>
            </a:ext>
          </a:extLst>
        </xdr:cNvPr>
        <xdr:cNvSpPr>
          <a:spLocks noChangeAspect="1" noChangeArrowheads="1"/>
        </xdr:cNvSpPr>
      </xdr:nvSpPr>
      <xdr:spPr bwMode="auto">
        <a:xfrm>
          <a:off x="12560300" y="530860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295276"/>
    <xdr:sp macro="" textlink="">
      <xdr:nvSpPr>
        <xdr:cNvPr id="9" name="AutoShape 2" descr="Home">
          <a:extLst>
            <a:ext uri="{FF2B5EF4-FFF2-40B4-BE49-F238E27FC236}">
              <a16:creationId xmlns:a16="http://schemas.microsoft.com/office/drawing/2014/main" id="{F1F80D1B-2B2A-47A9-B79C-6368FE9D15E8}"/>
            </a:ext>
          </a:extLst>
        </xdr:cNvPr>
        <xdr:cNvSpPr>
          <a:spLocks noChangeAspect="1" noChangeArrowheads="1"/>
        </xdr:cNvSpPr>
      </xdr:nvSpPr>
      <xdr:spPr bwMode="auto">
        <a:xfrm>
          <a:off x="12560300" y="530860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25532"/>
    <xdr:sp macro="" textlink="">
      <xdr:nvSpPr>
        <xdr:cNvPr id="10" name="AutoShape 2" descr="Home">
          <a:extLst>
            <a:ext uri="{FF2B5EF4-FFF2-40B4-BE49-F238E27FC236}">
              <a16:creationId xmlns:a16="http://schemas.microsoft.com/office/drawing/2014/main" id="{2C91D860-BBE8-4963-92F1-2DA329B1653D}"/>
            </a:ext>
          </a:extLst>
        </xdr:cNvPr>
        <xdr:cNvSpPr>
          <a:spLocks noChangeAspect="1" noChangeArrowheads="1"/>
        </xdr:cNvSpPr>
      </xdr:nvSpPr>
      <xdr:spPr bwMode="auto">
        <a:xfrm>
          <a:off x="12560300" y="530860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2603"/>
    <xdr:sp macro="" textlink="">
      <xdr:nvSpPr>
        <xdr:cNvPr id="11" name="AutoShape 2" descr="Home">
          <a:extLst>
            <a:ext uri="{FF2B5EF4-FFF2-40B4-BE49-F238E27FC236}">
              <a16:creationId xmlns:a16="http://schemas.microsoft.com/office/drawing/2014/main" id="{7BBBE108-ED1C-4FB0-8ADB-CFD54741A05B}"/>
            </a:ext>
          </a:extLst>
        </xdr:cNvPr>
        <xdr:cNvSpPr>
          <a:spLocks noChangeAspect="1" noChangeArrowheads="1"/>
        </xdr:cNvSpPr>
      </xdr:nvSpPr>
      <xdr:spPr bwMode="auto">
        <a:xfrm>
          <a:off x="12560300" y="530860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25532"/>
    <xdr:sp macro="" textlink="">
      <xdr:nvSpPr>
        <xdr:cNvPr id="12" name="AutoShape 2" descr="Home">
          <a:extLst>
            <a:ext uri="{FF2B5EF4-FFF2-40B4-BE49-F238E27FC236}">
              <a16:creationId xmlns:a16="http://schemas.microsoft.com/office/drawing/2014/main" id="{26E4AF13-8C99-4580-BD9E-AB36A986B86C}"/>
            </a:ext>
          </a:extLst>
        </xdr:cNvPr>
        <xdr:cNvSpPr>
          <a:spLocks noChangeAspect="1" noChangeArrowheads="1"/>
        </xdr:cNvSpPr>
      </xdr:nvSpPr>
      <xdr:spPr bwMode="auto">
        <a:xfrm>
          <a:off x="12560300" y="530860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xdr:row>
      <xdr:rowOff>0</xdr:rowOff>
    </xdr:from>
    <xdr:ext cx="304800" cy="302603"/>
    <xdr:sp macro="" textlink="">
      <xdr:nvSpPr>
        <xdr:cNvPr id="13" name="AutoShape 2" descr="Home">
          <a:extLst>
            <a:ext uri="{FF2B5EF4-FFF2-40B4-BE49-F238E27FC236}">
              <a16:creationId xmlns:a16="http://schemas.microsoft.com/office/drawing/2014/main" id="{5D8CD568-8AB8-4F05-BE91-EA92DF2174C6}"/>
            </a:ext>
          </a:extLst>
        </xdr:cNvPr>
        <xdr:cNvSpPr>
          <a:spLocks noChangeAspect="1" noChangeArrowheads="1"/>
        </xdr:cNvSpPr>
      </xdr:nvSpPr>
      <xdr:spPr bwMode="auto">
        <a:xfrm>
          <a:off x="12560300" y="530860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bkumar\Local%20Settings\Temporary%20Internet%20Files\OLKB5\WINDOWS\TEMP\PARANCH\TCRADP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bkumar\Local%20Settings\Temporary%20Internet%20Files\OLKB5\WINDOWS\TEMP\PARANCH\TCRADPR.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Koyali-dehaj-1-10.04.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rystal\LG-DATA\lg-data\STP-JAIPUR\SUBMIT%20TO%20VATECH\P061-E0020-01-R0-ear-15-05-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ntdatacenter\EDRC%20WET%20projects\Under%20preparation\Load%20Analysis%20&amp;%20Trafo.%20sizing%20-%20Anrak%20%20Settler%20&amp;%20Washer%20(BYC-209014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ntdatacenter\EDRC%20WET%20projects\case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atech\contract\BWSSB\Drawings%20and%20Documents\Process\Design%20calculations\Biopur%20Rev2.1_av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Term%20&amp;%20WC%20loan\int%20on%20term%20loan%2001-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Projects\BOM_Template\Vijay%20Gharpure%20-Documents\Customer%20Specific%20Pricing\Payment%20Gateway\Price%20sheet%20-%20Payment%20Gateway%20-%202309201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Projects\BOM_Template\Vijay%20Gharpure%20-Documents\Customer%20Specific%20Pricing\Payment%20Gateway\Price%20sheet%20-%20Payment%20Gateway%20-%20230920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0.2\presales\Balaji\NCC%20Pondicherry%20Tindivanam\Design%20Inputs%20-%20Handover%2019.04.10\From%20Sunil\Costing%20forToll%20system_Pondicherry%20Tindivanam%20Project_NCC%20-%2007-12-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Deepak%20Nimare\Documents\Cyan\Technical\IT%20Infrastructure\ServerSizing\NewFormat_05-Jan-2020\Omnimesh%20Environment%20Dimensioning%20AAABBBCCCV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Deepak%20Nimare/Documents/Cyan/Technical/IT%20Infrastructure/ServerSizing/NewFormat_05-Jan-2020/Omnimesh%20Environment%20Dimensioning%20AAABBBCCCV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esdscorp-my.sharepoint.com/Users/Deepak%20Nimare/Documents/Cyan/Technical/IT%20Infrastructure/ServerSizing/NewFormat_05-Jan-2020/Omnimesh%20Environment%20Dimensioning%20AAABBBCCCV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10620152\AppData\Local\Microsoft\Windows\Temporary%20Internet%20Files\Content.Outlook\TKU0PEHO\Product%20checklist_SYI.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esdscorp-my.sharepoint.com/Users/10620152/AppData/Local/Microsoft/Windows/Temporary%20Internet%20Files/Content.Outlook/TKU0PEHO/Product%20checklist_SYI.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pankajbadaya\Desktop\tem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Users\pankajbadaya\Desktop\tem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MICO_0802200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Finance%20&amp;%20Comercial\MIS\Jagdeepak.Sharma\HP\Butter%20Budget%2009-10%20hp%20option%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85E1C049\Price%20sheet%20-%20Payment%20Gateway%20-%2023092013.xlsx"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R%20Source%20Environment%20Qualifier(Vijay)V5.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ommercials\Bihar%20Sharif\V4_BOQ_AllinOne.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esdscorp-my.sharepoint.com/Commercials/Bihar%20Sharif/V4_BOQ_AllinOne.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Commercials\Bihar%20Sharif\V4_BOQ_AllinOne.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ntdatacenter\EDRC%20WET%20projects\AKKS\GIPCL%20-%20ELHS\Document\IO%20List%20Rev%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0.0.2\presales\HTMS\O&amp;M\BD\Krishangiri%20Walajapet\OM%20Cost%20Krishnagiri_Walajapet_12.08.0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pankajbadaya\Desktop\saihous.e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Users\pankajbadaya\Desktop\saihous.ele.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OTOROL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nts%20and%20Settings\Administrator\Desktop\MDFPL%2006-07\KSS\WINDOWS\Desktop\New%20BS%2031.12.05\BS%2031.12.2005%20F\New%20Folder\RAKESHB\Term%20&amp;%20WC%20loan\int%20on%20term%20loan%2001-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Documents%20and%20Settings\Administrator\Desktop\MDFPL%2006-07\KSS\WINDOWS\Desktop\New%20BS%2031.12.05\BS%2031.12.2005%20F\New%20Folder\RAKESHB\Term%20&amp;%20WC%20loan\int%20on%20term%20loan%2001-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esdscorp-my.sharepoint.com/Documents%20and%20Settings/Administrator/Desktop/MDFPL%2006-07/KSS/WINDOWS/Desktop/New%20BS%2031.12.05/BS%2031.12.2005%20F/New%20Folder/RAKESHB/Term%20&amp;%20WC%20loan/int%20on%20term%20loan%2001-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pankajbadaya\Desktop\RATE%20ANALYSIS%20HYDRAULIC%2017-03-20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ers\pankajbadaya\Desktop\RATE%20ANALYSIS%20HYDRAULIC%2017-03-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1\ADMINI~1\LOCALS~1\Temp\C.Notes.Data\AMS%20Application%20Assessment%20Evaluatio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DOCUME~1\ADMINI~1\LOCALS~1\Temp\C.Notes.Data\AMS%20Application%20Assessment%20Evaluatio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202691\AppData\Users\170417\AppData\Local\Temp\notes69E796\Enterprise%20RFP\RFP%20requirements%20for%20Compliances%20V0.1.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sdscorp-my.sharepoint.com/Users/202691/AppData/Users/170417/AppData/Local/Temp/notes69E796/Enterprise%20RFP/RFP%20requirements%20for%20Compliances%20V0.1.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sers\nbkuz2d\AppData\Local\Microsoft\Windows\Temporary%20Internet%20Files\Content.Outlook\581ZAIAZ\GWIM%20Int\India\Satish%20GWIM%20India%20BASIL%20separation%20Stage%201%20TI%20costing%20estimate.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nbkuz2d\AppData\Local\Microsoft\Windows\Temporary%20Internet%20Files\Content.Outlook\581ZAIAZ\GWIM%20Int\India\Satish%20GWIM%20India%20BASIL%20separation%20Stage%201%20TI%20costing%20estimate.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esdscorp-my.sharepoint.com/Users/nbkuz2d/AppData/Local/Microsoft/Windows/Temporary%20Internet%20Files/Content.Outlook/581ZAIAZ/GWIM%20Int/India/Satish%20GWIM%20India%20BASIL%20separation%20Stage%201%20TI%20costing%20estimate.xlsx"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Offe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C\01%20Currrent%20Projects\01%20Bosch\RAK\RAK%20Ceramics\RAK%20Docs\Final\released%20to%20Customer\Submit%20for%20RAK%20Ceramics\MANAGEMENT\RAK%20Ceramics%20BIA%20and%20RIA%20Sheet%20Consolidated%20Final%20V1%20with%20BP.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C\01%20Currrent%20Projects\01%20Bosch\RAK\RAK%20Ceramics\RAK%20Docs\Final\released%20to%20Customer\Submit%20for%20RAK%20Ceramics\MANAGEMENT\RAK%20Ceramics%20BIA%20and%20RIA%20Sheet%20Consolidated%20Final%20V1%20with%20BP.xlsx"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https://esdscorp-my.sharepoint.com/C/01%20Currrent%20Projects/01%20Bosch/RAK/RAK%20Ceramics/RAK%20Docs/Final/released%20to%20Customer/Submit%20for%20RAK%20Ceramics/MANAGEMENT/RAK%20Ceramics%20BIA%20and%20RIA%20Sheet%20Consolidated%20Final%20V1%20with%20BP.xlsx?9FB786DC" TargetMode="External"/><Relationship Id="rId1" Type="http://schemas.openxmlformats.org/officeDocument/2006/relationships/externalLinkPath" Target="file:///\\9FB786DC\RAK%20Ceramics%20BIA%20and%20RIA%20Sheet%20Consolidated%20Final%20V1%20with%20BP.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Purav%20backup\Purav\Work\New%20Business\India\Bihar%20Home\Effort%20and%20Cost%20Estimation\Bihar_DOI_SWC_(11-01-2017)_v1.0.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esdscorp-my.sharepoint.com/Purav%20backup/Purav/Work/New%20Business/India/Bihar%20Home/Effort%20and%20Cost%20Estimation/Bihar_DOI_SWC_(11-01-2017)_v1.0.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final\DOCUME~1\HARI~1.NAI\LOCALS~1\Temp\Temporary%20Directory%201%20for%20MMBC.zip\Messaging%20Services%20BC%20v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0.0.2\presales\Users\00010364\AppData\Local\Microsoft\Windows\Temporary%20Internet%20Files\Content.Outlook\UN35AWN1\OM%20Cost%20Krishnagiri_Tindivanam_17.12.10.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Md04d903/exp%20list/mis2002/misfeb2002/MODEL-Site%20Reporting%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d04d903\exp%20list\mis2002\misfeb2002\MODEL-Site%20Reporting%20200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0.0.2\presales\Dhanshri\PSEPL\Handover\From%20Balaji%20Sir\Internal%20Costing\PSEPL%20Tende%20spec%20BOQ%2026th%20March%202012%20re%20bi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Workspace\Auftraege_Aktuell\2008-12_008_UlshoeferT\DocEx%202.1\BPMMV21_BusinessProcessList_DE_e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esdscorp-my.sharepoint.com/Workspace/Auftraege_Aktuell/2008-12_008_UlshoeferT/DocEx%202.1/BPMMV21_BusinessProcessList_DE_e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Dhanshri\PSEPL\Handover\From%20Balaji%20Sir\Internal%20Costing\PSEPL%20Tende%20spec%20BOQ%2026th%20March%202012%20re%20bid.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sers\bharatsinghrao\Documents\Customers\1CMAS%20Customer\BestSeller\2018\SAP%20Requirement\Cool%20Output%207Aug2018%20Vishal%20Tak\Option1%20Standard%20Services\IC4SAP_BestSeller_2018_Sep_6_IT_Requirements_V0.7.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9D54C6C8\IC4SAP_BestSeller_2018_Sep_6_IT_Requirements_V0.7.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Users\Neeraj\AppData\Local\Microsoft\Windows\Temporary%20Internet%20Files\Content.Outlook\17D8B9V0\My%20Documents\Price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Users\Neeraj\AppData\Local\Microsoft\Windows\Temporary%20Internet%20Files\Content.Outlook\17D8B9V0\My%20Documents\Price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Documents%20and%20Settings\SP-1\Desktop\hll%20ahu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Documents%20and%20Settings\SP-1\Desktop\hll%20ahu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idaminfrastructure-my.sharepoint.com/D:/C:/var/folders/jd/8g0h04dx20bgbyzzxr_yx4_00000gn/T/TemporaryItems/notes/Network%20data%20gathering%20template%20v1%200.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lntdatacenter\EDRC%20WET%20projects\Electrical%20Group%20-%20I\ANARK\20.01.2010\LOAD%20SCH_10.11.08(R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DOCUME~1\HARI~1.NAI\LOCALS~1\Temp\Temporary%20Directory%201%20for%20MMBC.zip\Messaging%20Services%20BC%20v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DOCUME~1/HARI~1.NAI/LOCALS~1/Temp/Temporary%20Directory%201%20for%20MMBC.zip/Messaging%20Services%20BC%20v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Program%20Files\pc_conf\Templates\offer.xlt"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Program%20Files/pc_conf/Templates/offer.xlt"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esdscorp-my.sharepoint.com/Program%20Files/pc_conf/Templates/offer.xlt"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IN0P%20Hardware%20Inventory.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Users\Admin\Desktop\Pending%20Tasks\new%20cost%20sheet\Copy%20of%20IT_Initiative_ROI_Tool-n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esdscorp-my.sharepoint.com/Users/Admin/Desktop/Pending%20Tasks/new%20cost%20sheet/Copy%20of%20IT_Initiative_ROI_Tool-nm.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Md04d903\exp%20list\My%20Documents\Customers\EDAG\Audit\31.03.2002\Statutory%20Audit\Final%20Accounts\BS-EDAG-20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Md04d903/exp%20list/My%20Documents/Customers/EDAG/Audit/31.03.2002/Statutory%20Audit/Final%20Accounts/BS-EDAG-200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Administrator/Downloads/Cloud%20Hosting%20Format.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Users\Administrator\Downloads\Cloud%20Hosting%20Format.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lntdatacenter\Integrated%20Security%20Solutions\Documents%20and%20Settings\Sujoy.Majumdar\Local%20Settings\Temporary%20Internet%20Files\Content.Outlook\Z8VT1D9V\Groundwork\Delhi%20Wk\Dashboard%20ver%201.5%20Paste.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lntdatacenter\EDRC%20WET%20projects\DOCUMENTS\CALCULATIONS\TRANSFORMER%20SIZING\UNDER%20PREPARATION\ELECTRICAL\DOCUMENTS\SCEHDULE\LCS%20SCHELDUE\UNDER%20PREPARATION\LCS%20SCHEDULE%20-%20MO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drcdiskarray\ISO\Formats-Quality%20System%20Documents\ISO9001-1994\Quality%20System%20Documents-R1\Manual%20of%20Standards\GN-ST-06(2)(Design%20Sheet-Ruled).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lntcon.sharepoint.com/Documents%20and%20Settings/vvbk.HQNET/Desktop/FILES/74_21.07.2008/mundra/S1D%20(Workings)/Master/3.%20TRANSFORMER%20SIZING/rev-1/REV-1%20MUMPP%20XR%201.11.07.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pc_conf\Templates\9.7.5\angebot.xlt"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esdscorp-my.sharepoint.com/pc_conf/Templates/9.7.5/angebot.xlt"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file:///G:\2023\Nov-2023\PUVVNL\DVNNL\DeploymentArchitecture+ServerSizing_DVVNL_TS-Cluster-1_RDSS_V00_Queries.xlsx" TargetMode="External"/><Relationship Id="rId1" Type="http://schemas.openxmlformats.org/officeDocument/2006/relationships/externalLinkPath" Target="https://esdscorp-my.sharepoint.com/2023/Nov-2023/PUVVNL/DVNNL/DeploymentArchitecture+ServerSizing_DVVNL_TS-Cluster-1_RDSS_V00_Queries.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lntdatacenter\EDRC%20WET%20projects\ACTIVE-FOLDERS\ORDER\BYC-2090858-BHATINDA\ELECTRICAL\DOCUMENTS\Design%20doc\Under%20Preparation\Bhatinda%20calc.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Users\i020620\Desktop\VIP\SAMA\Project\3_Architecture\1_Deliverables\Customer%20Project%20Status%20Report%20Excel%20(T1107).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esdscorp-my.sharepoint.com/Users/i020620/Desktop/VIP/SAMA/Project/3_Architecture/1_Deliverables/Customer%20Project%20Status%20Report%20Excel%20(T1107).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wwgpeTool\System\Program\WWGPE.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F:\wwgpeTool\System\Program\WWGPE.XLS"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Template-Design%20Devt%20Estimat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Users\am831899\Desktop\Hardware%20Sizing%20V1.3.xl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Elnet-IBMS-IOlistBOQ-510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Users\rupeshs482\Documents\Rupesh%20Avinash%20Salvi\Silvassa\SSCL%20-%20Smart%20City\3.%20BoQ%20and%20Estimation\SSCL%20CCC%20Draft%20Cost%20Estimates_(PwC%20and%20TCE)_14102019_Ver%201.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esdscorp-my.sharepoint.com/Users/rupeshs482/Documents/Rupesh%20Avinash%20Salvi/Silvassa/SSCL%20-%20Smart%20City/3.%20BoQ%20and%20Estimation/SSCL%20CCC%20Draft%20Cost%20Estimates_(PwC%20and%20TCE)_14102019_Ver%201.0.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vika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Ramesh%20T%20K%20S/AppData/Local/Microsoft/Windows/Temporary%20Internet%20Files/Content.Outlook/46MIJ739/SOF-Cloud_DC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Users\Ramesh%20T%20K%20S\AppData\Local\Microsoft\Windows\Temporary%20Internet%20Files\Content.Outlook\46MIJ739\SOF-Cloud_DC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Users\I808732\Documents\CRM\PRICING\1.%20GLOBAL%20PRICING\Price%20List\2013%20PL\2013_Q4\Price_List_BSNWBO_2013_4_v10_Direc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sap-my.sharepoint.com/Users/I808732/Documents/CRM/PRICING/1.%20GLOBAL%20PRICING/Price%20List/2013%20PL/2013_Q4/Price_List_BSNWBO_2013_4_v10_Direct.xlsm"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esdscorp-my.sharepoint.com/Users/I808732/Documents/CRM/PRICING/1.%20GLOBAL%20PRICING/Price%20List/2013%20PL/2013_Q4/Price_List_BSNWBO_2013_4_v10_Direct.xlsm"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Z:\Users\k_merh\AppData\Local\Temp\Rar$DIa0.715\Master_Asset_register_April_2012.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Z:\Users\anandprakash\AppData\Local\Microsoft\Windows\INetCache\Content.Outlook\XWX375NW\Kundali-Manesar%20_Commercial%20V03%20Revised.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Users\112767\AppData\Local\Temp\notes0558E4\Sizing%20template%20CapacityPlanning_v.3_worksheet_upd_Telenor_0.5_273K.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s://esdscorp-my.sharepoint.com/Users/112767/AppData/Local/Temp/notes0558E4/Sizing%20template%20CapacityPlanning_v.3_worksheet_upd_Telenor_0.5_273K.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VB-294-O&amp;M%20COST.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DOCUME~1\ADMINI~1\LOCALS~1\Temp\notesEA312D\IB-IBM.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F:\DOCUME~1\ADMINI~1\LOCALS~1\Temp\notesEA312D\IB-IBM.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lntdatacenter\Integrated%20Security%20Solutions\Users\mithileshk\AppData\Local\Microsoft\Windows\Temporary%20Internet%20Files\Content.Outlook\T6QWZJWP\SGPGI%20LKO_PFINMW_%20Amend%201%2013.0.13.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PriceCalc%2017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Documents%20and%20Settings\Administrator\My%20Documents\PriceCalc%2017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0.0.0.2\presales\Kalpana\Marketing%20corress,%20formats%20&amp;%20tenders\Oriental%20Structural\Indore%20-%20Khalghat\Costing%20for%20Toll%20System%20for%20Oriental%20-%2026Aug0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Users\admin\AppData\Local\Temp\BOQ_itemrate_turnkey.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esdscorp-my.sharepoint.com/Users/admin/AppData/Local/Temp/BOQ_itemrate_turnkey.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Bid%20Calculation%20O&amp;M%20%20(beta-vers)%20EN.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Users\S00903~1\AppData\Local\Temp\Rar$DIa0.795\Coal%20India_2.8K%20Users_0000Hs00903946202007300004_WithDiscount_InternalPrice.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Users/S00903~1/AppData/Local/Temp/Rar$DIa0.795/Coal%20India_2.8K%20Users_0000Hs00903946202007300004_WithDiscount_InternalPrice.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Users\S00903~1\AppData\Local\Temp\Rar$DIa0.795\Coal%20India_2.8K%20Users_0000Hs00903946202007300004_WithDiscount_InternalPrice.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Amit%20Kotian\work\IDB\Current%20Clients\Airtel\Airtel%20-%20DMX\5.%20Solution%20Plan\Final%20Clarifications\Submission\Final\Accenture_BoQ%20-%20Core%20Final.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s://esdscorp-my.sharepoint.com/Amit%20Kotian/work/IDB/Current%20Clients/Airtel/Airtel%20-%20DMX/5.%20Solution%20Plan/Final%20Clarifications/Submission/Final/Accenture_BoQ%20-%20Core%20Final.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Z:\vdumont\Inde%20180607\Noida%20Toll%20Bridge%20Company%20Ltd%20-%20NTBCL\AO%20NTBCL%20Noida%20200902\RAO\DSAV\DSAV%20Inde%20Noida-v10-pc-15052009-RFID-noTag-CSpart&amp;Noida%20BOQ%20Final%20II%20VD%20split%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Users/S00903~1/AppData/Local/Temp/Rar$DIa0.131/YOTTA%20SAP%20HANA_0000Hs00903946201912100002_WithDiscount_InternalPrice.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Users\S00903~1\AppData\Local\Temp\Rar$DIa0.131\YOTTA%20SAP%20HANA_0000Hs00903946201912100002_WithDiscount_InternalPrice.xlsx" TargetMode="External"/></Relationships>
</file>

<file path=xl/externalLinks/_rels/externalLink123.xml.rels><?xml version="1.0" encoding="UTF-8" standalone="yes"?>
<Relationships xmlns="http://schemas.openxmlformats.org/package/2006/relationships"><Relationship Id="rId1" Type="http://schemas.microsoft.com/office/2006/relationships/xlExternalLinkPath/xlPathMissing" Target="poly%20cab-%20Rating%20&amp;%20volt.drop%20dt.18.1.03.xls" TargetMode="External"/></Relationships>
</file>

<file path=xl/externalLinks/_rels/externalLink124.xml.rels><?xml version="1.0" encoding="UTF-8" standalone="yes"?>
<Relationships xmlns="http://schemas.openxmlformats.org/package/2006/relationships"><Relationship Id="rId1" Type="http://schemas.microsoft.com/office/2006/relationships/xlExternalLinkPath/xlPathMissing" Target="cable%20Vdrops.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Bank%20&amp;%20Finance\int.income%20MDD%20&amp;%20HO%2001-02.xlw"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Vipul's%20Desktop%20-%2021-2-2013\Vipul%20Work\Mam's%20Work\Maharashtra%20Web%20Enabled%20System%20RFP%2003-08-2016\Maharashtra%20Costing%20Sheet%2030-8-2016.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s://esdscorp-my.sharepoint.com/Vipul's%20Desktop%20-%2021-2-2013/Vipul%20Work/Mam's%20Work/Maharashtra%20Web%20Enabled%20System%20RFP%2003-08-2016/Maharashtra%20Costing%20Sheet%2030-8-2016.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E:\Vipul's%20Desktop%20-%2021-2-2013\Vipul%20Work\Mam's%20Work\Maharashtra%20Web%20Enabled%20System%20RFP%2003-08-2016\Maharashtra%20Costing%20Sheet%2030-8-2016.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Users\siddh\Desktop\Accounts\Al%20Khozama\SAP%20Landscape%20.xlsx"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https://esdscorp-my.sharepoint.com/Users/siddh/Desktop/Accounts/Al%20Khozama/SAP%20Landscape%20.xlsx"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Vatech\o&amp;m\Tenders\O&amp;M%20TENDER\DELHI%20JAL%20BOARD\FRA_DJB%20O&amp;M24.12.02.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E-Drive\SNB\Govt\2019-2020\Q3\Smart%20City\Saharanpur\Application%20Sizing\CCN%20Sizing%20V2.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s://esdscorp-my.sharepoint.com/E-Drive/SNB/Govt/2019-2020/Q3/Smart%20City/Saharanpur/Application%20Sizing/CCN%20Sizing%20V2.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E:\E-Drive\SNB\Govt\2019-2020\Q3\Smart%20City\Saharanpur\Application%20Sizing\CCN%20Sizing%20V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Documents%20and%20Settings\u13218\My%20Documents\tasks\Copy%20of%20Server%20ConfigurationMatrix.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Documents%20and%20Settings\u13218\My%20Documents\tasks\Copy%20of%20Server%20ConfigurationMatrix.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C:\Users\gakjain\Desktop\dummy.xlsx"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lntdatacenter\EDRC%20WET%20projects\GURU\Barmer%20lift%20water%20supply%20project\Security%20Bld\Excel\SB.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FRA_DJB%20O&amp;M24.12.02.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lntdatacenter\EDRC%20WET%20projects\OPERATING%20JOBS\C_NC_8\valve%20chamber\scr.%20vl-for2m%20dia%20pipe(LS).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Y:\Balaji\NCC%20Pondicherry%20Tindivanam\Design%20Inputs%20-%20Handover%2019.04.10\From%20Sunil\Costing%20forToll%20system_Pondicherry%20Tindivanam%20Project_NCC%20-%2007-12-09.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Users\pankajbadaya\Desktop\SAMPLE.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Users\pankajbadaya\Desktop\SAMPLE.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SBBIBM/Clients/RAKESHB/BS%2031.3.03/consol%20Accts%2030.06-incl%20NBP-23.11.0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SBBIBM\Clients\RAKESHB\BS%2031.3.03\consol%20Accts%2030.06-incl%20NBP-23.11.0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HYATT.XLS"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PathMissing" Target="Worksheet%20in%202231%20MDIL%20ITO%20Final%20Accounts_2004-05_For%20Auditors_250505"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Users/Deepak%20Nimare/Documents/Cyan/Technical/IT%20Infrastructure/ServerSizing/NewFormat_05-Jan-2020/Omnimesh%20Environment%20Dimensioning_10146_SBPDCL_AMI.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Users\Deepak%20Nimare\Documents\Cyan\Technical\IT%20Infrastructure\ServerSizing\NewFormat_05-Jan-2020\Omnimesh%20Environment%20Dimensioning_10146_SBPDCL_AMI.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My%20Documents\Cost%20Sheets\Extras\1-Nov-08\Eicher%20-%20Pervious.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My%20Documents\Cost%20Sheets\Extras\1-Nov-08\Eicher%20-%20Pervious.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Users\gepadmin\Desktop\BOQ_itemrate_turnkey.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E:\Users\gepadmin\Desktop\BOQ_itemrate_turnkey.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Users\170158~1.IND\AppData\Local\Temp\notes5A9B84\ASP_Sizing_v0.3%20Apr11_2017.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https://esdscorp-my.sharepoint.com/Users/170158~1.IND/AppData/Local/Temp/notes5A9B84/ASP_Sizing_v0.3%20Apr11_2017.xlsx" TargetMode="External"/></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Md04d903/exp%20list/windows/TEMP/ASR%20newversion.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Md04d903\exp%20list\windows\TEMP\ASR%20newversion.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C:\Users\Rajendra\AppData\Local\Microsoft\Windows\INetCache\Content.Outlook\FN2VG0F5\Bajaj%20Auto\Business%20Impact%20Analysis1.0.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E:\Users\Rajendra\AppData\Local\Microsoft\Windows\INetCache\Content.Outlook\FN2VG0F5\Bajaj%20Auto\Business%20Impact%20Analysis1.0.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C:\WINDOWS\Desktop\New%20BS%2031.12.05\BS%2031.12.2005%20F\New%20Folder\RAKESHB\Bank%20&amp;%20Finance\int.income%20MDD%20&amp;%20HO%2001-02.xlw"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WINDOWS\Desktop\New%20BS%2031.12.05\BS%2031.12.2005%20F\New%20Folder\RAKESHB\Bank%20&amp;%20Finance\int.income%20MDD%20&amp;%20HO%2001-02.xlw"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esdscorp-my.sharepoint.com/WINDOWS/Desktop/New%20BS%2031.12.05/BS%2031.12.2005%20F/New%20Folder/RAKESHB/Bank%20&amp;%20Finance/int.income%20MDD%20&amp;%20HO%2001-02.xlw" TargetMode="External"/></Relationships>
</file>

<file path=xl/externalLinks/_rels/externalLink165.xml.rels><?xml version="1.0" encoding="UTF-8" standalone="yes"?>
<Relationships xmlns="http://schemas.openxmlformats.org/package/2006/relationships"><Relationship Id="rId1" Type="http://schemas.microsoft.com/office/2006/relationships/xlExternalLinkPath/xlPathMissing" Target="xSeries306" TargetMode="External"/></Relationships>
</file>

<file path=xl/externalLinks/_rels/externalLink166.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 val="Summary"/>
    </sheet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KOYALI"/>
      <sheetName val="DAHEJ"/>
      <sheetName val="SCC-DAHEJ"/>
      <sheetName val="SCADA - Block Valve-1"/>
      <sheetName val="SCADA(MCC-SCC)-Koyali"/>
      <sheetName val="OFC-TEL"/>
      <sheetName val="BASIS"/>
      <sheetName val="SCADA_MCC_SCC__Koyali"/>
      <sheetName val="#REF!"/>
      <sheetName val="#REF"/>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age2"/>
      <sheetName val="STRIP Sizing"/>
      <sheetName val="STRIP RES"/>
      <sheetName val="PIT RES"/>
      <sheetName val="NET RES"/>
      <sheetName val="blower house"/>
      <sheetName val="#REF!"/>
      <sheetName val="BQMPALOC"/>
      <sheetName val="Translation"/>
      <sheetName val="MOTOR 8-9"/>
      <sheetName val="SPT vs PHI"/>
      <sheetName val="EurotoolsXRates"/>
      <sheetName val="BALAN1"/>
      <sheetName val="Annex-1"/>
      <sheetName val="IEC-865"/>
      <sheetName val="More 2 LM"/>
      <sheetName val="Sketch"/>
      <sheetName val="tables"/>
      <sheetName val="Sheet1"/>
      <sheetName val="PMCC3"/>
      <sheetName val="DetEst"/>
      <sheetName val="labour"/>
      <sheetName val="Equipmentlist-West"/>
      <sheetName val="Report"/>
      <sheetName val="Sump"/>
      <sheetName val="A (2)"/>
      <sheetName val="CAL"/>
      <sheetName val="Plant &amp;  Machinery"/>
      <sheetName val="Material"/>
      <sheetName val="Sheet2"/>
      <sheetName val="analysi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oad data (PMCC-1)"/>
      <sheetName val="load data (PMCC-2)"/>
      <sheetName val="load data (FMCC)"/>
      <sheetName val="load data (COMPOSITE VFD FDS)"/>
      <sheetName val="Xmar sizing (SNC format)"/>
      <sheetName val="sizing (PMCC -1) (2)"/>
      <sheetName val="sizing (PMCC -1)"/>
      <sheetName val="load data (PMCC -1) (3)"/>
      <sheetName val="load data"/>
      <sheetName val="sizing"/>
      <sheetName val="LDB LOAD"/>
      <sheetName val="MCC"/>
      <sheetName val="MCC IC"/>
      <sheetName val="Sheet1"/>
      <sheetName val="PMCC3"/>
      <sheetName val="STRIP Sizing"/>
    </sheetNames>
    <sheetDataSet>
      <sheetData sheetId="0"/>
      <sheetData sheetId="1"/>
      <sheetData sheetId="2"/>
      <sheetData sheetId="3"/>
      <sheetData sheetId="4"/>
      <sheetData sheetId="5"/>
      <sheetData sheetId="6"/>
      <sheetData sheetId="7"/>
      <sheetData sheetId="8"/>
      <sheetData sheetId="9">
        <row r="8">
          <cell r="Q8">
            <v>0.12</v>
          </cell>
        </row>
      </sheetData>
      <sheetData sheetId="10"/>
      <sheetData sheetId="11"/>
      <sheetData sheetId="12"/>
      <sheetData sheetId="13"/>
      <sheetData sheetId="14"/>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ontents"/>
      <sheetName val="Design basis-C"/>
      <sheetName val="load 2.0-C"/>
      <sheetName val="Time period"/>
      <sheetName val="Pipe wt-C"/>
      <sheetName val="TemplateInformation"/>
      <sheetName val="load data"/>
      <sheetName val="MCC IC"/>
      <sheetName val="PMCC3"/>
    </sheetNames>
    <sheetDataSet>
      <sheetData sheetId="0"/>
      <sheetData sheetId="1"/>
      <sheetData sheetId="2">
        <row r="5">
          <cell r="B5" t="str">
            <v>RW Transmission Main from Wazirabad Raw Water PH to Proposed WTP at Okhla for Delhi Jal Board &amp; 1500mm dia pipe job</v>
          </cell>
        </row>
      </sheetData>
      <sheetData sheetId="3"/>
      <sheetData sheetId="4"/>
      <sheetData sheetId="5"/>
      <sheetData sheetId="6"/>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umps"/>
      <sheetName val="Sheet1"/>
      <sheetName val="ref formula TV"/>
      <sheetName val="Sheet2"/>
      <sheetName val="Sheet3"/>
      <sheetName val="pt-cw"/>
      <sheetName val="Data"/>
      <sheetName val="BB ATV A 131 "/>
      <sheetName val="DM tANK Allow"/>
      <sheetName val="DGT-I support"/>
      <sheetName val="OverviewBarmer"/>
      <sheetName val="INPUT"/>
      <sheetName val="INTROD"/>
      <sheetName val="PRECAST lightconc-II"/>
      <sheetName val="Design basis-C"/>
      <sheetName val="LCS SCHEDULE "/>
      <sheetName val="Quantity"/>
      <sheetName val="Sheet4"/>
      <sheetName val="Load Details(B2)"/>
      <sheetName val="STRIP Sizing"/>
      <sheetName val="Design"/>
      <sheetName val="#REF!"/>
      <sheetName val="Legal Risk Analysis"/>
      <sheetName val="Summary"/>
      <sheetName val="valsch"/>
      <sheetName val="SHEET6"/>
      <sheetName val="CAL"/>
      <sheetName val="Process"/>
      <sheetName val="Report"/>
      <sheetName val="SPT vs PHI"/>
      <sheetName val="DSLP"/>
      <sheetName val="More 2 LM"/>
      <sheetName val="CALCULATION   CAG"/>
      <sheetName val="MixBed"/>
      <sheetName val="PRECAST lightconc_II"/>
      <sheetName val="Boq"/>
      <sheetName val="PG-DIA.SEA"/>
      <sheetName val="KONZ_XLS"/>
      <sheetName val="ref_formula_TV"/>
      <sheetName val="DGT-I_support"/>
      <sheetName val="BB_ATV_A_131_"/>
      <sheetName val="DM_tANK_Allow"/>
      <sheetName val="Legal_Risk_Analysis"/>
      <sheetName val="CALCULATION___CAG"/>
      <sheetName val="KONZ_XLS1"/>
      <sheetName val="ref_formula_TV1"/>
      <sheetName val="DGT-I_support1"/>
      <sheetName val="BB_ATV_A_131_1"/>
      <sheetName val="DM_tANK_Allow1"/>
      <sheetName val="Legal_Risk_Analysis1"/>
      <sheetName val="CALCULATION___CAG1"/>
      <sheetName val="KONZ_XLS2"/>
      <sheetName val="ref_formula_TV2"/>
      <sheetName val="DGT-I_support2"/>
      <sheetName val="BB_ATV_A_131_2"/>
      <sheetName val="DM_tANK_Allow2"/>
      <sheetName val="Legal_Risk_Analysis2"/>
      <sheetName val="CALCULATION___CAG2"/>
      <sheetName val="KONZ_XLS3"/>
      <sheetName val="ref_formula_TV3"/>
      <sheetName val="DGT-I_support3"/>
      <sheetName val="BB_ATV_A_131_3"/>
      <sheetName val="DM_tANK_Allow3"/>
      <sheetName val="Legal_Risk_Analysis3"/>
      <sheetName val="CALCULATION___CAG3"/>
      <sheetName val="KONZ_XLS4"/>
      <sheetName val="ref_formula_TV4"/>
      <sheetName val="DGT-I_support4"/>
      <sheetName val="BB_ATV_A_131_4"/>
      <sheetName val="DM_tANK_Allow4"/>
      <sheetName val="Legal_Risk_Analysis4"/>
      <sheetName val="CALCULATION___CAG4"/>
      <sheetName val="KONZ_XLS5"/>
      <sheetName val="ref_formula_TV5"/>
      <sheetName val="DGT-I_support5"/>
      <sheetName val="BB_ATV_A_131_5"/>
      <sheetName val="DM_tANK_Allow5"/>
      <sheetName val="Legal_Risk_Analysis5"/>
      <sheetName val="CALCULATION___CAG5"/>
      <sheetName val="KONZ_XLS6"/>
      <sheetName val="ref_formula_TV6"/>
      <sheetName val="DGT-I_support6"/>
      <sheetName val="BB_ATV_A_131_6"/>
      <sheetName val="DM_tANK_Allow6"/>
      <sheetName val="Legal_Risk_Analysis6"/>
      <sheetName val="CALCULATION___CAG6"/>
      <sheetName val="KONZ_XLS7"/>
      <sheetName val="ref_formula_TV7"/>
      <sheetName val="DGT-I_support7"/>
      <sheetName val="BB_ATV_A_131_7"/>
      <sheetName val="DM_tANK_Allow7"/>
      <sheetName val="Legal_Risk_Analysis7"/>
      <sheetName val="CALCULATION___CAG7"/>
      <sheetName val="KONZ_XLS8"/>
      <sheetName val="ref_formula_TV8"/>
      <sheetName val="DGT-I_support8"/>
      <sheetName val="BB_ATV_A_131_8"/>
      <sheetName val="DM_tANK_Allow8"/>
      <sheetName val="Legal_Risk_Analysis8"/>
      <sheetName val="CALCULATION___CAG8"/>
      <sheetName val="KONZ_XLS10"/>
      <sheetName val="ref_formula_TV10"/>
      <sheetName val="DGT-I_support10"/>
      <sheetName val="BB_ATV_A_131_10"/>
      <sheetName val="DM_tANK_Allow10"/>
      <sheetName val="Legal_Risk_Analysis10"/>
      <sheetName val="CALCULATION___CAG10"/>
      <sheetName val="KONZ_XLS9"/>
      <sheetName val="ref_formula_TV9"/>
      <sheetName val="DGT-I_support9"/>
      <sheetName val="BB_ATV_A_131_9"/>
      <sheetName val="DM_tANK_Allow9"/>
      <sheetName val="Legal_Risk_Analysis9"/>
      <sheetName val="CALCULATION___CAG9"/>
      <sheetName val="4B"/>
      <sheetName val="1-Pop Proj"/>
      <sheetName val="Densadeg-common"/>
      <sheetName val="Biopur Rev2.1_avg"/>
      <sheetName val="DSCR"/>
      <sheetName val="IDC_Phase_I"/>
      <sheetName val="LD"/>
      <sheetName val="boq_E"/>
      <sheetName val="boq_M"/>
      <sheetName val="boq_Ms"/>
      <sheetName val="boq_P"/>
      <sheetName val="boq_C"/>
      <sheetName val="Datas"/>
      <sheetName val="Co-Inf"/>
      <sheetName val="Param"/>
      <sheetName val="Intro"/>
      <sheetName val="PMCC3"/>
      <sheetName val="Bechtel Norms"/>
      <sheetName val="COST DATA 1"/>
      <sheetName val="TECH DATA"/>
      <sheetName val="COST DATA 2"/>
      <sheetName val="Abstract"/>
    </sheetNames>
    <sheetDataSet>
      <sheetData sheetId="0" refreshError="1"/>
      <sheetData sheetId="1"/>
      <sheetData sheetId="2"/>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DR_Landscape"/>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chin"/>
      <sheetName val="DC"/>
      <sheetName val="DR"/>
      <sheetName val="Priyesh"/>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BLES"/>
      <sheetName val="LC"/>
      <sheetName val="Master data"/>
      <sheetName val="Profitability analysis"/>
      <sheetName val="Toll Final BOQ"/>
      <sheetName val="Spares - 1 year"/>
      <sheetName val="Toll-Itemwise costing"/>
      <sheetName val="Toll-Loop Sealant calculation"/>
      <sheetName val="originating station"/>
    </sheetNames>
    <sheetDataSet>
      <sheetData sheetId="0"/>
      <sheetData sheetId="1"/>
      <sheetData sheetId="2"/>
      <sheetData sheetId="3">
        <row r="60">
          <cell r="B60">
            <v>0.09</v>
          </cell>
        </row>
      </sheetData>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9">
          <cell r="H9">
            <v>193</v>
          </cell>
        </row>
        <row r="11">
          <cell r="H11">
            <v>45</v>
          </cell>
        </row>
        <row r="15">
          <cell r="H15">
            <v>1</v>
          </cell>
        </row>
        <row r="17">
          <cell r="H17" t="b">
            <v>1</v>
          </cell>
        </row>
        <row r="19">
          <cell r="H19">
            <v>1</v>
          </cell>
        </row>
        <row r="21">
          <cell r="H21" t="b">
            <v>1</v>
          </cell>
        </row>
        <row r="23">
          <cell r="H23" t="b">
            <v>0</v>
          </cell>
        </row>
      </sheetData>
      <sheetData sheetId="2"/>
      <sheetData sheetId="3">
        <row r="16">
          <cell r="H16" t="str">
            <v>Ubuntu 20.04</v>
          </cell>
        </row>
        <row r="32">
          <cell r="H32">
            <v>8</v>
          </cell>
        </row>
        <row r="36">
          <cell r="H36">
            <v>9</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116</v>
          </cell>
        </row>
        <row r="156">
          <cell r="H156">
            <v>304</v>
          </cell>
        </row>
        <row r="175">
          <cell r="H175">
            <v>10237</v>
          </cell>
        </row>
        <row r="191">
          <cell r="H191">
            <v>26659</v>
          </cell>
        </row>
        <row r="199">
          <cell r="H199">
            <v>576</v>
          </cell>
        </row>
      </sheetData>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9">
          <cell r="H9">
            <v>193</v>
          </cell>
        </row>
        <row r="11">
          <cell r="H11">
            <v>45</v>
          </cell>
        </row>
        <row r="15">
          <cell r="H15">
            <v>1</v>
          </cell>
        </row>
        <row r="17">
          <cell r="H17" t="b">
            <v>1</v>
          </cell>
        </row>
        <row r="19">
          <cell r="H19">
            <v>1</v>
          </cell>
        </row>
        <row r="23">
          <cell r="H23" t="b">
            <v>0</v>
          </cell>
        </row>
      </sheetData>
      <sheetData sheetId="2"/>
      <sheetData sheetId="3">
        <row r="16">
          <cell r="H16" t="str">
            <v>Ubuntu 20.04</v>
          </cell>
        </row>
        <row r="32">
          <cell r="H32">
            <v>8</v>
          </cell>
        </row>
        <row r="36">
          <cell r="H36">
            <v>9</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116</v>
          </cell>
        </row>
        <row r="156">
          <cell r="H156">
            <v>304</v>
          </cell>
        </row>
        <row r="175">
          <cell r="H175">
            <v>10237</v>
          </cell>
        </row>
        <row r="191">
          <cell r="H191">
            <v>26659</v>
          </cell>
        </row>
        <row r="199">
          <cell r="H199">
            <v>576</v>
          </cell>
        </row>
      </sheetData>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9">
          <cell r="H9">
            <v>193</v>
          </cell>
        </row>
        <row r="11">
          <cell r="H11">
            <v>45</v>
          </cell>
        </row>
        <row r="15">
          <cell r="H15">
            <v>1</v>
          </cell>
        </row>
        <row r="17">
          <cell r="H17" t="b">
            <v>1</v>
          </cell>
        </row>
        <row r="19">
          <cell r="H19">
            <v>1</v>
          </cell>
        </row>
        <row r="21">
          <cell r="H21" t="b">
            <v>1</v>
          </cell>
        </row>
        <row r="23">
          <cell r="H23" t="b">
            <v>0</v>
          </cell>
        </row>
      </sheetData>
      <sheetData sheetId="2"/>
      <sheetData sheetId="3">
        <row r="16">
          <cell r="H16" t="str">
            <v>Ubuntu 20.04</v>
          </cell>
        </row>
        <row r="32">
          <cell r="H32">
            <v>8</v>
          </cell>
        </row>
        <row r="36">
          <cell r="H36">
            <v>9</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116</v>
          </cell>
        </row>
        <row r="156">
          <cell r="H156">
            <v>304</v>
          </cell>
        </row>
        <row r="175">
          <cell r="H175">
            <v>10237</v>
          </cell>
        </row>
        <row r="191">
          <cell r="H191">
            <v>26659</v>
          </cell>
        </row>
        <row r="199">
          <cell r="H199">
            <v>576</v>
          </cell>
        </row>
      </sheetData>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_x0000_缀_x0000_"/>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_x0000__x0000__x0000__x0000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_x0000__x0000__x0000_ú5#_x0000__x0000__x0000__x0000__x0000__x0000__x0000_"/>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_x0000__x0000__x0000_ú5#_x0000__x0000__x0000__x0000__x0000__x0000__x0000_"/>
      <sheetName val="  ¢_x0002_&amp;???ú5#???????"/>
      <sheetName val="PIPELINE"/>
      <sheetName val="CIVIL"/>
      <sheetName val="Quote Sheet"/>
      <sheetName val="PROCTOR"/>
      <sheetName val="FORM7"/>
      <sheetName val="STRIP Sizing"/>
      <sheetName val="Design basis-C"/>
      <sheetName val="[temp.xls]14.07.10@_x0000__x0003_&amp;_x0000__x0000__x0000_Ò:"/>
      <sheetName val=" _x000a_¢_x0002_&amp;"/>
      <sheetName val="14.07.10@"/>
      <sheetName val="14.07.10Á_x000c__x0003_&amp;"/>
      <sheetName val="  ¢_x0002_&amp;"/>
      <sheetName val="[temp.xls]14.07.10@"/>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_x0000__x0000_"/>
      <sheetName val="14.07.10 CIVIL W ["/>
      <sheetName val="14.07.10@^\_x0001_&amp;_x0000__x0000__x0000__x0012_8"/>
      <sheetName val="_x0000__x0000__x0000__x0000__x0000__x0000__x0000_Ü5)_x0000__x001e_bÝ/_x0012_8)_x0000__x0012_6)_x0000_&amp;_x0000__x0000__x0000_&amp;_x0000__x0000__x0000_"/>
      <sheetName val="08.07.10헾】_x0005_??壀&quot;夌&quot;"/>
      <sheetName val="Cost Basis"/>
      <sheetName val="08.07.10헾】_x0005_??헾⿂_x0005__x0000_"/>
      <sheetName val="08.07.10헾】_x0005_????懇"/>
      <sheetName val="08.07.10헾】_x0005_??ꮸ⽚_x0005__x0000_"/>
      <sheetName val="08.07.10헾】_x0005_??丵⼽_x0005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 val="08.07.10헾】_x0005_ꎋ"/>
      <sheetName val="14.07.10@_x0003_&amp;Ò:"/>
      <sheetName val="08.07.10헾】_x0005__x0000"/>
      <sheetName val="[temp.xls]14.07.10@_x0003_&amp;Ò:"/>
      <sheetName val="08.07.10헾】_x0005_??_x0005_"/>
      <sheetName val="14.07.10@^\_x0001_&amp;_x0012_8"/>
      <sheetName val="08.07.10헾】_x0005_??헾⿂_x0005_"/>
      <sheetName val="08.07.10헾】_x0005_??ꮸ⽚_x0005_"/>
      <sheetName val="08.07.10헾】_x0005_??丵⼽_x0005_"/>
      <sheetName val="08.07.10헾】_x0005_??_x0005_"/>
      <sheetName val="14.07.10@^\_x0001_&amp;"/>
      <sheetName val="_x0001_"/>
      <sheetName val="scada(mcc-scc)-koyali"/>
      <sheetName val="load data"/>
    </sheetNames>
    <sheetDataSet>
      <sheetData sheetId="0" refreshError="1">
        <row r="19">
          <cell r="J19">
            <v>1.0499999999999999E-3</v>
          </cell>
          <cell r="K19">
            <v>1.3500000000000001E-3</v>
          </cell>
        </row>
        <row r="20">
          <cell r="K20">
            <v>0.10083</v>
          </cell>
        </row>
      </sheetData>
      <sheetData sheetId="1">
        <row r="19">
          <cell r="J19">
            <v>1.0499999999999999E-3</v>
          </cell>
        </row>
      </sheetData>
      <sheetData sheetId="2">
        <row r="19">
          <cell r="J19">
            <v>1.0499999999999999E-3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9">
          <cell r="J19">
            <v>1.0499999999999999E-3</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sheetData sheetId="742"/>
      <sheetData sheetId="743"/>
      <sheetData sheetId="744"/>
      <sheetData sheetId="745"/>
      <sheetData sheetId="746"/>
      <sheetData sheetId="747">
        <row r="19">
          <cell r="J19">
            <v>1.0499999999999999E-3</v>
          </cell>
        </row>
      </sheetData>
      <sheetData sheetId="748"/>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sheetData sheetId="755"/>
      <sheetData sheetId="756"/>
      <sheetData sheetId="757"/>
      <sheetData sheetId="758">
        <row r="19">
          <cell r="J19">
            <v>1.0499999999999999E-3</v>
          </cell>
        </row>
      </sheetData>
      <sheetData sheetId="759"/>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sheetData sheetId="765"/>
      <sheetData sheetId="766"/>
      <sheetData sheetId="767"/>
      <sheetData sheetId="768"/>
      <sheetData sheetId="769"/>
      <sheetData sheetId="770"/>
      <sheetData sheetId="771">
        <row r="19">
          <cell r="J19">
            <v>1.0499999999999999E-3</v>
          </cell>
        </row>
      </sheetData>
      <sheetData sheetId="772"/>
      <sheetData sheetId="773">
        <row r="19">
          <cell r="J19">
            <v>1.0499999999999999E-3</v>
          </cell>
        </row>
      </sheetData>
      <sheetData sheetId="774">
        <row r="19">
          <cell r="J19">
            <v>1.0499999999999999E-3</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缀"/>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ú5#"/>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3_&amp;Ò:"/>
      <sheetName val="8!;bÂ/Ò:!Ò8!&amp;&amp;"/>
      <sheetName val="14.07.10Á_x000c__x0003_&amp;î&lt;"/>
      <sheetName val="¸:_x001f_;b+/î&lt;_x001f_î:_x001f_&amp;&amp;"/>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ú5#"/>
      <sheetName val="  ¢_x0002_&amp;???ú5#???????"/>
      <sheetName val="PIPELINE"/>
      <sheetName val="CIVIL"/>
      <sheetName val="Quote Sheet"/>
      <sheetName val="PROCTOR"/>
      <sheetName val="FORM7"/>
      <sheetName val="STRIP Sizing"/>
      <sheetName val="Design basis-C"/>
      <sheetName val="[temp.xls]14.07.10@_x0003_&amp;Ò:"/>
      <sheetName val="08.07.10헾】_x0005__x0000__x0000__x0000__x0000_ꎋ"/>
      <sheetName val="14.07.10@_x0000__x0003_&amp;_x0000__x0000__x0000_Ò:"/>
      <sheetName val="_x0000_"/>
      <sheetName val="08.07.10헾】_x0005__x0000__x0000"/>
      <sheetName val="[temp.xls]14.07.10@_x0000__x0003_&amp;_x0000__x0000__x0000_Ò:"/>
      <sheetName val=" _x000a_¢_x0002_&amp;"/>
      <sheetName val="14.07.10@"/>
      <sheetName val="14.07.10Á_x000c__x0003_&amp;"/>
      <sheetName val="  ¢_x0002_&amp;"/>
      <sheetName val="[temp.xls]14.07.10@"/>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
      <sheetName val="14.07.10 CIVIL W ["/>
      <sheetName val="14.07.10@^\_x0001_&amp;_x0012_8"/>
      <sheetName val="Ü5)_x001e_bÝ/_x0012_8)_x0012_6)&amp;&amp;"/>
      <sheetName val="08.07.10헾】_x0005_??壀&quot;夌&quot;"/>
      <sheetName val="Cost Basis"/>
      <sheetName val="08.07.10헾】_x0005_??헾⿂_x0005_"/>
      <sheetName val="08.07.10헾】_x0005_????懇"/>
      <sheetName val="08.07.10헾】_x0005_??ꮸ⽚_x0005_"/>
      <sheetName val="08.07.10헾】_x0005_??丵⼽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 val="08.07.10헾】_x0005_??_x0005__x0000__x0000_"/>
      <sheetName val="14.07.10@^\_x0001_&amp;_x0000__x0000__x0000__x0012_8"/>
      <sheetName val="08.07.10헾】_x0005_??헾⿂_x0005__x0000_"/>
      <sheetName val="08.07.10헾】_x0005_??ꮸ⽚_x0005__x0000_"/>
      <sheetName val="08.07.10헾】_x0005_??丵⼽_x0005__x0000_"/>
    </sheetNames>
    <sheetDataSet>
      <sheetData sheetId="0" refreshError="1">
        <row r="19">
          <cell r="J19">
            <v>1.0499999999999999E-3</v>
          </cell>
          <cell r="K19">
            <v>1.3500000000000001E-3</v>
          </cell>
        </row>
        <row r="20">
          <cell r="K20">
            <v>0.10083</v>
          </cell>
        </row>
      </sheetData>
      <sheetData sheetId="1">
        <row r="19">
          <cell r="J19">
            <v>1.0499999999999999E-3</v>
          </cell>
        </row>
      </sheetData>
      <sheetData sheetId="2">
        <row r="19">
          <cell r="J19">
            <v>1.0499999999999999E-3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9">
          <cell r="J19">
            <v>1.0499999999999999E-3</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ow r="19">
          <cell r="J19">
            <v>1.0499999999999999E-3</v>
          </cell>
        </row>
      </sheetData>
      <sheetData sheetId="741">
        <row r="19">
          <cell r="J19">
            <v>1.0499999999999999E-3</v>
          </cell>
        </row>
      </sheetData>
      <sheetData sheetId="742">
        <row r="19">
          <cell r="J19">
            <v>1.0499999999999999E-3</v>
          </cell>
        </row>
      </sheetData>
      <sheetData sheetId="743">
        <row r="19">
          <cell r="J19">
            <v>1.0499999999999999E-3</v>
          </cell>
        </row>
      </sheetData>
      <sheetData sheetId="744">
        <row r="19">
          <cell r="J19">
            <v>1.0499999999999999E-3</v>
          </cell>
        </row>
      </sheetData>
      <sheetData sheetId="745"/>
      <sheetData sheetId="746"/>
      <sheetData sheetId="747"/>
      <sheetData sheetId="748"/>
      <sheetData sheetId="749"/>
      <sheetData sheetId="750"/>
      <sheetData sheetId="751">
        <row r="19">
          <cell r="J19">
            <v>1.0499999999999999E-3</v>
          </cell>
        </row>
      </sheetData>
      <sheetData sheetId="752"/>
      <sheetData sheetId="753">
        <row r="19">
          <cell r="J19">
            <v>1.0499999999999999E-3</v>
          </cell>
        </row>
      </sheetData>
      <sheetData sheetId="754">
        <row r="19">
          <cell r="J19">
            <v>1.0499999999999999E-3</v>
          </cell>
        </row>
      </sheetData>
      <sheetData sheetId="755">
        <row r="19">
          <cell r="J19">
            <v>1.0499999999999999E-3</v>
          </cell>
        </row>
      </sheetData>
      <sheetData sheetId="756">
        <row r="19">
          <cell r="J19">
            <v>1.0499999999999999E-3</v>
          </cell>
        </row>
      </sheetData>
      <sheetData sheetId="757">
        <row r="19">
          <cell r="J19">
            <v>1.0499999999999999E-3</v>
          </cell>
        </row>
      </sheetData>
      <sheetData sheetId="758"/>
      <sheetData sheetId="759"/>
      <sheetData sheetId="760"/>
      <sheetData sheetId="761"/>
      <sheetData sheetId="762">
        <row r="19">
          <cell r="J19">
            <v>1.0499999999999999E-3</v>
          </cell>
        </row>
      </sheetData>
      <sheetData sheetId="763"/>
      <sheetData sheetId="764">
        <row r="19">
          <cell r="J19">
            <v>1.0499999999999999E-3</v>
          </cell>
        </row>
      </sheetData>
      <sheetData sheetId="765">
        <row r="19">
          <cell r="J19">
            <v>1.0499999999999999E-3</v>
          </cell>
        </row>
      </sheetData>
      <sheetData sheetId="766">
        <row r="19">
          <cell r="J19">
            <v>1.0499999999999999E-3</v>
          </cell>
        </row>
      </sheetData>
      <sheetData sheetId="767">
        <row r="19">
          <cell r="J19">
            <v>1.0499999999999999E-3</v>
          </cell>
        </row>
      </sheetData>
      <sheetData sheetId="768"/>
      <sheetData sheetId="769"/>
      <sheetData sheetId="770"/>
      <sheetData sheetId="771"/>
      <sheetData sheetId="772"/>
      <sheetData sheetId="773"/>
      <sheetData sheetId="774"/>
      <sheetData sheetId="775">
        <row r="19">
          <cell r="J19">
            <v>1.0499999999999999E-3</v>
          </cell>
        </row>
      </sheetData>
      <sheetData sheetId="776"/>
      <sheetData sheetId="777">
        <row r="19">
          <cell r="J19">
            <v>1.0499999999999999E-3</v>
          </cell>
        </row>
      </sheetData>
      <sheetData sheetId="778">
        <row r="19">
          <cell r="J19">
            <v>1.0499999999999999E-3</v>
          </cell>
        </row>
      </sheetData>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Works - Quote Sheet"/>
      <sheetName val="factors"/>
      <sheetName val="IO LIST"/>
      <sheetName val="INDIGINEOUS ITEMS "/>
      <sheetName val="BURDEN"/>
      <sheetName val="Costing"/>
      <sheetName val="Civil Works"/>
      <sheetName val="TBAL9697 -group wise  sdpl"/>
      <sheetName val="Headings"/>
      <sheetName val="Basement Budget"/>
    </sheetNames>
    <sheetDataSet>
      <sheetData sheetId="0">
        <row r="3">
          <cell r="E3" t="str">
            <v>Band 3</v>
          </cell>
        </row>
      </sheetData>
      <sheetData sheetId="1"/>
      <sheetData sheetId="2"/>
      <sheetData sheetId="3"/>
      <sheetData sheetId="4"/>
      <sheetData sheetId="5"/>
      <sheetData sheetId="6"/>
      <sheetData sheetId="7"/>
      <sheetData sheetId="8"/>
      <sheetData sheetId="9"/>
      <sheetData sheetId="10"/>
      <sheetData sheetId="11" refreshError="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x Purchases Oct to Dec"/>
      <sheetName val="for Paul"/>
      <sheetName val="Fixed cost Split"/>
      <sheetName val="Volume 09-10"/>
      <sheetName val="Sheet1 (2)"/>
      <sheetName val="costing north for 09-10"/>
      <sheetName val="Budgeted COGS Split"/>
      <sheetName val="Region wise vol split"/>
      <sheetName val="Budgeted COGS"/>
      <sheetName val=" Costing North for outlook "/>
      <sheetName val="Outlook COGS Working"/>
      <sheetName val="Dynamix Purchases"/>
      <sheetName val="Butter(Aug-Dec 08)"/>
      <sheetName val="April to July 08"/>
      <sheetName val="Table Butter (3)"/>
      <sheetName val="butter Realisation Aur to Dec"/>
      <sheetName val="Sheet6"/>
      <sheetName val="butter Real Aug to Dec"/>
      <sheetName val="Sheet2"/>
      <sheetName val="Sheet3"/>
      <sheetName val="KE30 jan09"/>
      <sheetName val="Sheet8"/>
      <sheetName val="Sheet4"/>
      <sheetName val="Jan realisation"/>
      <sheetName val="Sheet5"/>
      <sheetName val="Realisation loss"/>
      <sheetName val="vol 09-10"/>
      <sheetName val="Table Butter"/>
      <sheetName val="Sheet1"/>
      <sheetName val="Sheet7"/>
      <sheetName val="realisation"/>
      <sheetName val="Pri Frt Butter &amp; Cheese"/>
      <sheetName val="Var dist"/>
      <sheetName val="Pri Frt Butter &amp; Cheese 05.02"/>
      <sheetName val="Sheet1 (3)"/>
      <sheetName val="Locationwise COGS"/>
      <sheetName val="Budgeted COGS Split (2)"/>
      <sheetName val="Rev vol"/>
      <sheetName val="Location&amp;channel wise"/>
      <sheetName val="sourcing plan RG 040209"/>
      <sheetName val="Final Cont sheet"/>
      <sheetName val="summary"/>
      <sheetName val="(NO EDIT) Dropdown list sourc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sheetName val="Primary Site Information"/>
      <sheetName val="Detailed Server Information"/>
      <sheetName val="Queries"/>
      <sheetName val="Reference"/>
      <sheetName val="consolidated"/>
    </sheetNames>
    <sheetDataSet>
      <sheetData sheetId="0">
        <row r="2">
          <cell r="B2" t="str">
            <v>64-bit</v>
          </cell>
        </row>
      </sheetData>
      <sheetData sheetId="1"/>
      <sheetData sheetId="2"/>
      <sheetData sheetId="3"/>
      <sheetData sheetId="4">
        <row r="2">
          <cell r="B2" t="str">
            <v>64-bit</v>
          </cell>
          <cell r="C2" t="str">
            <v>Physical</v>
          </cell>
          <cell r="F2" t="str">
            <v>Internal/External DAS</v>
          </cell>
        </row>
        <row r="3">
          <cell r="C3" t="str">
            <v>Virtual</v>
          </cell>
          <cell r="F3" t="str">
            <v>FC</v>
          </cell>
        </row>
        <row r="4">
          <cell r="F4" t="str">
            <v>iSCSI</v>
          </cell>
        </row>
        <row r="5">
          <cell r="F5" t="str">
            <v>Virtual Disk/VMDK</v>
          </cell>
        </row>
        <row r="6">
          <cell r="F6" t="str">
            <v>VMDK &amp; RDM</v>
          </cell>
        </row>
        <row r="7">
          <cell r="F7" t="str">
            <v>VMDK &amp; iSCSI Pass-through</v>
          </cell>
        </row>
      </sheetData>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C-1"/>
      <sheetName val="PLC-2"/>
      <sheetName val="RIO1"/>
      <sheetName val="RIO2"/>
      <sheetName val="PLC-3"/>
      <sheetName val="Wall W3"/>
      <sheetName val="BALAN1"/>
      <sheetName val="MS NET"/>
      <sheetName val="EurotoolsXRates"/>
      <sheetName val="Quantity"/>
      <sheetName val="Title"/>
      <sheetName val="Sketch"/>
      <sheetName val="table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 highway mainte"/>
      <sheetName val="Accident Repair"/>
      <sheetName val="Yearly Maintenance "/>
      <sheetName val="manpower"/>
      <sheetName val="electricity "/>
      <sheetName val="Input"/>
      <sheetName val="Routine Maintenance"/>
      <sheetName val="Sweeper Machine"/>
      <sheetName val="Sheet1"/>
      <sheetName val="Sheet2"/>
      <sheetName val="Sheet3"/>
      <sheetName val="PRECAST lightconc-II"/>
    </sheetNames>
    <sheetDataSet>
      <sheetData sheetId="0" refreshError="1"/>
      <sheetData sheetId="1" refreshError="1"/>
      <sheetData sheetId="2" refreshError="1"/>
      <sheetData sheetId="3" refreshError="1"/>
      <sheetData sheetId="4" refreshError="1"/>
      <sheetData sheetId="5" refreshError="1"/>
      <sheetData sheetId="6" refreshError="1">
        <row r="8">
          <cell r="B8">
            <v>46.649999999999963</v>
          </cell>
        </row>
        <row r="15">
          <cell r="B15">
            <v>20</v>
          </cell>
        </row>
        <row r="17">
          <cell r="B17">
            <v>83</v>
          </cell>
        </row>
        <row r="18">
          <cell r="B18">
            <v>4</v>
          </cell>
        </row>
        <row r="21">
          <cell r="B21">
            <v>4</v>
          </cell>
        </row>
        <row r="26">
          <cell r="B26">
            <v>31</v>
          </cell>
        </row>
        <row r="27">
          <cell r="B27">
            <v>14</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 val="Inputs &amp; Assumptions(DC)"/>
      <sheetName val="consolidated"/>
    </sheetNames>
    <sheetDataSet>
      <sheetData sheetId="0" refreshError="1"/>
      <sheetData sheetId="1" refreshError="1"/>
      <sheetData sheetId="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Results"/>
      <sheetName val="Assessment"/>
      <sheetName val="Projects"/>
      <sheetName val="Backlog"/>
      <sheetName val="Development Environment"/>
      <sheetName val="Instructions"/>
      <sheetName val="PRECAST lightconc-II"/>
    </sheetNames>
    <sheetDataSet>
      <sheetData sheetId="0"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Assessment"/>
      <sheetName val="Projects"/>
      <sheetName val="Backlog"/>
      <sheetName val="Controls"/>
      <sheetName val="Development Environment"/>
      <sheetName val="Instructions"/>
    </sheetNames>
    <sheetDataSet>
      <sheetData sheetId="0" refreshError="1"/>
      <sheetData sheetId="1" refreshError="1"/>
      <sheetData sheetId="2" refreshError="1"/>
      <sheetData sheetId="3" refreshError="1"/>
      <sheetData sheetId="4"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1 - On Boarding"/>
      <sheetName val="2 - Product &amp; Billing"/>
      <sheetName val="3 - Revenue, Fraud &amp; Regulatory"/>
      <sheetName val="4 - SD"/>
      <sheetName val="5 - Ops &amp; SLA"/>
      <sheetName val="6- Reporting"/>
      <sheetName val="7- Self Care"/>
      <sheetName val="8- Testing"/>
      <sheetName val="9- Misc"/>
      <sheetName val="9- Inventory"/>
      <sheetName val="10- Security Checklist"/>
      <sheetName val="Cost Calc"/>
      <sheetName val="Base  Sizing Production &amp; DR"/>
      <sheetName val="Base Sizing Non Production"/>
      <sheetName val="Base Technology Licenses"/>
      <sheetName val="ODC Infra"/>
      <sheetName val="Volumetric &amp; Assumptions"/>
      <sheetName val="Background &amp; HOBS Modules"/>
      <sheetName val="Baseline"/>
      <sheetName val="Azure PriceList"/>
      <sheetName val="Technology Ref"/>
      <sheetName val="Jboss Summary"/>
      <sheetName val="Change 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8">
          <cell r="B18">
            <v>0</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1 - On Boarding"/>
      <sheetName val="2 - Product &amp; Billing"/>
      <sheetName val="3 - Revenue, Fraud &amp; Regulatory"/>
      <sheetName val="4 - SD"/>
      <sheetName val="5 - Ops &amp; SLA"/>
      <sheetName val="6- Reporting"/>
      <sheetName val="7- Self Care"/>
      <sheetName val="8- Testing"/>
      <sheetName val="9- Misc"/>
      <sheetName val="9- Inventory"/>
      <sheetName val="10- Security Checklist"/>
      <sheetName val="Cost Calc"/>
      <sheetName val="Base  Sizing Production &amp; DR"/>
      <sheetName val="Base Sizing Non Production"/>
      <sheetName val="Base Technology Licenses"/>
      <sheetName val="ODC Infra"/>
      <sheetName val="Volumetric &amp; Assumptions"/>
      <sheetName val="Background &amp; HOBS Modules"/>
      <sheetName val="Baseline"/>
      <sheetName val="Azure PriceList"/>
      <sheetName val="Technology Ref"/>
      <sheetName val="Jboss Summary"/>
      <sheetName val="Change 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8">
          <cell r="B18">
            <v>0</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 val="Compute-Storage Sizin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 val="Compute-Storage Sizin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Recommended Spares"/>
      <sheetName val="Civil Works"/>
      <sheetName val="TBAL9697 -group wise  sdpl"/>
      <sheetName val="Servers"/>
      <sheetName val="Name List"/>
      <sheetName val="Sheet3"/>
      <sheetName val="VCH-SLC"/>
      <sheetName val="Supplier"/>
      <sheetName val="Pay_Sep06"/>
      <sheetName val="Sheet1"/>
      <sheetName val="s"/>
      <sheetName val="Input"/>
      <sheetName val="Pacakges split"/>
      <sheetName val="gen"/>
      <sheetName val="Basement Budget"/>
      <sheetName val="Costing"/>
      <sheetName val="IO_LIST"/>
      <sheetName val="Recommended_Spares"/>
      <sheetName val=""/>
      <sheetName val="duc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Fill this out first..."/>
      <sheetName val="p&amp;m"/>
      <sheetName val="Structure Bills Qty"/>
      <sheetName val="Break up Sheet"/>
      <sheetName val="Digestion"/>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List"/>
      <sheetName val="Discount"/>
      <sheetName val="COMP"/>
      <sheetName val="d_m_yy"/>
      <sheetName val="d_m_yy__x0013__$-1010000_d_m_yyyy__x001e__$"/>
      <sheetName val="[Offer.xls]d_m_yy_____101000_70"/>
      <sheetName val="[Offer.xls]d_m_yy_____101000_71"/>
      <sheetName val="[Offer.xls]d_m_yy_____1010000_2"/>
      <sheetName val="[Offer.xls]d_m_yy_____1010000_3"/>
      <sheetName val="[Offer.xls]d_m_yy_____1010000_4"/>
      <sheetName val="[Offer.xls]d_m_yy_____1010000_5"/>
      <sheetName val="[Offer.xls]d_m_yy_____1010000_6"/>
      <sheetName val="[Offer.xls]d_m_yy_____1010000_7"/>
      <sheetName val="[Offer.xls]d_m_yy_____101000_12"/>
      <sheetName val="[Offer.xls]d_m_yy_____101000_13"/>
      <sheetName val="[Offer.xls]d_m_yy_____101000_10"/>
      <sheetName val="[Offer.xls]d_m_yy_____101000_11"/>
      <sheetName val="[Offer.xls]d_m_yy_____1010000_8"/>
      <sheetName val="[Offer.xls]d_m_yy_____1010000_9"/>
      <sheetName val="[Offer.xls]d_m_yy_____101000_18"/>
      <sheetName val="[Offer.xls]d_m_yy_____101000_19"/>
      <sheetName val="[Offer.xls]d_m_yy_____101000_14"/>
      <sheetName val="[Offer.xls]d_m_yy_____101000_15"/>
      <sheetName val="[Offer.xls]d_m_yy_____101000_16"/>
      <sheetName val="[Offer.xls]d_m_yy_____101000_17"/>
      <sheetName val="[Offer.xls]d_m_yy_____101000_46"/>
      <sheetName val="[Offer.xls]d_m_yy_____101000_47"/>
      <sheetName val="[Offer.xls]d_m_yy_____101000_38"/>
      <sheetName val="[Offer.xls]d_m_yy_____101000_39"/>
      <sheetName val="[Offer.xls]d_m_yy_____101000_22"/>
      <sheetName val="[Offer.xls]d_m_yy_____101000_23"/>
      <sheetName val="[Offer.xls]d_m_yy_____101000_20"/>
      <sheetName val="[Offer.xls]d_m_yy_____101000_21"/>
      <sheetName val="[Offer.xls]d_m_yy_____101000_24"/>
      <sheetName val="[Offer.xls]d_m_yy_____101000_25"/>
      <sheetName val="[Offer.xls]d_m_yy_____101000_26"/>
      <sheetName val="[Offer.xls]d_m_yy_____101000_27"/>
      <sheetName val="[Offer.xls]d_m_yy_____101000_28"/>
      <sheetName val="[Offer.xls]d_m_yy_____101000_29"/>
      <sheetName val="[Offer.xls]d_m_yy_____101000_30"/>
      <sheetName val="[Offer.xls]d_m_yy_____101000_31"/>
      <sheetName val="[Offer.xls]d_m_yy_____101000_32"/>
      <sheetName val="[Offer.xls]d_m_yy_____101000_33"/>
      <sheetName val="[Offer.xls]d_m_yy_____101000_34"/>
      <sheetName val="[Offer.xls]d_m_yy_____101000_35"/>
      <sheetName val="[Offer.xls]d_m_yy_____101000_36"/>
      <sheetName val="[Offer.xls]d_m_yy_____101000_37"/>
      <sheetName val="[Offer.xls]d_m_yy_____101000_40"/>
      <sheetName val="[Offer.xls]d_m_yy_____101000_41"/>
      <sheetName val="[Offer.xls]d_m_yy_____101000_42"/>
      <sheetName val="[Offer.xls]d_m_yy_____101000_43"/>
      <sheetName val="[Offer.xls]d_m_yy_____101000_44"/>
      <sheetName val="[Offer.xls]d_m_yy_____101000_45"/>
      <sheetName val="[Offer.xls]d_m_yy_____101000_54"/>
      <sheetName val="[Offer.xls]d_m_yy_____101000_55"/>
      <sheetName val="[Offer.xls]d_m_yy_____101000_48"/>
      <sheetName val="[Offer.xls]d_m_yy_____101000_49"/>
      <sheetName val="[Offer.xls]d_m_yy_____101000_50"/>
      <sheetName val="[Offer.xls]d_m_yy_____101000_51"/>
      <sheetName val="[Offer.xls]d_m_yy_____101000_52"/>
      <sheetName val="[Offer.xls]d_m_yy_____101000_53"/>
      <sheetName val="[Offer.xls]d_m_yy_____101000_60"/>
      <sheetName val="[Offer.xls]d_m_yy_____101000_61"/>
      <sheetName val="[Offer.xls]d_m_yy_____101000_56"/>
      <sheetName val="[Offer.xls]d_m_yy_____101000_57"/>
      <sheetName val="[Offer.xls]d_m_yy_____101000_58"/>
      <sheetName val="[Offer.xls]d_m_yy_____101000_59"/>
      <sheetName val="[Offer.xls]d_m_yy_____101000_62"/>
      <sheetName val="[Offer.xls]d_m_yy_____101000_63"/>
      <sheetName val="[Offer.xls]d_m_yy_____101000_64"/>
      <sheetName val="[Offer.xls]d_m_yy_____101000_65"/>
      <sheetName val="[Offer.xls]d_m_yy_____101000_66"/>
      <sheetName val="[Offer.xls]d_m_yy_____101000_67"/>
      <sheetName val="[Offer.xls]d_m_yy_____101000_68"/>
      <sheetName val="[Offer.xls]d_m_yy_____101000_69"/>
      <sheetName val="[Offer.xls]d_m_yy_____101000_82"/>
      <sheetName val="[Offer.xls]d_m_yy_____101000_83"/>
      <sheetName val="[Offer.xls]d_m_yy_____101000_80"/>
      <sheetName val="[Offer.xls]d_m_yy_____101000_81"/>
      <sheetName val="[Offer.xls]d_m_yy_____101000_78"/>
      <sheetName val="[Offer.xls]d_m_yy_____101000_79"/>
      <sheetName val="[Offer.xls]d_m_yy_____101000_72"/>
      <sheetName val="[Offer.xls]d_m_yy_____101000_73"/>
      <sheetName val="[Offer.xls]d_m_yy_____101000_74"/>
      <sheetName val="[Offer.xls]d_m_yy_____101000_75"/>
      <sheetName val="[Offer.xls]d_m_yy_____101000_76"/>
      <sheetName val="[Offer.xls]d_m_yy_____101000_77"/>
      <sheetName val="[Offer.xls]d_m_yy_____101000_84"/>
      <sheetName val="[Offer.xls]d_m_yy_____101000_85"/>
      <sheetName val="[Offer.xls]d_m_yy_____10100_122"/>
      <sheetName val="[Offer.xls]d_m_yy_____10100_123"/>
      <sheetName val="[Offer.xls]d_m_yy_____10100_106"/>
      <sheetName val="[Offer.xls]d_m_yy_____10100_107"/>
      <sheetName val="[Offer.xls]d_m_yy_____101000_88"/>
      <sheetName val="[Offer.xls]d_m_yy_____101000_89"/>
      <sheetName val="[Offer.xls]d_m_yy_____101000_86"/>
      <sheetName val="[Offer.xls]d_m_yy_____101000_87"/>
      <sheetName val="[Offer.xls]d_m_yy_____101000_92"/>
      <sheetName val="[Offer.xls]d_m_yy_____101000_93"/>
      <sheetName val="[Offer.xls]d_m_yy_____101000_90"/>
      <sheetName val="[Offer.xls]d_m_yy_____101000_91"/>
      <sheetName val="[Offer.xls]d_m_yy_____101000_94"/>
      <sheetName val="[Offer.xls]d_m_yy_____101000_95"/>
      <sheetName val="[Offer.xls]d_m_yy_____101000_96"/>
      <sheetName val="[Offer.xls]d_m_yy_____101000_97"/>
      <sheetName val="[Offer.xls]d_m_yy_____101000_98"/>
      <sheetName val="[Offer.xls]d_m_yy_____101000_99"/>
      <sheetName val="[Offer.xls]d_m_yy_____10100_100"/>
      <sheetName val="[Offer.xls]d_m_yy_____10100_101"/>
      <sheetName val="[Offer.xls]d_m_yy_____10100_102"/>
      <sheetName val="[Offer.xls]d_m_yy_____10100_103"/>
      <sheetName val="[Offer.xls]d_m_yy_____10100_104"/>
      <sheetName val="[Offer.xls]d_m_yy_____10100_105"/>
      <sheetName val="[Offer.xls]d_m_yy_____10100_110"/>
      <sheetName val="[Offer.xls]d_m_yy_____10100_111"/>
      <sheetName val="[Offer.xls]d_m_yy_____10100_108"/>
      <sheetName val="[Offer.xls]d_m_yy_____10100_109"/>
      <sheetName val="[Offer.xls]d_m_yy_____10100_112"/>
      <sheetName val="[Offer.xls]d_m_yy_____10100_113"/>
      <sheetName val="[Offer.xls]d_m_yy_____10100_118"/>
      <sheetName val="[Offer.xls]d_m_yy_____10100_119"/>
      <sheetName val="[Offer.xls]d_m_yy_____10100_114"/>
      <sheetName val="[Offer.xls]d_m_yy_____10100_115"/>
      <sheetName val="[Offer.xls]d_m_yy_____10100_116"/>
      <sheetName val="[Offer.xls]d_m_yy_____10100_117"/>
      <sheetName val="[Offer.xls]d_m_yy_____10100_120"/>
      <sheetName val="[Offer.xls]d_m_yy_____10100_121"/>
      <sheetName val="[Offer.xls]d_m_yy_____10100_124"/>
      <sheetName val="[Offer.xls]d_m_yy_____10100_125"/>
      <sheetName val="[Offer.xls]d_m_yy_____10100_128"/>
      <sheetName val="[Offer.xls]d_m_yy_____10100_129"/>
      <sheetName val="[Offer.xls]d_m_yy_____10100_126"/>
      <sheetName val="[Offer.xls]d_m_yy_____10100_127"/>
      <sheetName val="[Offer.xls]d_m_yy_____10100_130"/>
      <sheetName val="[Offer.xls]d_m_yy_____10100_131"/>
      <sheetName val="[Offer.xls]d_m_yy_____10100_132"/>
      <sheetName val="[Offer.xls]d_m_yy_____10100_133"/>
      <sheetName val="[Offer.xls]d_m_yy_____10100_134"/>
      <sheetName val="[Offer.xls]d_m_yy_____10100_135"/>
      <sheetName val="[Offer.xls][Offer.xls]d_m_yy__2"/>
      <sheetName val="[Offer.xls][Offer.xls]d_m_yy__3"/>
      <sheetName val="[Offer.xls]d_m_yy_____10100_136"/>
      <sheetName val="[Offer.xls]d_m_yy_____10100_137"/>
      <sheetName val="[Offer.xls]d_m_yy_____10100_138"/>
      <sheetName val="[Offer.xls]d_m_yy_____10100_139"/>
      <sheetName val="[Offer.xls]d_m_yy_____10100_142"/>
      <sheetName val="[Offer.xls]d_m_yy_____10100_143"/>
      <sheetName val="[Offer.xls]d_m_yy_____10100_140"/>
      <sheetName val="[Offer.xls]d_m_yy_____10100_141"/>
      <sheetName val="[Offer.xls]d_m_yy_____10100_144"/>
      <sheetName val="[Offer.xls]d_m_yy_____10100_145"/>
      <sheetName val="[Offer.xls]d_m_yy_____10100_146"/>
      <sheetName val="[Offer.xls]d_m_yy_____10100_147"/>
      <sheetName val="[Offer.xls]d_m_yy_____10100_148"/>
      <sheetName val="[Offer.xls]d_m_yy_____10100_149"/>
      <sheetName val="[Offer.xls]d_m_yy_____10100_152"/>
      <sheetName val="[Offer.xls]d_m_yy_____10100_153"/>
      <sheetName val="[Offer.xls]d_m_yy_____10100_150"/>
      <sheetName val="[Offer.xls]d_m_yy_____10100_151"/>
      <sheetName val="[Offer.xls]d_m_yy_____10100_154"/>
      <sheetName val="[Offer.xls]d_m_yy_____10100_155"/>
      <sheetName val="[Offer.xls]d_m_yy_____10100_178"/>
      <sheetName val="[Offer.xls]d_m_yy_____10100_179"/>
      <sheetName val="[Offer.xls][Offer.xls]d_m_yy__8"/>
      <sheetName val="[Offer.xls][Offer.xls]d_m_yy__9"/>
      <sheetName val="[Offer.xls][Offer.xls]d_m_yy__6"/>
      <sheetName val="[Offer.xls][Offer.xls]d_m_yy__7"/>
      <sheetName val="[Offer.xls][Offer.xls]d_m_yy__4"/>
      <sheetName val="[Offer.xls][Offer.xls]d_m_yy__5"/>
      <sheetName val="[Offer.xls][Offer.xls]d_m_yy_10"/>
      <sheetName val="[Offer.xls][Offer.xls]d_m_yy_11"/>
      <sheetName val="[Offer.xls][Offer.xls]d_m_yy_26"/>
      <sheetName val="[Offer.xls][Offer.xls]d_m_yy_27"/>
      <sheetName val="[Offer.xls]d_m_yy_____10100_156"/>
      <sheetName val="[Offer.xls]d_m_yy_____10100_157"/>
      <sheetName val="[Offer.xls][Offer.xls]d_m_yy_12"/>
      <sheetName val="[Offer.xls][Offer.xls]d_m_yy_13"/>
      <sheetName val="[Offer.xls]d_m_yy_____10100_158"/>
      <sheetName val="[Offer.xls]d_m_yy_____10100_159"/>
      <sheetName val="[Offer.xls][Offer.xls]d_m_yy_14"/>
      <sheetName val="[Offer.xls][Offer.xls]d_m_yy_15"/>
      <sheetName val="[Offer.xls]d_m_yy_____10100_168"/>
      <sheetName val="[Offer.xls]d_m_yy_____10100_169"/>
      <sheetName val="[Offer.xls]d_m_yy_____10100_164"/>
      <sheetName val="[Offer.xls]d_m_yy_____10100_165"/>
      <sheetName val="[Offer.xls]d_m_yy_____10100_160"/>
      <sheetName val="[Offer.xls]d_m_yy_____10100_161"/>
      <sheetName val="[Offer.xls]d_m_yy_____10100_162"/>
      <sheetName val="[Offer.xls]d_m_yy_____10100_163"/>
      <sheetName val="[Offer.xls]d_m_yy_____10100_166"/>
      <sheetName val="[Offer.xls]d_m_yy_____10100_167"/>
      <sheetName val="[Offer.xls][Offer.xls]d_m_yy_18"/>
      <sheetName val="[Offer.xls][Offer.xls]d_m_yy_19"/>
      <sheetName val="[Offer.xls][Offer.xls]d_m_yy_16"/>
      <sheetName val="[Offer.xls][Offer.xls]d_m_yy_17"/>
      <sheetName val="[Offer.xls]d_m_yy_____10100_172"/>
      <sheetName val="[Offer.xls]d_m_yy_____10100_173"/>
      <sheetName val="[Offer.xls]d_m_yy_____10100_170"/>
      <sheetName val="[Offer.xls]d_m_yy_____10100_171"/>
      <sheetName val="[Offer.xls][Offer.xls]d_m_yy_20"/>
      <sheetName val="[Offer.xls][Offer.xls]d_m_yy_21"/>
      <sheetName val="[Offer.xls]d_m_yy_____10100_174"/>
      <sheetName val="[Offer.xls]d_m_yy_____10100_175"/>
      <sheetName val="[Offer.xls][Offer.xls]d_m_yy_22"/>
      <sheetName val="[Offer.xls][Offer.xls]d_m_yy_23"/>
      <sheetName val="[Offer.xls]d_m_yy_____10100_176"/>
      <sheetName val="[Offer.xls]d_m_yy_____10100_177"/>
      <sheetName val="[Offer.xls][Offer.xls]d_m_yy_24"/>
      <sheetName val="[Offer.xls][Offer.xls]d_m_yy_25"/>
      <sheetName val="[Offer.xls]d_m_yy_____10100_220"/>
      <sheetName val="[Offer.xls]d_m_yy_____10100_221"/>
      <sheetName val="[Offer.xls][Offer.xls]d_m_yy_68"/>
      <sheetName val="[Offer.xls][Offer.xls]d_m_yy_69"/>
      <sheetName val="[Offer.xls]d_m_yy_____10100_180"/>
      <sheetName val="[Offer.xls]d_m_yy_____10100_181"/>
      <sheetName val="[Offer.xls][Offer.xls]d_m_yy_28"/>
      <sheetName val="[Offer.xls][Offer.xls]d_m_yy_29"/>
      <sheetName val="d/m/yy"/>
      <sheetName val="[Offer.xls]d_m_yy_____10100_182"/>
      <sheetName val="[Offer.xls]d_m_yy_____10100_183"/>
      <sheetName val="[Offer.xls][Offer.xls]d_m_yy_30"/>
      <sheetName val="[Offer.xls][Offer.xls]d_m_yy_31"/>
      <sheetName val="[Offer.xls]d_m_yy_____10100_184"/>
      <sheetName val="[Offer.xls]d_m_yy_____10100_185"/>
      <sheetName val="[Offer.xls][Offer.xls]d_m_yy_32"/>
      <sheetName val="[Offer.xls][Offer.xls]d_m_yy_33"/>
      <sheetName val="[Offer.xls]d_m_yy_____10100_194"/>
      <sheetName val="[Offer.xls]d_m_yy_____10100_195"/>
      <sheetName val="[Offer.xls][Offer.xls]d_m_yy_42"/>
      <sheetName val="[Offer.xls][Offer.xls]d_m_yy_43"/>
      <sheetName val="[Offer.xls]d_m_yy_____10100_188"/>
      <sheetName val="[Offer.xls]d_m_yy_____10100_189"/>
      <sheetName val="[Offer.xls][Offer.xls]d_m_yy_36"/>
      <sheetName val="[Offer.xls][Offer.xls]d_m_yy_37"/>
      <sheetName val="[Offer.xls]d_m_yy_____10100_186"/>
      <sheetName val="[Offer.xls]d_m_yy_____10100_187"/>
      <sheetName val="[Offer.xls][Offer.xls]d_m_yy_34"/>
      <sheetName val="[Offer.xls][Offer.xls]d_m_yy_35"/>
      <sheetName val="[Offer.xls]d_m_yy_____10100_190"/>
      <sheetName val="[Offer.xls]d_m_yy_____10100_191"/>
      <sheetName val="[Offer.xls][Offer.xls]d_m_yy_38"/>
      <sheetName val="[Offer.xls][Offer.xls]d_m_yy_39"/>
      <sheetName val="[Offer.xls]d_m_yy_____10100_192"/>
      <sheetName val="[Offer.xls]d_m_yy_____10100_193"/>
      <sheetName val="[Offer.xls][Offer.xls]d_m_yy_40"/>
      <sheetName val="[Offer.xls][Offer.xls]d_m_yy_41"/>
      <sheetName val="[Offer.xls]d_m_yy_____10100_200"/>
      <sheetName val="[Offer.xls]d_m_yy_____10100_201"/>
      <sheetName val="[Offer.xls][Offer.xls]d_m_yy_48"/>
      <sheetName val="[Offer.xls][Offer.xls]d_m_yy_49"/>
      <sheetName val="[Offer.xls]d_m_yy_____10100_196"/>
      <sheetName val="[Offer.xls]d_m_yy_____10100_197"/>
      <sheetName val="[Offer.xls][Offer.xls]d_m_yy_44"/>
      <sheetName val="[Offer.xls][Offer.xls]d_m_yy_45"/>
      <sheetName val="[Offer.xls]d_m_yy_____10100_198"/>
      <sheetName val="[Offer.xls]d_m_yy_____10100_199"/>
      <sheetName val="[Offer.xls][Offer.xls]d_m_yy_46"/>
      <sheetName val="[Offer.xls][Offer.xls]d_m_yy_47"/>
      <sheetName val="[Offer.xls]d_m_yy_____10100_218"/>
      <sheetName val="[Offer.xls]d_m_yy_____10100_219"/>
      <sheetName val="[Offer.xls][Offer.xls]d_m_yy_66"/>
      <sheetName val="[Offer.xls][Offer.xls]d_m_yy_67"/>
      <sheetName val="[Offer.xls]d_m_yy_____10100_214"/>
      <sheetName val="[Offer.xls]d_m_yy_____10100_215"/>
      <sheetName val="[Offer.xls][Offer.xls]d_m_yy_62"/>
      <sheetName val="[Offer.xls][Offer.xls]d_m_yy_63"/>
      <sheetName val="[Offer.xls]d_m_yy_____10100_206"/>
      <sheetName val="[Offer.xls]d_m_yy_____10100_207"/>
      <sheetName val="[Offer.xls][Offer.xls]d_m_yy_54"/>
      <sheetName val="[Offer.xls][Offer.xls]d_m_yy_55"/>
      <sheetName val="[Offer.xls]d_m_yy_____10100_204"/>
      <sheetName val="[Offer.xls]d_m_yy_____10100_205"/>
      <sheetName val="[Offer.xls][Offer.xls]d_m_yy_52"/>
      <sheetName val="[Offer.xls][Offer.xls]d_m_yy_53"/>
      <sheetName val="[Offer.xls]d_m_yy_____10100_202"/>
      <sheetName val="[Offer.xls]d_m_yy_____10100_203"/>
      <sheetName val="[Offer.xls][Offer.xls]d_m_yy_50"/>
      <sheetName val="[Offer.xls][Offer.xls]d_m_yy_51"/>
      <sheetName val="[Offer.xls]d_m_yy_____10100_208"/>
      <sheetName val="[Offer.xls]d_m_yy_____10100_209"/>
      <sheetName val="[Offer.xls][Offer.xls]d_m_yy_56"/>
      <sheetName val="[Offer.xls][Offer.xls]d_m_yy_57"/>
      <sheetName val="[Offer.xls]d_m_yy_____10100_210"/>
      <sheetName val="[Offer.xls]d_m_yy_____10100_211"/>
      <sheetName val="[Offer.xls][Offer.xls]d_m_yy_58"/>
      <sheetName val="[Offer.xls][Offer.xls]d_m_yy_59"/>
      <sheetName val="[Offer.xls]d_m_yy_____10100_212"/>
      <sheetName val="[Offer.xls]d_m_yy_____10100_213"/>
      <sheetName val="[Offer.xls][Offer.xls]d_m_yy_60"/>
      <sheetName val="[Offer.xls][Offer.xls]d_m_yy_61"/>
      <sheetName val="[Offer.xls]d_m_yy_____10100_216"/>
      <sheetName val="[Offer.xls]d_m_yy_____10100_217"/>
      <sheetName val="[Offer.xls][Offer.xls]d_m_yy_64"/>
      <sheetName val="[Offer.xls][Offer.xls]d_m_yy_65"/>
      <sheetName val="[Offer.xls]d_m_yy_____10100_222"/>
      <sheetName val="[Offer.xls]d_m_yy_____10100_223"/>
      <sheetName val="[Offer.xls][Offer.xls]d_m_yy_70"/>
      <sheetName val="[Offer.xls][Offer.xls]d_m_yy_71"/>
      <sheetName val="[Offer.xls]d_m_yy_____10100_224"/>
      <sheetName val="[Offer.xls]d_m_yy_____10100_225"/>
      <sheetName val="[Offer.xls][Offer.xls]d_m_yy_72"/>
      <sheetName val="[Offer.xls][Offer.xls]d_m_yy_73"/>
      <sheetName val="[Offer.xls]d_m_yy_____10100_246"/>
      <sheetName val="[Offer.xls]d_m_yy_____10100_247"/>
      <sheetName val="[Offer.xls][Offer.xls]d_m_yy_94"/>
      <sheetName val="[Offer.xls][Offer.xls]d_m_yy_95"/>
      <sheetName val="[Offer.xls]d_m_yy_____10100_226"/>
      <sheetName val="[Offer.xls]d_m_yy_____10100_227"/>
      <sheetName val="[Offer.xls][Offer.xls]d_m_yy_74"/>
      <sheetName val="[Offer.xls][Offer.xls]d_m_yy_75"/>
      <sheetName val="[Offer.xls]d_m_yy_____10100_230"/>
      <sheetName val="[Offer.xls]d_m_yy_____10100_231"/>
      <sheetName val="[Offer.xls][Offer.xls]d_m_yy_78"/>
      <sheetName val="[Offer.xls][Offer.xls]d_m_yy_79"/>
      <sheetName val="[Offer.xls]d_m_yy_____10100_228"/>
      <sheetName val="[Offer.xls]d_m_yy_____10100_229"/>
      <sheetName val="[Offer.xls][Offer.xls]d_m_yy_76"/>
      <sheetName val="[Offer.xls][Offer.xls]d_m_yy_77"/>
      <sheetName val="[Offer.xls]d_m_yy_____10100_234"/>
      <sheetName val="[Offer.xls]d_m_yy_____10100_235"/>
      <sheetName val="[Offer.xls][Offer.xls]d_m_yy_82"/>
      <sheetName val="[Offer.xls][Offer.xls]d_m_yy_83"/>
      <sheetName val="[Offer.xls]d_m_yy_____10100_232"/>
      <sheetName val="[Offer.xls]d_m_yy_____10100_233"/>
      <sheetName val="[Offer.xls][Offer.xls]d_m_yy_80"/>
      <sheetName val="[Offer.xls][Offer.xls]d_m_yy_81"/>
      <sheetName val="[Offer.xls]d_m_yy_____10100_240"/>
      <sheetName val="[Offer.xls]d_m_yy_____10100_241"/>
      <sheetName val="[Offer.xls][Offer.xls]d_m_yy_88"/>
      <sheetName val="[Offer.xls][Offer.xls]d_m_yy_89"/>
      <sheetName val="[Offer.xls]d_m_yy_____10100_236"/>
      <sheetName val="[Offer.xls]d_m_yy_____10100_237"/>
      <sheetName val="[Offer.xls][Offer.xls]d_m_yy_84"/>
      <sheetName val="[Offer.xls][Offer.xls]d_m_yy_85"/>
      <sheetName val="[Offer.xls]d_m_yy_____10100_238"/>
      <sheetName val="[Offer.xls]d_m_yy_____10100_239"/>
      <sheetName val="[Offer.xls][Offer.xls]d_m_yy_86"/>
      <sheetName val="[Offer.xls][Offer.xls]d_m_yy_87"/>
      <sheetName val="[Offer.xls]d_m_yy_____10100_242"/>
      <sheetName val="[Offer.xls]d_m_yy_____10100_243"/>
      <sheetName val="[Offer.xls][Offer.xls]d_m_yy_90"/>
      <sheetName val="[Offer.xls][Offer.xls]d_m_yy_91"/>
      <sheetName val="[Offer.xls]d_m_yy_____10100_244"/>
      <sheetName val="[Offer.xls]d_m_yy_____10100_245"/>
      <sheetName val="[Offer.xls][Offer.xls]d_m_yy_92"/>
      <sheetName val="[Offer.xls][Offer.xls]d_m_yy_93"/>
      <sheetName val="[Offer.xls]d_m_yy_____10100_256"/>
      <sheetName val="[Offer.xls]d_m_yy_____10100_257"/>
      <sheetName val="[Offer.xls]d_m_yy_____10100_248"/>
      <sheetName val="[Offer.xls]d_m_yy_____10100_249"/>
      <sheetName val="[Offer.xls]d_m_yy_____10100_250"/>
      <sheetName val="[Offer.xls]d_m_yy_____10100_251"/>
      <sheetName val="[Offer.xls][Offer.xls]d_m_y_100"/>
      <sheetName val="[Offer.xls][Offer.xls]d_m_y_101"/>
      <sheetName val="[Offer.xls]d_m_yy_____10100_252"/>
      <sheetName val="[Offer.xls]d_m_yy_____10100_253"/>
      <sheetName val="[Offer.xls][Offer.xls]d_m_yy_96"/>
      <sheetName val="[Offer.xls][Offer.xls]d_m_yy_97"/>
      <sheetName val="[Offer.xls]d_m_yy_____10100_254"/>
      <sheetName val="[Offer.xls]d_m_yy_____10100_255"/>
      <sheetName val="[Offer.xls][Offer.xls]d_m_yy_98"/>
      <sheetName val="[Offer.xls][Offer.xls]d_m_yy_99"/>
      <sheetName val="[Offer.xls]d_m_yy_____10100_396"/>
      <sheetName val="[Offer.xls]d_m_yy_____10100_397"/>
      <sheetName val="[Offer.xls][Offer.xls]d_m_y_240"/>
      <sheetName val="[Offer.xls][Offer.xls]d_m_y_241"/>
      <sheetName val="[Offer.xls]d_m_yy_____10100_264"/>
      <sheetName val="[Offer.xls]d_m_yy_____10100_265"/>
      <sheetName val="[Offer.xls][Offer.xls]d_m_y_108"/>
      <sheetName val="[Offer.xls][Offer.xls]d_m_y_109"/>
      <sheetName val="[Offer.xls]d_m_yy_____10100_262"/>
      <sheetName val="[Offer.xls]d_m_yy_____10100_263"/>
      <sheetName val="[Offer.xls][Offer.xls]d_m_y_106"/>
      <sheetName val="[Offer.xls][Offer.xls]d_m_y_107"/>
      <sheetName val="[Offer.xls]d_m_yy_____10100_258"/>
      <sheetName val="[Offer.xls]d_m_yy_____10100_259"/>
      <sheetName val="[Offer.xls][Offer.xls]d_m_y_102"/>
      <sheetName val="[Offer.xls][Offer.xls]d_m_y_103"/>
      <sheetName val="[Offer.xls]d_m_yy_____10100_260"/>
      <sheetName val="[Offer.xls]d_m_yy_____10100_261"/>
      <sheetName val="[Offer.xls][Offer.xls]d_m_y_104"/>
      <sheetName val="[Offer.xls][Offer.xls]d_m_y_105"/>
      <sheetName val="[Offer.xls]d_m_yy_____10100_266"/>
      <sheetName val="[Offer.xls]d_m_yy_____10100_267"/>
      <sheetName val="[Offer.xls][Offer.xls]d_m_y_110"/>
      <sheetName val="[Offer.xls][Offer.xls]d_m_y_111"/>
      <sheetName val="[Offer.xls]d_m_yy_____10100_286"/>
      <sheetName val="[Offer.xls]d_m_yy_____10100_287"/>
      <sheetName val="[Offer.xls][Offer.xls]d_m_y_130"/>
      <sheetName val="[Offer.xls][Offer.xls]d_m_y_131"/>
      <sheetName val="[Offer.xls]d_m_yy_____10100_268"/>
      <sheetName val="[Offer.xls]d_m_yy_____10100_269"/>
      <sheetName val="[Offer.xls][Offer.xls]d_m_y_112"/>
      <sheetName val="[Offer.xls][Offer.xls]d_m_y_113"/>
      <sheetName val="[Offer.xls]d_m_yy_____10100_274"/>
      <sheetName val="[Offer.xls]d_m_yy_____10100_275"/>
      <sheetName val="[Offer.xls][Offer.xls]d_m_y_118"/>
      <sheetName val="[Offer.xls][Offer.xls]d_m_y_119"/>
      <sheetName val="[Offer.xls]d_m_yy_____10100_270"/>
      <sheetName val="[Offer.xls]d_m_yy_____10100_271"/>
      <sheetName val="[Offer.xls][Offer.xls]d_m_y_114"/>
      <sheetName val="[Offer.xls][Offer.xls]d_m_y_115"/>
      <sheetName val="[Offer.xls][Offer.xls]d/m/yy?_x0013_["/>
      <sheetName val="[Offer.xls][Offer.xls]d/m/yy_x0000__x0013_["/>
      <sheetName val="[Offer.xls]d_m_yy_____10100_272"/>
      <sheetName val="[Offer.xls]d_m_yy_____10100_273"/>
      <sheetName val="[Offer.xls][Offer.xls]d_m_y_116"/>
      <sheetName val="[Offer.xls][Offer.xls]d_m_y_117"/>
      <sheetName val="[Offer.xls]d_m_yy_____10100_276"/>
      <sheetName val="[Offer.xls]d_m_yy_____10100_277"/>
      <sheetName val="[Offer.xls][Offer.xls]d_m_y_120"/>
      <sheetName val="[Offer.xls][Offer.xls]d_m_y_121"/>
      <sheetName val="[Offer.xls]d_m_yy_____10100_278"/>
      <sheetName val="[Offer.xls]d_m_yy_____10100_279"/>
      <sheetName val="[Offer.xls][Offer.xls]d_m_y_122"/>
      <sheetName val="[Offer.xls][Offer.xls]d_m_y_123"/>
      <sheetName val="[Offer.xls]d_m_yy_____10100_280"/>
      <sheetName val="[Offer.xls]d_m_yy_____10100_281"/>
      <sheetName val="[Offer.xls][Offer.xls]d_m_y_124"/>
      <sheetName val="[Offer.xls][Offer.xls]d_m_y_125"/>
      <sheetName val="[Offer.xls]d_m_yy_____10100_282"/>
      <sheetName val="[Offer.xls]d_m_yy_____10100_283"/>
      <sheetName val="[Offer.xls][Offer.xls]d_m_y_126"/>
      <sheetName val="[Offer.xls][Offer.xls]d_m_y_127"/>
      <sheetName val="[Offer.xls]d_m_yy_____10100_284"/>
      <sheetName val="[Offer.xls]d_m_yy_____10100_285"/>
      <sheetName val="[Offer.xls][Offer.xls]d_m_y_128"/>
      <sheetName val="[Offer.xls][Offer.xls]d_m_y_129"/>
      <sheetName val="[Offer.xls]d_m_yy_____10100_300"/>
      <sheetName val="[Offer.xls]d_m_yy_____10100_301"/>
      <sheetName val="[Offer.xls][Offer.xls]d_m_y_144"/>
      <sheetName val="[Offer.xls][Offer.xls]d_m_y_145"/>
      <sheetName val="[Offer.xls]d_m_yy_____10100_288"/>
      <sheetName val="[Offer.xls]d_m_yy_____10100_289"/>
      <sheetName val="[Offer.xls][Offer.xls]d_m_y_132"/>
      <sheetName val="[Offer.xls][Offer.xls]d_m_y_133"/>
      <sheetName val="[Offer.xls]d_m_yy_____10100_290"/>
      <sheetName val="[Offer.xls]d_m_yy_____10100_291"/>
      <sheetName val="[Offer.xls][Offer.xls]d_m_y_134"/>
      <sheetName val="[Offer.xls][Offer.xls]d_m_y_135"/>
      <sheetName val="[Offer.xls]d_m_yy_____10100_292"/>
      <sheetName val="[Offer.xls]d_m_yy_____10100_293"/>
      <sheetName val="[Offer.xls][Offer.xls]d_m_y_136"/>
      <sheetName val="[Offer.xls][Offer.xls]d_m_y_137"/>
      <sheetName val="[Offer.xls]d_m_yy_____10100_294"/>
      <sheetName val="[Offer.xls]d_m_yy_____10100_295"/>
      <sheetName val="[Offer.xls][Offer.xls]d_m_y_138"/>
      <sheetName val="[Offer.xls][Offer.xls]d_m_y_139"/>
      <sheetName val="[Offer.xls]d_m_yy_____10100_296"/>
      <sheetName val="[Offer.xls]d_m_yy_____10100_297"/>
      <sheetName val="[Offer.xls][Offer.xls]d_m_y_140"/>
      <sheetName val="[Offer.xls][Offer.xls]d_m_y_141"/>
      <sheetName val="[Offer.xls]d_m_yy_____10100_298"/>
      <sheetName val="[Offer.xls]d_m_yy_____10100_299"/>
      <sheetName val="[Offer.xls][Offer.xls]d_m_y_142"/>
      <sheetName val="[Offer.xls][Offer.xls]d_m_y_143"/>
      <sheetName val="[Offer.xls]d_m_yy_____10100_302"/>
      <sheetName val="[Offer.xls]d_m_yy_____10100_303"/>
      <sheetName val="[Offer.xls][Offer.xls]d_m_y_146"/>
      <sheetName val="[Offer.xls][Offer.xls]d_m_y_147"/>
      <sheetName val="[Offer.xls]d_m_yy_____10100_346"/>
      <sheetName val="[Offer.xls]d_m_yy_____10100_347"/>
      <sheetName val="[Offer.xls][Offer.xls]d_m_y_190"/>
      <sheetName val="[Offer.xls][Offer.xls]d_m_y_191"/>
      <sheetName val="[Offer.xls]d_m_yy_____10100_342"/>
      <sheetName val="[Offer.xls]d_m_yy_____10100_343"/>
      <sheetName val="[Offer.xls][Offer.xls]d_m_y_186"/>
      <sheetName val="[Offer.xls][Offer.xls]d_m_y_187"/>
      <sheetName val="[Offer.xls]d_m_yy_____10100_334"/>
      <sheetName val="[Offer.xls]d_m_yy_____10100_335"/>
      <sheetName val="[Offer.xls][Offer.xls]d_m_y_178"/>
      <sheetName val="[Offer.xls][Offer.xls]d_m_y_179"/>
      <sheetName val="[Offer.xls]d_m_yy_____10100_310"/>
      <sheetName val="[Offer.xls]d_m_yy_____10100_311"/>
      <sheetName val="[Offer.xls][Offer.xls]d_m_y_154"/>
      <sheetName val="[Offer.xls][Offer.xls]d_m_y_155"/>
      <sheetName val="[Offer.xls]d_m_yy_____10100_304"/>
      <sheetName val="[Offer.xls]d_m_yy_____10100_305"/>
      <sheetName val="[Offer.xls][Offer.xls]d_m_y_148"/>
      <sheetName val="[Offer.xls][Offer.xls]d_m_y_149"/>
      <sheetName val="[Offer.xls]d_m_yy_____10100_306"/>
      <sheetName val="[Offer.xls]d_m_yy_____10100_307"/>
      <sheetName val="[Offer.xls][Offer.xls]d_m_y_150"/>
      <sheetName val="[Offer.xls][Offer.xls]d_m_y_151"/>
      <sheetName val="[Offer.xls]d_m_yy_____10100_308"/>
      <sheetName val="[Offer.xls]d_m_yy_____10100_309"/>
      <sheetName val="[Offer.xls][Offer.xls]d_m_y_152"/>
      <sheetName val="[Offer.xls][Offer.xls]d_m_y_153"/>
      <sheetName val="[Offer.xls]d_m_yy_____10100_316"/>
      <sheetName val="[Offer.xls]d_m_yy_____10100_317"/>
      <sheetName val="[Offer.xls][Offer.xls]d_m_y_160"/>
      <sheetName val="[Offer.xls][Offer.xls]d_m_y_161"/>
      <sheetName val="[Offer.xls]d_m_yy_____10100_312"/>
      <sheetName val="[Offer.xls]d_m_yy_____10100_313"/>
      <sheetName val="[Offer.xls][Offer.xls]d_m_y_156"/>
      <sheetName val="[Offer.xls][Offer.xls]d_m_y_157"/>
      <sheetName val="[Offer.xls]d_m_yy_____10100_314"/>
      <sheetName val="[Offer.xls]d_m_yy_____10100_315"/>
      <sheetName val="[Offer.xls][Offer.xls]d_m_y_158"/>
      <sheetName val="[Offer.xls][Offer.xls]d_m_y_159"/>
      <sheetName val="[Offer.xls]d_m_yy_____10100_318"/>
      <sheetName val="[Offer.xls]d_m_yy_____10100_319"/>
      <sheetName val="[Offer.xls][Offer.xls]d_m_y_162"/>
      <sheetName val="[Offer.xls][Offer.xls]d_m_y_163"/>
      <sheetName val="[Offer.xls]d_m_yy_____10100_320"/>
      <sheetName val="[Offer.xls]d_m_yy_____10100_321"/>
      <sheetName val="[Offer.xls][Offer.xls]d_m_y_164"/>
      <sheetName val="[Offer.xls][Offer.xls]d_m_y_165"/>
      <sheetName val="[Offer.xls]d_m_yy_____10100_322"/>
      <sheetName val="[Offer.xls]d_m_yy_____10100_323"/>
      <sheetName val="[Offer.xls][Offer.xls]d_m_y_166"/>
      <sheetName val="[Offer.xls][Offer.xls]d_m_y_167"/>
      <sheetName val="[Offer.xls]d_m_yy_____10100_324"/>
      <sheetName val="[Offer.xls]d_m_yy_____10100_325"/>
      <sheetName val="[Offer.xls][Offer.xls]d_m_y_168"/>
      <sheetName val="[Offer.xls][Offer.xls]d_m_y_169"/>
      <sheetName val="[Offer.xls]d_m_yy_____10100_330"/>
      <sheetName val="[Offer.xls]d_m_yy_____10100_331"/>
      <sheetName val="[Offer.xls][Offer.xls]d_m_y_174"/>
      <sheetName val="[Offer.xls][Offer.xls]d_m_y_175"/>
      <sheetName val="[Offer.xls]d_m_yy_____10100_326"/>
      <sheetName val="[Offer.xls]d_m_yy_____10100_327"/>
      <sheetName val="[Offer.xls][Offer.xls]d_m_y_170"/>
      <sheetName val="[Offer.xls][Offer.xls]d_m_y_171"/>
      <sheetName val="[Offer.xls]d_m_yy_____10100_328"/>
      <sheetName val="[Offer.xls]d_m_yy_____10100_329"/>
      <sheetName val="[Offer.xls][Offer.xls]d_m_y_172"/>
      <sheetName val="[Offer.xls][Offer.xls]d_m_y_173"/>
      <sheetName val="[Offer.xls]d_m_yy_____10100_332"/>
      <sheetName val="[Offer.xls]d_m_yy_____10100_333"/>
      <sheetName val="[Offer.xls][Offer.xls]d_m_y_176"/>
      <sheetName val="[Offer.xls][Offer.xls]d_m_y_177"/>
      <sheetName val="[Offer.xls]d_m_yy_____10100_336"/>
      <sheetName val="[Offer.xls]d_m_yy_____10100_337"/>
      <sheetName val="[Offer.xls][Offer.xls]d_m_y_180"/>
      <sheetName val="[Offer.xls][Offer.xls]d_m_y_181"/>
      <sheetName val="[Offer.xls]d_m_yy_____10100_338"/>
      <sheetName val="[Offer.xls]d_m_yy_____10100_339"/>
      <sheetName val="[Offer.xls][Offer.xls]d_m_y_182"/>
      <sheetName val="[Offer.xls][Offer.xls]d_m_y_183"/>
      <sheetName val="[Offer.xls]d_m_yy_____10100_340"/>
      <sheetName val="[Offer.xls]d_m_yy_____10100_341"/>
      <sheetName val="[Offer.xls][Offer.xls]d_m_y_184"/>
      <sheetName val="[Offer.xls][Offer.xls]d_m_y_185"/>
      <sheetName val="[Offer.xls]d_m_yy_____10100_344"/>
      <sheetName val="[Offer.xls]d_m_yy_____10100_345"/>
      <sheetName val="[Offer.xls][Offer.xls]d_m_y_188"/>
      <sheetName val="[Offer.xls][Offer.xls]d_m_y_189"/>
      <sheetName val="[Offer.xls]d_m_yy_____10100_348"/>
      <sheetName val="[Offer.xls]d_m_yy_____10100_349"/>
      <sheetName val="[Offer.xls][Offer.xls]d_m_y_192"/>
      <sheetName val="[Offer.xls][Offer.xls]d_m_y_193"/>
      <sheetName val="[Offer.xls]d_m_yy_____10100_350"/>
      <sheetName val="[Offer.xls]d_m_yy_____10100_351"/>
      <sheetName val="[Offer.xls][Offer.xls]d_m_y_194"/>
      <sheetName val="[Offer.xls][Offer.xls]d_m_y_195"/>
      <sheetName val="[Offer.xls]d_m_yy_____10100_352"/>
      <sheetName val="[Offer.xls]d_m_yy_____10100_353"/>
      <sheetName val="[Offer.xls][Offer.xls]d_m_y_196"/>
      <sheetName val="[Offer.xls][Offer.xls]d_m_y_197"/>
      <sheetName val="[Offer.xls]d_m_yy_____10100_354"/>
      <sheetName val="[Offer.xls]d_m_yy_____10100_355"/>
      <sheetName val="[Offer.xls][Offer.xls]d_m_y_198"/>
      <sheetName val="[Offer.xls][Offer.xls]d_m_y_199"/>
      <sheetName val="[Offer.xls]d_m_yy_____10100_356"/>
      <sheetName val="[Offer.xls]d_m_yy_____10100_357"/>
      <sheetName val="[Offer.xls][Offer.xls]d_m_y_200"/>
      <sheetName val="[Offer.xls][Offer.xls]d_m_y_201"/>
      <sheetName val="[Offer.xls]d_m_yy_____10100_358"/>
      <sheetName val="[Offer.xls]d_m_yy_____10100_359"/>
      <sheetName val="[Offer.xls][Offer.xls]d_m_y_202"/>
      <sheetName val="[Offer.xls][Offer.xls]d_m_y_203"/>
      <sheetName val="[Offer.xls]d_m_yy_____10100_376"/>
      <sheetName val="[Offer.xls]d_m_yy_____10100_377"/>
      <sheetName val="[Offer.xls][Offer.xls]d_m_y_220"/>
      <sheetName val="[Offer.xls][Offer.xls]d_m_y_221"/>
      <sheetName val="[Offer.xls]d_m_yy_____10100_372"/>
      <sheetName val="[Offer.xls]d_m_yy_____10100_373"/>
      <sheetName val="[Offer.xls][Offer.xls]d_m_y_216"/>
      <sheetName val="[Offer.xls][Offer.xls]d_m_y_217"/>
      <sheetName val="[Offer.xls]d_m_yy_____10100_370"/>
      <sheetName val="[Offer.xls]d_m_yy_____10100_371"/>
      <sheetName val="[Offer.xls][Offer.xls]d_m_y_214"/>
      <sheetName val="[Offer.xls][Offer.xls]d_m_y_215"/>
      <sheetName val="[Offer.xls]d_m_yy_____10100_362"/>
      <sheetName val="[Offer.xls]d_m_yy_____10100_363"/>
      <sheetName val="[Offer.xls][Offer.xls]d_m_y_206"/>
      <sheetName val="[Offer.xls][Offer.xls]d_m_y_207"/>
      <sheetName val="[Offer.xls]d_m_yy_____10100_360"/>
      <sheetName val="[Offer.xls]d_m_yy_____10100_361"/>
      <sheetName val="[Offer.xls][Offer.xls]d_m_y_204"/>
      <sheetName val="[Offer.xls][Offer.xls]d_m_y_205"/>
      <sheetName val="[Offer.xls]d_m_yy_____10100_364"/>
      <sheetName val="[Offer.xls]d_m_yy_____10100_365"/>
      <sheetName val="[Offer.xls][Offer.xls]d_m_y_208"/>
      <sheetName val="[Offer.xls][Offer.xls]d_m_y_209"/>
      <sheetName val="[Offer.xls]d_m_yy_____10100_366"/>
      <sheetName val="[Offer.xls]d_m_yy_____10100_367"/>
      <sheetName val="[Offer.xls][Offer.xls]d_m_y_210"/>
      <sheetName val="[Offer.xls][Offer.xls]d_m_y_211"/>
      <sheetName val="[Offer.xls]d_m_yy_____10100_368"/>
      <sheetName val="[Offer.xls]d_m_yy_____10100_369"/>
      <sheetName val="[Offer.xls][Offer.xls]d_m_y_212"/>
      <sheetName val="[Offer.xls][Offer.xls]d_m_y_213"/>
      <sheetName val="[Offer.xls]d_m_yy_____10100_374"/>
      <sheetName val="[Offer.xls]d_m_yy_____10100_375"/>
      <sheetName val="[Offer.xls][Offer.xls]d_m_y_218"/>
      <sheetName val="[Offer.xls][Offer.xls]d_m_y_219"/>
      <sheetName val="[Offer.xls]d_m_yy_____10100_382"/>
      <sheetName val="[Offer.xls]d_m_yy_____10100_383"/>
      <sheetName val="[Offer.xls][Offer.xls]d_m_y_226"/>
      <sheetName val="[Offer.xls][Offer.xls]d_m_y_227"/>
      <sheetName val="[Offer.xls]d_m_yy_____10100_378"/>
      <sheetName val="[Offer.xls]d_m_yy_____10100_379"/>
      <sheetName val="[Offer.xls][Offer.xls]d_m_y_222"/>
      <sheetName val="[Offer.xls][Offer.xls]d_m_y_223"/>
      <sheetName val="[Offer.xls]d_m_yy_____10100_380"/>
      <sheetName val="[Offer.xls]d_m_yy_____10100_381"/>
      <sheetName val="[Offer.xls][Offer.xls]d_m_y_224"/>
      <sheetName val="[Offer.xls][Offer.xls]d_m_y_225"/>
      <sheetName val="[Offer.xls]d_m_yy_____10100_384"/>
      <sheetName val="[Offer.xls]d_m_yy_____10100_385"/>
      <sheetName val="[Offer.xls][Offer.xls]d_m_y_228"/>
      <sheetName val="[Offer.xls][Offer.xls]d_m_y_229"/>
      <sheetName val="[Offer.xls]d_m_yy_____10100_386"/>
      <sheetName val="[Offer.xls]d_m_yy_____10100_387"/>
      <sheetName val="[Offer.xls][Offer.xls]d_m_y_230"/>
      <sheetName val="[Offer.xls][Offer.xls]d_m_y_231"/>
      <sheetName val="[Offer.xls]d_m_yy_____10100_388"/>
      <sheetName val="[Offer.xls]d_m_yy_____10100_389"/>
      <sheetName val="[Offer.xls][Offer.xls]d_m_y_232"/>
      <sheetName val="[Offer.xls][Offer.xls]d_m_y_233"/>
      <sheetName val="[Offer.xls]d_m_yy_____10100_392"/>
      <sheetName val="[Offer.xls]d_m_yy_____10100_393"/>
      <sheetName val="[Offer.xls][Offer.xls]d_m_y_236"/>
      <sheetName val="[Offer.xls][Offer.xls]d_m_y_237"/>
      <sheetName val="[Offer.xls]d_m_yy_____10100_390"/>
      <sheetName val="[Offer.xls]d_m_yy_____10100_391"/>
      <sheetName val="[Offer.xls][Offer.xls]d_m_y_234"/>
      <sheetName val="[Offer.xls][Offer.xls]d_m_y_235"/>
      <sheetName val="[Offer.xls]d_m_yy_____10100_394"/>
      <sheetName val="[Offer.xls]d_m_yy_____10100_395"/>
      <sheetName val="[Offer.xls][Offer.xls]d_m_y_238"/>
      <sheetName val="[Offer.xls][Offer.xls]d_m_y_239"/>
      <sheetName val="[Offer.xls]d_m_yy_____10100_398"/>
      <sheetName val="[Offer.xls]d_m_yy_____10100_399"/>
      <sheetName val="[Offer.xls][Offer.xls]d_m_y_242"/>
      <sheetName val="[Offer.xls][Offer.xls]d_m_y_243"/>
      <sheetName val="[Offer.xls]d_m_yy_____10100_420"/>
      <sheetName val="[Offer.xls]d_m_yy_____10100_421"/>
      <sheetName val="[Offer.xls][Offer.xls]d_m_y_264"/>
      <sheetName val="[Offer.xls][Offer.xls]d_m_y_265"/>
      <sheetName val="[Offer.xls]d_m_yy_____10100_418"/>
      <sheetName val="[Offer.xls]d_m_yy_____10100_419"/>
      <sheetName val="[Offer.xls][Offer.xls]d_m_y_262"/>
      <sheetName val="[Offer.xls][Offer.xls]d_m_y_263"/>
      <sheetName val="[Offer.xls]d_m_yy_____10100_400"/>
      <sheetName val="[Offer.xls]d_m_yy_____10100_401"/>
      <sheetName val="[Offer.xls][Offer.xls]d_m_y_244"/>
      <sheetName val="[Offer.xls][Offer.xls]d_m_y_245"/>
      <sheetName val="[Offer.xls]d_m_yy_____10100_412"/>
      <sheetName val="[Offer.xls]d_m_yy_____10100_413"/>
      <sheetName val="[Offer.xls][Offer.xls]d_m_y_256"/>
      <sheetName val="[Offer.xls][Offer.xls]d_m_y_257"/>
      <sheetName val="[Offer.xls]d_m_yy_____10100_402"/>
      <sheetName val="[Offer.xls]d_m_yy_____10100_403"/>
      <sheetName val="[Offer.xls][Offer.xls]d_m_y_246"/>
      <sheetName val="[Offer.xls][Offer.xls]d_m_y_247"/>
      <sheetName val="[Offer.xls]d_m_yy_____10100_404"/>
      <sheetName val="[Offer.xls]d_m_yy_____10100_405"/>
      <sheetName val="[Offer.xls][Offer.xls]d_m_y_248"/>
      <sheetName val="[Offer.xls][Offer.xls]d_m_y_249"/>
      <sheetName val="[Offer.xls]d_m_yy_____10100_406"/>
      <sheetName val="[Offer.xls]d_m_yy_____10100_407"/>
      <sheetName val="[Offer.xls][Offer.xls]d_m_y_250"/>
      <sheetName val="[Offer.xls][Offer.xls]d_m_y_251"/>
      <sheetName val="[Offer.xls]d_m_yy_____10100_408"/>
      <sheetName val="[Offer.xls]d_m_yy_____10100_409"/>
      <sheetName val="[Offer.xls][Offer.xls]d_m_y_252"/>
      <sheetName val="[Offer.xls][Offer.xls]d_m_y_253"/>
      <sheetName val="[Offer.xls]d_m_yy_____10100_410"/>
      <sheetName val="[Offer.xls]d_m_yy_____10100_411"/>
      <sheetName val="[Offer.xls][Offer.xls]d_m_y_254"/>
      <sheetName val="[Offer.xls][Offer.xls]d_m_y_255"/>
      <sheetName val="[Offer.xls]d_m_yy_____10100_414"/>
      <sheetName val="[Offer.xls]d_m_yy_____10100_415"/>
      <sheetName val="[Offer.xls][Offer.xls]d_m_y_258"/>
      <sheetName val="[Offer.xls][Offer.xls]d_m_y_259"/>
      <sheetName val="[Offer.xls]d_m_yy_____10100_416"/>
      <sheetName val="[Offer.xls]d_m_yy_____10100_417"/>
      <sheetName val="[Offer.xls][Offer.xls]d_m_y_260"/>
      <sheetName val="[Offer.xls][Offer.xls]d_m_y_261"/>
      <sheetName val="[Offer.xls]d_m_yy_____10100_428"/>
      <sheetName val="[Offer.xls]d_m_yy_____10100_429"/>
      <sheetName val="[Offer.xls][Offer.xls]d_m_y_272"/>
      <sheetName val="[Offer.xls][Offer.xls]d_m_y_273"/>
      <sheetName val="[Offer.xls]d_m_yy_____10100_422"/>
      <sheetName val="[Offer.xls]d_m_yy_____10100_423"/>
      <sheetName val="[Offer.xls][Offer.xls]d_m_y_266"/>
      <sheetName val="[Offer.xls][Offer.xls]d_m_y_267"/>
      <sheetName val="[Offer.xls]d_m_yy_____10100_424"/>
      <sheetName val="[Offer.xls]d_m_yy_____10100_425"/>
      <sheetName val="[Offer.xls][Offer.xls]d_m_y_268"/>
      <sheetName val="[Offer.xls][Offer.xls]d_m_y_269"/>
      <sheetName val="[Offer.xls]d_m_yy_____10100_426"/>
      <sheetName val="[Offer.xls]d_m_yy_____10100_427"/>
      <sheetName val="[Offer.xls][Offer.xls]d_m_y_270"/>
      <sheetName val="[Offer.xls][Offer.xls]d_m_y_271"/>
      <sheetName val="[Offer.xls]d_m_yy_____10100_434"/>
      <sheetName val="[Offer.xls]d_m_yy_____10100_435"/>
      <sheetName val="[Offer.xls][Offer.xls]d_m_y_278"/>
      <sheetName val="[Offer.xls][Offer.xls]d_m_y_279"/>
      <sheetName val="[Offer.xls]d_m_yy_____10100_430"/>
      <sheetName val="[Offer.xls]d_m_yy_____10100_431"/>
      <sheetName val="[Offer.xls][Offer.xls]d_m_y_274"/>
      <sheetName val="[Offer.xls][Offer.xls]d_m_y_275"/>
      <sheetName val="[Offer.xls]d_m_yy_____10100_432"/>
      <sheetName val="[Offer.xls]d_m_yy_____10100_433"/>
      <sheetName val="[Offer.xls][Offer.xls]d_m_y_276"/>
      <sheetName val="[Offer.xls][Offer.xls]d_m_y_277"/>
      <sheetName val="[Offer.xls]d_m_yy_____10100_436"/>
      <sheetName val="[Offer.xls]d_m_yy_____10100_437"/>
      <sheetName val="[Offer.xls][Offer.xls]d_m_y_280"/>
      <sheetName val="[Offer.xls][Offer.xls]d_m_y_281"/>
      <sheetName val="[Offer.xls]d_m_yy_____10100_448"/>
      <sheetName val="[Offer.xls]d_m_yy_____10100_449"/>
      <sheetName val="[Offer.xls][Offer.xls]d_m_y_292"/>
      <sheetName val="[Offer.xls][Offer.xls]d_m_y_293"/>
      <sheetName val="[Offer.xls]d_m_yy_____10100_438"/>
      <sheetName val="[Offer.xls]d_m_yy_____10100_439"/>
      <sheetName val="[Offer.xls][Offer.xls]d_m_y_282"/>
      <sheetName val="[Offer.xls][Offer.xls]d_m_y_283"/>
      <sheetName val="[Offer.xls]d_m_yy_____10100_446"/>
      <sheetName val="[Offer.xls]d_m_yy_____10100_447"/>
      <sheetName val="[Offer.xls][Offer.xls]d_m_y_290"/>
      <sheetName val="[Offer.xls][Offer.xls]d_m_y_291"/>
      <sheetName val="[Offer.xls]d_m_yy_____10100_440"/>
      <sheetName val="[Offer.xls]d_m_yy_____10100_441"/>
      <sheetName val="[Offer.xls][Offer.xls]d_m_y_284"/>
      <sheetName val="[Offer.xls][Offer.xls]d_m_y_285"/>
      <sheetName val="[Offer.xls]d_m_yy_____10100_442"/>
      <sheetName val="[Offer.xls]d_m_yy_____10100_443"/>
      <sheetName val="[Offer.xls][Offer.xls]d_m_y_286"/>
      <sheetName val="[Offer.xls][Offer.xls]d_m_y_287"/>
      <sheetName val="[Offer.xls]d_m_yy_____10100_444"/>
      <sheetName val="[Offer.xls]d_m_yy_____10100_445"/>
      <sheetName val="[Offer.xls][Offer.xls]d_m_y_288"/>
      <sheetName val="[Offer.xls][Offer.xls]d_m_y_289"/>
      <sheetName val="[Offer.xls]d_m_yy_____10100_450"/>
      <sheetName val="[Offer.xls]d_m_yy_____10100_451"/>
      <sheetName val="[Offer.xls][Offer.xls]d_m_y_294"/>
      <sheetName val="[Offer.xls][Offer.xls]d_m_y_295"/>
      <sheetName val="[Offer.xls]d_m_yy_____10100_452"/>
      <sheetName val="[Offer.xls]d_m_yy_____10100_453"/>
      <sheetName val="[Offer.xls][Offer.xls]d_m_y_296"/>
      <sheetName val="[Offer.xls][Offer.xls]d_m_y_297"/>
      <sheetName val="[Offer.xls]d_m_yy_____10100_460"/>
      <sheetName val="[Offer.xls]d_m_yy_____10100_461"/>
      <sheetName val="[Offer.xls][Offer.xls]d_m_y_304"/>
      <sheetName val="[Offer.xls][Offer.xls]d_m_y_305"/>
      <sheetName val="[Offer.xls]d_m_yy_____10100_454"/>
      <sheetName val="[Offer.xls]d_m_yy_____10100_455"/>
      <sheetName val="[Offer.xls][Offer.xls]d_m_y_298"/>
      <sheetName val="[Offer.xls][Offer.xls]d_m_y_299"/>
      <sheetName val="[Offer.xls]d_m_yy_____10100_456"/>
      <sheetName val="[Offer.xls]d_m_yy_____10100_457"/>
      <sheetName val="[Offer.xls][Offer.xls]d_m_y_300"/>
      <sheetName val="[Offer.xls][Offer.xls]d_m_y_301"/>
      <sheetName val="[Offer.xls]d_m_yy_____10100_458"/>
      <sheetName val="[Offer.xls]d_m_yy_____10100_459"/>
      <sheetName val="[Offer.xls][Offer.xls]d_m_y_302"/>
      <sheetName val="[Offer.xls][Offer.xls]d_m_y_303"/>
      <sheetName val="[Offer.xls]d_m_yy_____10100_466"/>
      <sheetName val="[Offer.xls]d_m_yy_____10100_467"/>
      <sheetName val="[Offer.xls][Offer.xls]d_m_y_310"/>
      <sheetName val="[Offer.xls][Offer.xls]d_m_y_311"/>
      <sheetName val="[Offer.xls]d_m_yy_____10100_462"/>
      <sheetName val="[Offer.xls]d_m_yy_____10100_463"/>
      <sheetName val="[Offer.xls][Offer.xls]d_m_y_306"/>
      <sheetName val="[Offer.xls][Offer.xls]d_m_y_307"/>
      <sheetName val="[Offer.xls]d_m_yy_____10100_464"/>
      <sheetName val="[Offer.xls]d_m_yy_____10100_465"/>
      <sheetName val="[Offer.xls][Offer.xls]d_m_y_308"/>
      <sheetName val="[Offer.xls][Offer.xls]d_m_y_309"/>
      <sheetName val="[Offer.xls]d_m_yy_____10100_468"/>
      <sheetName val="[Offer.xls]d_m_yy_____10100_469"/>
      <sheetName val="[Offer.xls][Offer.xls]d_m_y_312"/>
      <sheetName val="[Offer.xls][Offer.xls]d_m_y_313"/>
      <sheetName val="[Offer.xls]d_m_yy_____10100_476"/>
      <sheetName val="[Offer.xls]d_m_yy_____10100_477"/>
      <sheetName val="[Offer.xls][Offer.xls]d_m_y_318"/>
      <sheetName val="[Offer.xls][Offer.xls]d_m_y_319"/>
      <sheetName val="[Offer.xls]d_m_yy_____10100_470"/>
      <sheetName val="[Offer.xls]d_m_yy_____10100_471"/>
      <sheetName val="[Offer.xls][Offer.xls]d_m_y_314"/>
      <sheetName val="[Offer.xls][Offer.xls]d_m_y_315"/>
      <sheetName val="[Offer.xls]d_m_yy_____10100_474"/>
      <sheetName val="[Offer.xls]d_m_yy_____10100_475"/>
      <sheetName val="[Offer.xls]d_m_yy_____10100_472"/>
      <sheetName val="[Offer.xls]d_m_yy_____10100_473"/>
      <sheetName val="[Offer.xls][Offer.xls]d_m_y_316"/>
      <sheetName val="[Offer.xls][Offer.xls]d_m_y_317"/>
      <sheetName val="[Offer.xls][Offer.xls]d_m_y_320"/>
      <sheetName val="[Offer.xls][Offer.xls]d_m_y_321"/>
      <sheetName val="[Offer.xls]d_m_yy_____10100_478"/>
      <sheetName val="[Offer.xls]d_m_yy_____10100_479"/>
      <sheetName val="[Offer.xls][Offer.xls]d_m_y_322"/>
      <sheetName val="[Offer.xls][Offer.xls]d_m_y_323"/>
      <sheetName val="[Offer.xls]d_m_yy_____10100_480"/>
      <sheetName val="[Offer.xls]d_m_yy_____10100_481"/>
      <sheetName val="[Offer.xls][Offer.xls]d_m_y_324"/>
      <sheetName val="[Offer.xls][Offer.xls]d_m_y_325"/>
      <sheetName val="[Offer.xls]d_m_yy_____10100_482"/>
      <sheetName val="[Offer.xls]d_m_yy_____10100_483"/>
      <sheetName val="[Offer.xls][Offer.xls]d_m_y_326"/>
      <sheetName val="[Offer.xls][Offer.xls]d_m_y_327"/>
      <sheetName val="[Offer.xls]d_m_yy_____10100_490"/>
      <sheetName val="[Offer.xls]d_m_yy_____10100_491"/>
      <sheetName val="[Offer.xls][Offer.xls]d_m_y_330"/>
      <sheetName val="[Offer.xls][Offer.xls]d_m_y_331"/>
      <sheetName val="[Offer.xls]d_m_yy_____10100_486"/>
      <sheetName val="[Offer.xls]d_m_yy_____10100_487"/>
      <sheetName val="[Offer.xls]d_m_yy_____10100_484"/>
      <sheetName val="[Offer.xls]d_m_yy_____10100_485"/>
      <sheetName val="[Offer.xls][Offer.xls]d_m_y_328"/>
      <sheetName val="[Offer.xls][Offer.xls]d_m_y_329"/>
      <sheetName val="[Offer.xls]d_m_yy_____10100_488"/>
      <sheetName val="[Offer.xls]d_m_yy_____10100_489"/>
      <sheetName val="[Offer.xls]d_m_yy_____10100_498"/>
      <sheetName val="[Offer.xls]d_m_yy_____10100_499"/>
      <sheetName val="[Offer.xls][Offer.xls]d_m_y_342"/>
      <sheetName val="[Offer.xls][Offer.xls]d_m_y_343"/>
      <sheetName val="[Offer.xls]d_m_yy_____10100_492"/>
      <sheetName val="[Offer.xls]d_m_yy_____10100_493"/>
      <sheetName val="[Offer.xls][Offer.xls]d_m_y_332"/>
      <sheetName val="[Offer.xls][Offer.xls]d_m_y_333"/>
      <sheetName val="[Offer.xls]d_m_yy_____10100_494"/>
      <sheetName val="[Offer.xls]d_m_yy_____10100_495"/>
      <sheetName val="[Offer.xls][Offer.xls]d_m_y_334"/>
      <sheetName val="[Offer.xls][Offer.xls]d_m_y_335"/>
      <sheetName val="[Offer.xls][Offer.xls]d_m_y_338"/>
      <sheetName val="[Offer.xls][Offer.xls]d_m_y_339"/>
      <sheetName val="[Offer.xls][Offer.xls]d_m_y_336"/>
      <sheetName val="[Offer.xls][Offer.xls]d_m_y_337"/>
      <sheetName val="[Offer.xls]d_m_yy_____10100_496"/>
      <sheetName val="[Offer.xls]d_m_yy_____10100_497"/>
      <sheetName val="[Offer.xls][Offer.xls]d_m_y_340"/>
      <sheetName val="[Offer.xls][Offer.xls]d_m_y_341"/>
      <sheetName val="[Offer.xls]d_m_yy_____10100_544"/>
      <sheetName val="[Offer.xls]d_m_yy_____10100_545"/>
      <sheetName val="[Offer.xls]d_m_yy_____10100_500"/>
      <sheetName val="[Offer.xls]d_m_yy_____10100_501"/>
      <sheetName val="[Offer.xls]d_m_yy_____10100_502"/>
      <sheetName val="[Offer.xls]d_m_yy_____10100_503"/>
      <sheetName val="[Offer.xls]d_m_yy_____10100_504"/>
      <sheetName val="[Offer.xls]d_m_yy_____10100_505"/>
      <sheetName val="[Offer.xls]d_m_yy_____10100_542"/>
      <sheetName val="[Offer.xls]d_m_yy_____10100_543"/>
      <sheetName val="[Offer.xls][Offer.xls]d_m_y_384"/>
      <sheetName val="[Offer.xls][Offer.xls]d_m_y_385"/>
      <sheetName val="[Offer.xls]d_m_yy_____10100_508"/>
      <sheetName val="[Offer.xls]d_m_yy_____10100_509"/>
      <sheetName val="[Offer.xls][Offer.xls]d_m_y_350"/>
      <sheetName val="[Offer.xls][Offer.xls]d_m_y_351"/>
      <sheetName val="[Offer.xls][Offer.xls]d_m_y_344"/>
      <sheetName val="[Offer.xls][Offer.xls]d_m_y_345"/>
      <sheetName val="[Offer.xls]d_m_yy_____10100_506"/>
      <sheetName val="[Offer.xls]d_m_yy_____10100_507"/>
      <sheetName val="[Offer.xls][Offer.xls]d_m_y_348"/>
      <sheetName val="[Offer.xls][Offer.xls]d_m_y_349"/>
      <sheetName val="[Offer.xls][Offer.xls]d_m_y_346"/>
      <sheetName val="[Offer.xls][Offer.xls]d_m_y_347"/>
      <sheetName val="[Offer.xls]d_m_yy_____10100_530"/>
      <sheetName val="[Offer.xls]d_m_yy_____10100_531"/>
      <sheetName val="[Offer.xls][Offer.xls]d_m_y_372"/>
      <sheetName val="[Offer.xls][Offer.xls]d_m_y_373"/>
      <sheetName val="[Offer.xls]d_m_yy_____10100_514"/>
      <sheetName val="[Offer.xls]d_m_yy_____10100_515"/>
      <sheetName val="[Offer.xls][Offer.xls]d_m_y_356"/>
      <sheetName val="[Offer.xls][Offer.xls]d_m_y_357"/>
      <sheetName val="[Offer.xls]d_m_yy_____10100_510"/>
      <sheetName val="[Offer.xls]d_m_yy_____10100_511"/>
      <sheetName val="[Offer.xls][Offer.xls]d_m_y_352"/>
      <sheetName val="[Offer.xls][Offer.xls]d_m_y_353"/>
      <sheetName val="[Offer.xls]d_m_yy_____10100_512"/>
      <sheetName val="[Offer.xls]d_m_yy_____10100_513"/>
      <sheetName val="[Offer.xls][Offer.xls]d_m_y_354"/>
      <sheetName val="[Offer.xls][Offer.xls]d_m_y_355"/>
      <sheetName val="[Offer.xls]d_m_yy_____10100_522"/>
      <sheetName val="[Offer.xls]d_m_yy_____10100_523"/>
      <sheetName val="[Offer.xls][Offer.xls]d_m_y_364"/>
      <sheetName val="[Offer.xls][Offer.xls]d_m_y_365"/>
      <sheetName val="[Offer.xls]d_m_yy_____10100_518"/>
      <sheetName val="[Offer.xls]d_m_yy_____10100_519"/>
      <sheetName val="[Offer.xls][Offer.xls]d_m_y_360"/>
      <sheetName val="[Offer.xls][Offer.xls]d_m_y_361"/>
      <sheetName val="[Offer.xls]d_m_yy_____10100_516"/>
      <sheetName val="[Offer.xls]d_m_yy_____10100_517"/>
      <sheetName val="[Offer.xls][Offer.xls]d_m_y_358"/>
      <sheetName val="[Offer.xls][Offer.xls]d_m_y_359"/>
      <sheetName val="[Offer.xls]d_m_yy_____10100_520"/>
      <sheetName val="[Offer.xls]d_m_yy_____10100_521"/>
      <sheetName val="[Offer.xls][Offer.xls]d_m_y_362"/>
      <sheetName val="[Offer.xls][Offer.xls]d_m_y_363"/>
      <sheetName val="[Offer.xls]d_m_yy_____10100_526"/>
      <sheetName val="[Offer.xls]d_m_yy_____10100_527"/>
      <sheetName val="[Offer.xls][Offer.xls]d_m_y_368"/>
      <sheetName val="[Offer.xls][Offer.xls]d_m_y_369"/>
      <sheetName val="[Offer.xls]d_m_yy_____10100_524"/>
      <sheetName val="[Offer.xls]d_m_yy_____10100_525"/>
      <sheetName val="[Offer.xls][Offer.xls]d_m_y_366"/>
      <sheetName val="[Offer.xls][Offer.xls]d_m_y_367"/>
      <sheetName val="[Offer.xls]d_m_yy_____10100_528"/>
      <sheetName val="[Offer.xls]d_m_yy_____10100_529"/>
      <sheetName val="[Offer.xls][Offer.xls]d_m_y_370"/>
      <sheetName val="[Offer.xls][Offer.xls]d_m_y_371"/>
      <sheetName val="[Offer.xls]d_m_yy_____10100_532"/>
      <sheetName val="[Offer.xls]d_m_yy_____10100_533"/>
      <sheetName val="[Offer.xls][Offer.xls]d_m_y_374"/>
      <sheetName val="[Offer.xls][Offer.xls]d_m_y_375"/>
      <sheetName val="[Offer.xls]d_m_yy_____10100_534"/>
      <sheetName val="[Offer.xls]d_m_yy_____10100_535"/>
      <sheetName val="[Offer.xls][Offer.xls]d_m_y_376"/>
      <sheetName val="[Offer.xls][Offer.xls]d_m_y_377"/>
      <sheetName val="[Offer.xls]d_m_yy_____10100_536"/>
      <sheetName val="[Offer.xls]d_m_yy_____10100_537"/>
      <sheetName val="[Offer.xls][Offer.xls]d_m_y_378"/>
      <sheetName val="[Offer.xls][Offer.xls]d_m_y_379"/>
      <sheetName val="[Offer.xls]d_m_yy_____10100_538"/>
      <sheetName val="[Offer.xls]d_m_yy_____10100_539"/>
      <sheetName val="[Offer.xls][Offer.xls]d_m_y_380"/>
      <sheetName val="[Offer.xls][Offer.xls]d_m_y_381"/>
      <sheetName val="[Offer.xls]d_m_yy_____10100_540"/>
      <sheetName val="[Offer.xls]d_m_yy_____10100_541"/>
      <sheetName val="[Offer.xls][Offer.xls]d_m_y_382"/>
      <sheetName val="[Offer.xls][Offer.xls]d_m_y_383"/>
      <sheetName val="[Offer.xls]d_m_yy_____10100_546"/>
      <sheetName val="[Offer.xls]d_m_yy_____10100_547"/>
      <sheetName val="[Offer.xls]d_m_yy_____10100_550"/>
      <sheetName val="[Offer.xls]d_m_yy_____10100_551"/>
      <sheetName val="[Offer.xls][Offer.xls]d_m_y_392"/>
      <sheetName val="[Offer.xls][Offer.xls]d_m_y_393"/>
      <sheetName val="[Offer.xls][Offer.xls]d_m_y_386"/>
      <sheetName val="[Offer.xls][Offer.xls]d_m_y_387"/>
      <sheetName val="[Offer.xls]d_m_yy_____10100_548"/>
      <sheetName val="[Offer.xls]d_m_yy_____10100_549"/>
      <sheetName val="[Offer.xls][Offer.xls]d_m_y_390"/>
      <sheetName val="[Offer.xls][Offer.xls]d_m_y_391"/>
      <sheetName val="[Offer.xls][Offer.xls]d_m_y_388"/>
      <sheetName val="[Offer.xls][Offer.xls]d_m_y_389"/>
      <sheetName val="[Offer.xls]d_m_yy_____10100_552"/>
      <sheetName val="[Offer.xls]d_m_yy_____10100_553"/>
      <sheetName val="[Offer.xls][Offer.xls]d_m_y_394"/>
      <sheetName val="[Offer.xls][Offer.xls]d_m_y_395"/>
      <sheetName val="[Offer.xls]d_m_yy_____10100_562"/>
      <sheetName val="[Offer.xls]d_m_yy_____10100_563"/>
      <sheetName val="[Offer.xls][Offer.xls]d_m_y_404"/>
      <sheetName val="[Offer.xls][Offer.xls]d_m_y_405"/>
      <sheetName val="[Offer.xls]d_m_yy_____10100_556"/>
      <sheetName val="[Offer.xls]d_m_yy_____10100_557"/>
      <sheetName val="[Offer.xls][Offer.xls]d_m_y_398"/>
      <sheetName val="[Offer.xls][Offer.xls]d_m_y_399"/>
      <sheetName val="[Offer.xls]d_m_yy_____10100_554"/>
      <sheetName val="[Offer.xls]d_m_yy_____10100_555"/>
      <sheetName val="[Offer.xls][Offer.xls]d_m_y_396"/>
      <sheetName val="[Offer.xls][Offer.xls]d_m_y_397"/>
      <sheetName val="[Offer.xls]d_m_yy_____10100_558"/>
      <sheetName val="[Offer.xls]d_m_yy_____10100_559"/>
      <sheetName val="[Offer.xls][Offer.xls]d_m_y_400"/>
      <sheetName val="[Offer.xls][Offer.xls]d_m_y_401"/>
      <sheetName val="[Offer.xls]d_m_yy_____10100_560"/>
      <sheetName val="[Offer.xls]d_m_yy_____10100_561"/>
      <sheetName val="[Offer.xls][Offer.xls]d_m_y_402"/>
      <sheetName val="[Offer.xls][Offer.xls]d_m_y_403"/>
      <sheetName val="[Offer.xls]d_m_yy_____10100_564"/>
      <sheetName val="[Offer.xls]d_m_yy_____10100_565"/>
      <sheetName val="[Offer.xls][Offer.xls]d_m_y_406"/>
      <sheetName val="[Offer.xls][Offer.xls]d_m_y_407"/>
      <sheetName val="[Offer.xls]d_m_yy_____10100_566"/>
      <sheetName val="[Offer.xls]d_m_yy_____10100_567"/>
      <sheetName val="[Offer.xls][Offer.xls]d_m_y_408"/>
      <sheetName val="[Offer.xls][Offer.xls]d_m_y_409"/>
      <sheetName val="[Offer.xls]d_m_yy_____10100_568"/>
      <sheetName val="[Offer.xls]d_m_yy_____10100_569"/>
      <sheetName val="[Offer.xls][Offer.xls]d_m_y_410"/>
      <sheetName val="[Offer.xls][Offer.xls]d_m_y_411"/>
      <sheetName val="[Offer.xls]d_m_yy_____10100_576"/>
      <sheetName val="[Offer.xls]d_m_yy_____10100_577"/>
      <sheetName val="[Offer.xls][Offer.xls]d_m_y_418"/>
      <sheetName val="[Offer.xls][Offer.xls]d_m_y_419"/>
      <sheetName val="[Offer.xls]d_m_yy_____10100_570"/>
      <sheetName val="[Offer.xls]d_m_yy_____10100_571"/>
      <sheetName val="[Offer.xls][Offer.xls]d_m_y_412"/>
      <sheetName val="[Offer.xls][Offer.xls]d_m_y_413"/>
      <sheetName val="[Offer.xls]d_m_yy_____10100_572"/>
      <sheetName val="[Offer.xls]d_m_yy_____10100_573"/>
      <sheetName val="[Offer.xls][Offer.xls]d_m_y_414"/>
      <sheetName val="[Offer.xls][Offer.xls]d_m_y_415"/>
      <sheetName val="[Offer.xls]d_m_yy_____10100_574"/>
      <sheetName val="[Offer.xls]d_m_yy_____10100_575"/>
      <sheetName val="[Offer.xls][Offer.xls]d_m_y_416"/>
      <sheetName val="[Offer.xls][Offer.xls]d_m_y_417"/>
      <sheetName val="[Offer.xls]d_m_yy_____10100_578"/>
      <sheetName val="[Offer.xls]d_m_yy_____10100_579"/>
      <sheetName val="[Offer.xls][Offer.xls]d_m_y_420"/>
      <sheetName val="[Offer.xls][Offer.xls]d_m_y_421"/>
      <sheetName val="[Offer.xls]d_m_yy_____10100_584"/>
      <sheetName val="[Offer.xls]d_m_yy_____10100_585"/>
      <sheetName val="[Offer.xls][Offer.xls]d_m_y_426"/>
      <sheetName val="[Offer.xls][Offer.xls]d_m_y_427"/>
      <sheetName val="[Offer.xls]d_m_yy_____10100_580"/>
      <sheetName val="[Offer.xls]d_m_yy_____10100_581"/>
      <sheetName val="[Offer.xls][Offer.xls]d_m_y_422"/>
      <sheetName val="[Offer.xls][Offer.xls]d_m_y_423"/>
      <sheetName val="[Offer.xls]d_m_yy_____10100_582"/>
      <sheetName val="[Offer.xls]d_m_yy_____10100_583"/>
      <sheetName val="[Offer.xls][Offer.xls]d_m_y_424"/>
      <sheetName val="[Offer.xls][Offer.xls]d_m_y_425"/>
      <sheetName val="[Offer.xls]d_m_yy_____10100_588"/>
      <sheetName val="[Offer.xls]d_m_yy_____10100_589"/>
      <sheetName val="[Offer.xls]d_m_yy_____10100_586"/>
      <sheetName val="[Offer.xls]d_m_yy_____10100_587"/>
      <sheetName val="[Offer.xls][Offer.xls]d_m_y_428"/>
      <sheetName val="[Offer.xls][Offer.xls]d_m_y_429"/>
      <sheetName val="[Offer.xls]d_m_yy_____10100_594"/>
      <sheetName val="[Offer.xls]d_m_yy_____10100_595"/>
      <sheetName val="[Offer.xls]d_m_yy_____10100_590"/>
      <sheetName val="[Offer.xls]d_m_yy_____10100_591"/>
      <sheetName val="[Offer.xls]d_m_yy_____10100_592"/>
      <sheetName val="[Offer.xls]d_m_yy_____10100_593"/>
      <sheetName val="[Offer.xls]d_m_yy_____10100_596"/>
      <sheetName val="[Offer.xls]d_m_yy_____10100_597"/>
      <sheetName val="[Offer.xls][Offer.xls]d_m_y_430"/>
      <sheetName val="[Offer.xls][Offer.xls]d_m_y_431"/>
      <sheetName val="[Offer.xls]d_m_yy_____10100_616"/>
      <sheetName val="[Offer.xls]d_m_yy_____10100_617"/>
      <sheetName val="[Offer.xls][Offer.xls]d_m_y_458"/>
      <sheetName val="[Offer.xls][Offer.xls]d_m_y_459"/>
      <sheetName val="[Offer.xls][Offer.xls]d_m_y_432"/>
      <sheetName val="[Offer.xls][Offer.xls]d_m_y_433"/>
      <sheetName val="[Offer.xls]d_m_yy_____10100_604"/>
      <sheetName val="[Offer.xls]d_m_yy_____10100_605"/>
      <sheetName val="[Offer.xls][Offer.xls]d_m_y_446"/>
      <sheetName val="[Offer.xls][Offer.xls]d_m_y_447"/>
      <sheetName val="[Offer.xls][Offer.xls]d_m_y_434"/>
      <sheetName val="[Offer.xls][Offer.xls]d_m_y_435"/>
      <sheetName val="[Offer.xls]d_m_yy_____10100_600"/>
      <sheetName val="[Offer.xls]d_m_yy_____10100_601"/>
      <sheetName val="[Offer.xls][Offer.xls]d_m_y_442"/>
      <sheetName val="[Offer.xls][Offer.xls]d_m_y_443"/>
      <sheetName val="[Offer.xls][Offer.xls]d_m_y_436"/>
      <sheetName val="[Offer.xls][Offer.xls]d_m_y_437"/>
      <sheetName val="[Offer.xls][Offer.xls]d_m_y_438"/>
      <sheetName val="[Offer.xls][Offer.xls]d_m_y_439"/>
      <sheetName val="[Offer.xls]d_m_yy_____10100_598"/>
      <sheetName val="[Offer.xls]d_m_yy_____10100_599"/>
      <sheetName val="[Offer.xls][Offer.xls]d_m_y_440"/>
      <sheetName val="[Offer.xls][Offer.xls]d_m_y_441"/>
      <sheetName val="[Offer.xls]d_m_yy_____10100_602"/>
      <sheetName val="[Offer.xls]d_m_yy_____10100_603"/>
      <sheetName val="[Offer.xls][Offer.xls]d_m_y_444"/>
      <sheetName val="[Offer.xls][Offer.xls]d_m_y_445"/>
      <sheetName val="[Offer.xls]d_m_yy_____10100_606"/>
      <sheetName val="[Offer.xls]d_m_yy_____10100_607"/>
      <sheetName val="[Offer.xls][Offer.xls]d_m_y_448"/>
      <sheetName val="[Offer.xls][Offer.xls]d_m_y_449"/>
      <sheetName val="[Offer.xls]d_m_yy_____10100_614"/>
      <sheetName val="[Offer.xls]d_m_yy_____10100_615"/>
      <sheetName val="[Offer.xls][Offer.xls]d_m_y_456"/>
      <sheetName val="[Offer.xls][Offer.xls]d_m_y_457"/>
      <sheetName val="[Offer.xls]d_m_yy_____10100_608"/>
      <sheetName val="[Offer.xls]d_m_yy_____10100_609"/>
      <sheetName val="[Offer.xls][Offer.xls]d_m_y_450"/>
      <sheetName val="[Offer.xls][Offer.xls]d_m_y_451"/>
      <sheetName val="[Offer.xls]d_m_yy_____10100_610"/>
      <sheetName val="[Offer.xls]d_m_yy_____10100_611"/>
      <sheetName val="[Offer.xls][Offer.xls]d_m_y_452"/>
      <sheetName val="[Offer.xls][Offer.xls]d_m_y_453"/>
      <sheetName val="[Offer.xls]d_m_yy_____10100_612"/>
      <sheetName val="[Offer.xls]d_m_yy_____10100_613"/>
      <sheetName val="[Offer.xls][Offer.xls]d_m_y_454"/>
      <sheetName val="[Offer.xls][Offer.xls]d_m_y_455"/>
      <sheetName val="[Offer.xls]d_m_yy_____10100_618"/>
      <sheetName val="[Offer.xls]d_m_yy_____10100_619"/>
      <sheetName val="[Offer.xls][Offer.xls]d_m_y_460"/>
      <sheetName val="[Offer.xls][Offer.xls]d_m_y_461"/>
      <sheetName val="[Offer.xls]d_m_yy_____10100_624"/>
      <sheetName val="[Offer.xls]d_m_yy_____10100_625"/>
      <sheetName val="[Offer.xls][Offer.xls]d_m_y_466"/>
      <sheetName val="[Offer.xls][Offer.xls]d_m_y_467"/>
      <sheetName val="[Offer.xls]d_m_yy_____10100_620"/>
      <sheetName val="[Offer.xls]d_m_yy_____10100_621"/>
      <sheetName val="[Offer.xls][Offer.xls]d_m_y_462"/>
      <sheetName val="[Offer.xls][Offer.xls]d_m_y_463"/>
      <sheetName val="[Offer.xls]d_m_yy_____10100_622"/>
      <sheetName val="[Offer.xls]d_m_yy_____10100_623"/>
      <sheetName val="[Offer.xls][Offer.xls]d_m_y_464"/>
      <sheetName val="[Offer.xls][Offer.xls]d_m_y_465"/>
      <sheetName val="[Offer.xls]d_m_yy_____10100_626"/>
      <sheetName val="[Offer.xls]d_m_yy_____10100_627"/>
      <sheetName val="[Offer.xls][Offer.xls]d_m_y_468"/>
      <sheetName val="[Offer.xls][Offer.xls]d_m_y_469"/>
      <sheetName val="[Offer.xls]d_m_yy_____10100_628"/>
      <sheetName val="[Offer.xls]d_m_yy_____10100_629"/>
      <sheetName val="[Offer.xls][Offer.xls]d_m_y_470"/>
      <sheetName val="[Offer.xls][Offer.xls]d_m_y_471"/>
      <sheetName val="[Offer.xls]d_m_yy_____10100_630"/>
      <sheetName val="[Offer.xls]d_m_yy_____10100_631"/>
      <sheetName val="[Offer.xls][Offer.xls]d_m_y_472"/>
      <sheetName val="[Offer.xls][Offer.xls]d_m_y_473"/>
      <sheetName val="[Offer.xls]d_m_yy_____10100_632"/>
      <sheetName val="[Offer.xls]d_m_yy_____10100_633"/>
      <sheetName val="[Offer.xls][Offer.xls]d_m_y_474"/>
      <sheetName val="[Offer.xls][Offer.xls]d_m_y_475"/>
      <sheetName val="[Offer.xls]d_m_yy_____10100_638"/>
      <sheetName val="[Offer.xls]d_m_yy_____10100_639"/>
      <sheetName val="[Offer.xls][Offer.xls]d_m_y_480"/>
      <sheetName val="[Offer.xls][Offer.xls]d_m_y_481"/>
      <sheetName val="[Offer.xls]d_m_yy_____10100_634"/>
      <sheetName val="[Offer.xls]d_m_yy_____10100_635"/>
      <sheetName val="[Offer.xls][Offer.xls]d_m_y_476"/>
      <sheetName val="[Offer.xls][Offer.xls]d_m_y_477"/>
      <sheetName val="[Offer.xls]d_m_yy_____10100_636"/>
      <sheetName val="[Offer.xls]d_m_yy_____10100_637"/>
      <sheetName val="[Offer.xls][Offer.xls]d_m_y_478"/>
      <sheetName val="[Offer.xls][Offer.xls]d_m_y_479"/>
      <sheetName val="[Offer.xls]d_m_yy_____10100_640"/>
      <sheetName val="[Offer.xls]d_m_yy_____10100_641"/>
      <sheetName val="[Offer.xls][Offer.xls]d_m_y_482"/>
      <sheetName val="[Offer.xls][Offer.xls]d_m_y_483"/>
      <sheetName val="[Offer.xls]d_m_yy_____10100_644"/>
      <sheetName val="[Offer.xls]d_m_yy_____10100_645"/>
      <sheetName val="[Offer.xls][Offer.xls]d_m_y_486"/>
      <sheetName val="[Offer.xls][Offer.xls]d_m_y_487"/>
      <sheetName val="[Offer.xls]d_m_yy_____10100_642"/>
      <sheetName val="[Offer.xls]d_m_yy_____10100_643"/>
      <sheetName val="[Offer.xls][Offer.xls]d_m_y_484"/>
      <sheetName val="[Offer.xls][Offer.xls]d_m_y_485"/>
      <sheetName val="[Offer.xls][Offer.xls]d/m/yy_x0013_["/>
      <sheetName val="[Offer.xls]d_m_yy_____10100_646"/>
      <sheetName val="[Offer.xls]d_m_yy_____10100_647"/>
      <sheetName val="[Offer.xls][Offer.xls]d_m_y_488"/>
      <sheetName val="[Offer.xls][Offer.xls]d_m_y_489"/>
      <sheetName val="[Offer.xls]d_m_yy_____10100_648"/>
      <sheetName val="[Offer.xls]d_m_yy_____10100_649"/>
      <sheetName val="[Offer.xls][Offer.xls]d_m_y_490"/>
      <sheetName val="[Offer.xls][Offer.xls]d_m_y_491"/>
      <sheetName val="[Offer.xls]d_m_yy_____10100_650"/>
      <sheetName val="[Offer.xls]d_m_yy_____10100_651"/>
      <sheetName val="[Offer.xls][Offer.xls]d_m_y_492"/>
      <sheetName val="[Offer.xls][Offer.xls]d_m_y_493"/>
    </sheetNames>
    <sheetDataSet>
      <sheetData sheetId="0" refreshError="1">
        <row r="8">
          <cell r="J8">
            <v>1.17746</v>
          </cell>
        </row>
        <row r="12">
          <cell r="J12">
            <v>0.03</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Preparation"/>
      <sheetName val="Summary BIA Assessment "/>
      <sheetName val="Graphs"/>
      <sheetName val="Summary RIA Assessment"/>
      <sheetName val="Application Assessment"/>
      <sheetName val="Technology Assessment"/>
      <sheetName val="Facility Assessment"/>
      <sheetName val="Rating Key"/>
      <sheetName val="Data for Sizing UAE from IT"/>
      <sheetName val="SAP DR Options_Solutions"/>
      <sheetName val="Important Information"/>
      <sheetName val="Summary User for UAE in DR Site"/>
      <sheetName val="Bandwidth Analysis for UAE"/>
      <sheetName val="factors"/>
    </sheetNames>
    <sheetDataSet>
      <sheetData sheetId="0">
        <row r="2">
          <cell r="D2" t="str">
            <v>RAK Ceramics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Preparation"/>
      <sheetName val="Summary BIA Assessment "/>
      <sheetName val="Graphs"/>
      <sheetName val="Summary RIA Assessment"/>
      <sheetName val="Application Assessment"/>
      <sheetName val="Technology Assessment"/>
      <sheetName val="Facility Assessment"/>
      <sheetName val="Rating Key"/>
      <sheetName val="Data for Sizing UAE from IT"/>
      <sheetName val="SAP DR Options_Solutions"/>
      <sheetName val="Important Information"/>
      <sheetName val="Summary User for UAE in DR Site"/>
      <sheetName val="Bandwidth Analysis for UAE"/>
      <sheetName val="factors"/>
    </sheetNames>
    <sheetDataSet>
      <sheetData sheetId="0">
        <row r="2">
          <cell r="D2" t="str">
            <v>RAK Ceramics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Preparation"/>
      <sheetName val="Summary BIA Assessment "/>
      <sheetName val="Graphs"/>
      <sheetName val="Summary RIA Assessment"/>
      <sheetName val="Application Assessment"/>
      <sheetName val="Technology Assessment"/>
      <sheetName val="Facility Assessment"/>
      <sheetName val="Rating Key"/>
      <sheetName val="Data for Sizing UAE from IT"/>
      <sheetName val="SAP DR Options_Solutions"/>
      <sheetName val="Important Information"/>
      <sheetName val="Summary User for UAE in DR Site"/>
      <sheetName val="Bandwidth Analysis for UAE"/>
      <sheetName val="factors"/>
    </sheetNames>
    <sheetDataSet>
      <sheetData sheetId="0">
        <row r="2">
          <cell r="D2" t="str">
            <v>RAK Ceramics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iew List"/>
      <sheetName val="Financial Review"/>
      <sheetName val="Working Capital Exposure"/>
      <sheetName val="Sheet3"/>
      <sheetName val="Billing&amp;Cashflow"/>
      <sheetName val="BG Details"/>
      <sheetName val="CusPymtMilestone&amp;VendorDetail"/>
      <sheetName val="Summary"/>
      <sheetName val="Customer Format"/>
      <sheetName val="Year wise Summary"/>
      <sheetName val="Sheet2"/>
      <sheetName val="TCS Services"/>
      <sheetName val="Sheet1"/>
      <sheetName val="INR Products&amp;Services"/>
      <sheetName val="Imported Products&amp;Services"/>
      <sheetName val="Foreign Currency Conversion"/>
      <sheetName val="cost"/>
      <sheetName val="sachin"/>
      <sheetName val="Input"/>
    </sheetNames>
    <sheetDataSet>
      <sheetData sheetId="0"/>
      <sheetData sheetId="1"/>
      <sheetData sheetId="2"/>
      <sheetData sheetId="3"/>
      <sheetData sheetId="4"/>
      <sheetData sheetId="5"/>
      <sheetData sheetId="6"/>
      <sheetData sheetId="7"/>
      <sheetData sheetId="8">
        <row r="22">
          <cell r="H22" t="str">
            <v>VAT</v>
          </cell>
          <cell r="I22">
            <v>5.5E-2</v>
          </cell>
          <cell r="L22">
            <v>0.05</v>
          </cell>
        </row>
        <row r="23">
          <cell r="H23" t="str">
            <v>VAT on NON IT Products</v>
          </cell>
          <cell r="I23">
            <v>0.15</v>
          </cell>
        </row>
        <row r="24">
          <cell r="H24" t="str">
            <v>Service Tax</v>
          </cell>
          <cell r="I24">
            <v>0.15</v>
          </cell>
        </row>
        <row r="25">
          <cell r="H25" t="str">
            <v>Octroi/ LBT</v>
          </cell>
          <cell r="I25">
            <v>0</v>
          </cell>
        </row>
        <row r="26">
          <cell r="F26">
            <v>0.4</v>
          </cell>
          <cell r="H26" t="str">
            <v>Software Tax</v>
          </cell>
          <cell r="I26">
            <v>0.20499999999999999</v>
          </cell>
        </row>
        <row r="27">
          <cell r="H27" t="str">
            <v>HW AMC tax</v>
          </cell>
          <cell r="I27">
            <v>0.183</v>
          </cell>
        </row>
        <row r="28">
          <cell r="H28" t="str">
            <v>SW AMC tax</v>
          </cell>
          <cell r="I28">
            <v>0.20499999999999999</v>
          </cell>
        </row>
        <row r="29">
          <cell r="H29" t="str">
            <v>NON IT Prod AMC tax</v>
          </cell>
          <cell r="I29">
            <v>0.24</v>
          </cell>
        </row>
        <row r="30">
          <cell r="H30" t="str">
            <v>CST</v>
          </cell>
          <cell r="I30">
            <v>0.05</v>
          </cell>
        </row>
        <row r="31">
          <cell r="H31" t="str">
            <v>CST on NON IT Products</v>
          </cell>
          <cell r="I31">
            <v>0.15</v>
          </cell>
        </row>
      </sheetData>
      <sheetData sheetId="9"/>
      <sheetData sheetId="10"/>
      <sheetData sheetId="11">
        <row r="206">
          <cell r="B206" t="str">
            <v>Yes</v>
          </cell>
        </row>
      </sheetData>
      <sheetData sheetId="12"/>
      <sheetData sheetId="13">
        <row r="6">
          <cell r="B6" t="str">
            <v>2016-17</v>
          </cell>
          <cell r="C6">
            <v>0</v>
          </cell>
        </row>
        <row r="7">
          <cell r="B7" t="str">
            <v>Grade</v>
          </cell>
          <cell r="C7" t="str">
            <v>Rate</v>
          </cell>
        </row>
        <row r="8">
          <cell r="B8" t="str">
            <v>YG/YD</v>
          </cell>
          <cell r="C8">
            <v>40458.3678</v>
          </cell>
        </row>
        <row r="9">
          <cell r="B9" t="str">
            <v>TR</v>
          </cell>
          <cell r="C9">
            <v>40458.3678</v>
          </cell>
        </row>
        <row r="10">
          <cell r="B10" t="str">
            <v>ASE</v>
          </cell>
          <cell r="C10">
            <v>58664.467799999999</v>
          </cell>
        </row>
        <row r="11">
          <cell r="B11" t="str">
            <v>SE</v>
          </cell>
          <cell r="C11">
            <v>76364.658899999995</v>
          </cell>
        </row>
        <row r="12">
          <cell r="B12" t="str">
            <v>ITA</v>
          </cell>
          <cell r="C12">
            <v>94064.849999999991</v>
          </cell>
        </row>
        <row r="13">
          <cell r="B13" t="str">
            <v>BA</v>
          </cell>
          <cell r="C13">
            <v>94064.849999999991</v>
          </cell>
        </row>
        <row r="14">
          <cell r="B14" t="str">
            <v>AST</v>
          </cell>
          <cell r="C14">
            <v>138568.28219999999</v>
          </cell>
        </row>
        <row r="15">
          <cell r="B15" t="str">
            <v>AST/ASC</v>
          </cell>
          <cell r="C15">
            <v>165372.07499999998</v>
          </cell>
        </row>
        <row r="16">
          <cell r="B16" t="str">
            <v>ASC</v>
          </cell>
          <cell r="C16">
            <v>192175.86779999998</v>
          </cell>
        </row>
        <row r="17">
          <cell r="B17" t="str">
            <v>CON</v>
          </cell>
          <cell r="C17">
            <v>315572.39999999997</v>
          </cell>
        </row>
        <row r="18">
          <cell r="B18" t="str">
            <v>SRC</v>
          </cell>
          <cell r="C18">
            <v>399522.38219999999</v>
          </cell>
        </row>
        <row r="19">
          <cell r="B19" t="str">
            <v>SMG</v>
          </cell>
          <cell r="C19">
            <v>574503.96779999998</v>
          </cell>
        </row>
        <row r="20">
          <cell r="B20" t="str">
            <v>VP</v>
          </cell>
          <cell r="C20">
            <v>0</v>
          </cell>
        </row>
        <row r="22">
          <cell r="B22" t="str">
            <v>2017-18</v>
          </cell>
          <cell r="C22">
            <v>0</v>
          </cell>
        </row>
        <row r="23">
          <cell r="B23" t="str">
            <v>Grade</v>
          </cell>
          <cell r="C23" t="str">
            <v>Rate</v>
          </cell>
        </row>
        <row r="24">
          <cell r="B24" t="str">
            <v>YG/YD</v>
          </cell>
          <cell r="C24">
            <v>44641.76303052</v>
          </cell>
        </row>
        <row r="25">
          <cell r="B25" t="str">
            <v>TR</v>
          </cell>
          <cell r="C25">
            <v>44641.76303052</v>
          </cell>
        </row>
        <row r="26">
          <cell r="B26" t="str">
            <v>ASE</v>
          </cell>
          <cell r="C26">
            <v>64730.373770519996</v>
          </cell>
        </row>
        <row r="27">
          <cell r="B27" t="str">
            <v>SE</v>
          </cell>
          <cell r="C27">
            <v>84260.76463025999</v>
          </cell>
        </row>
        <row r="28">
          <cell r="B28" t="str">
            <v>ITA</v>
          </cell>
          <cell r="C28">
            <v>103791.15548999999</v>
          </cell>
        </row>
        <row r="29">
          <cell r="B29" t="str">
            <v>BA</v>
          </cell>
          <cell r="C29">
            <v>103791.15548999999</v>
          </cell>
        </row>
        <row r="30">
          <cell r="B30" t="str">
            <v>AST</v>
          </cell>
          <cell r="C30">
            <v>152896.24257947996</v>
          </cell>
        </row>
        <row r="31">
          <cell r="B31" t="str">
            <v>AST/ASC</v>
          </cell>
          <cell r="C31">
            <v>182471.54755499997</v>
          </cell>
        </row>
        <row r="32">
          <cell r="B32" t="str">
            <v>ASC</v>
          </cell>
          <cell r="C32">
            <v>212046.85253051997</v>
          </cell>
        </row>
        <row r="33">
          <cell r="B33" t="str">
            <v>CON</v>
          </cell>
          <cell r="C33">
            <v>348202.58615999995</v>
          </cell>
        </row>
        <row r="34">
          <cell r="B34" t="str">
            <v>SRC</v>
          </cell>
          <cell r="C34">
            <v>440832.99651947996</v>
          </cell>
        </row>
        <row r="35">
          <cell r="B35" t="str">
            <v>SMG</v>
          </cell>
          <cell r="C35">
            <v>633907.67807051993</v>
          </cell>
        </row>
        <row r="36">
          <cell r="B36" t="str">
            <v>VP</v>
          </cell>
          <cell r="C36">
            <v>0</v>
          </cell>
        </row>
        <row r="38">
          <cell r="B38" t="str">
            <v>2018-19</v>
          </cell>
          <cell r="C38">
            <v>0</v>
          </cell>
        </row>
        <row r="39">
          <cell r="B39" t="str">
            <v>Grade</v>
          </cell>
          <cell r="C39" t="str">
            <v>Rate</v>
          </cell>
        </row>
        <row r="40">
          <cell r="B40" t="str">
            <v>YG/YD</v>
          </cell>
          <cell r="C40">
            <v>49257.721327875763</v>
          </cell>
        </row>
        <row r="41">
          <cell r="B41" t="str">
            <v>TR</v>
          </cell>
          <cell r="C41">
            <v>49257.721327875763</v>
          </cell>
        </row>
        <row r="42">
          <cell r="B42" t="str">
            <v>ASE</v>
          </cell>
          <cell r="C42">
            <v>71423.494418391754</v>
          </cell>
        </row>
        <row r="43">
          <cell r="B43" t="str">
            <v>SE</v>
          </cell>
          <cell r="C43">
            <v>92973.32769302887</v>
          </cell>
        </row>
        <row r="44">
          <cell r="B44" t="str">
            <v>ITA</v>
          </cell>
          <cell r="C44">
            <v>114523.16096766599</v>
          </cell>
        </row>
        <row r="45">
          <cell r="B45" t="str">
            <v>BA</v>
          </cell>
          <cell r="C45">
            <v>114523.16096766599</v>
          </cell>
        </row>
        <row r="46">
          <cell r="B46" t="str">
            <v>AST</v>
          </cell>
          <cell r="C46">
            <v>168705.71406219818</v>
          </cell>
        </row>
        <row r="47">
          <cell r="B47" t="str">
            <v>AST/ASC</v>
          </cell>
          <cell r="C47">
            <v>201339.10557218696</v>
          </cell>
        </row>
        <row r="48">
          <cell r="B48" t="str">
            <v>ASC</v>
          </cell>
          <cell r="C48">
            <v>233972.49708217572</v>
          </cell>
        </row>
        <row r="49">
          <cell r="B49" t="str">
            <v>CON</v>
          </cell>
          <cell r="C49">
            <v>384206.73356894392</v>
          </cell>
        </row>
        <row r="50">
          <cell r="B50" t="str">
            <v>SRC</v>
          </cell>
          <cell r="C50">
            <v>486415.12835959415</v>
          </cell>
        </row>
        <row r="51">
          <cell r="B51" t="str">
            <v>SMG</v>
          </cell>
          <cell r="C51">
            <v>699453.7319830117</v>
          </cell>
        </row>
        <row r="52">
          <cell r="B52" t="str">
            <v>VP</v>
          </cell>
          <cell r="C52">
            <v>0</v>
          </cell>
        </row>
        <row r="54">
          <cell r="B54" t="str">
            <v>2019-20</v>
          </cell>
          <cell r="C54">
            <v>0</v>
          </cell>
        </row>
        <row r="55">
          <cell r="B55" t="str">
            <v>Grade</v>
          </cell>
          <cell r="C55" t="str">
            <v>Rate</v>
          </cell>
        </row>
        <row r="56">
          <cell r="B56" t="str">
            <v>YG/YD</v>
          </cell>
          <cell r="C56">
            <v>54350.969713178114</v>
          </cell>
        </row>
        <row r="57">
          <cell r="B57" t="str">
            <v>TR</v>
          </cell>
          <cell r="C57">
            <v>54350.969713178114</v>
          </cell>
        </row>
        <row r="58">
          <cell r="B58" t="str">
            <v>ASE</v>
          </cell>
          <cell r="C58">
            <v>78808.683741253451</v>
          </cell>
        </row>
        <row r="59">
          <cell r="B59" t="str">
            <v>SE</v>
          </cell>
          <cell r="C59">
            <v>102586.76977648804</v>
          </cell>
        </row>
        <row r="60">
          <cell r="B60" t="str">
            <v>ITA</v>
          </cell>
          <cell r="C60">
            <v>126364.85581172263</v>
          </cell>
        </row>
        <row r="61">
          <cell r="B61" t="str">
            <v>BA</v>
          </cell>
          <cell r="C61">
            <v>126364.85581172263</v>
          </cell>
        </row>
        <row r="62">
          <cell r="B62" t="str">
            <v>AST</v>
          </cell>
          <cell r="C62">
            <v>186149.88489622946</v>
          </cell>
        </row>
        <row r="63">
          <cell r="B63" t="str">
            <v>AST/ASC</v>
          </cell>
          <cell r="C63">
            <v>222157.56908835107</v>
          </cell>
        </row>
        <row r="64">
          <cell r="B64" t="str">
            <v>ASC</v>
          </cell>
          <cell r="C64">
            <v>258165.25328047268</v>
          </cell>
        </row>
        <row r="65">
          <cell r="B65" t="str">
            <v>CON</v>
          </cell>
          <cell r="C65">
            <v>423933.70981997269</v>
          </cell>
        </row>
        <row r="66">
          <cell r="B66" t="str">
            <v>SRC</v>
          </cell>
          <cell r="C66">
            <v>536710.45263197611</v>
          </cell>
        </row>
        <row r="67">
          <cell r="B67" t="str">
            <v>SMG</v>
          </cell>
          <cell r="C67">
            <v>771777.24787005503</v>
          </cell>
        </row>
        <row r="68">
          <cell r="B68" t="str">
            <v>VP</v>
          </cell>
          <cell r="C68">
            <v>0</v>
          </cell>
        </row>
        <row r="70">
          <cell r="B70" t="str">
            <v>2020-21</v>
          </cell>
          <cell r="C70">
            <v>0</v>
          </cell>
        </row>
        <row r="71">
          <cell r="B71" t="str">
            <v>Grade</v>
          </cell>
          <cell r="C71" t="str">
            <v>Rate</v>
          </cell>
        </row>
        <row r="72">
          <cell r="B72" t="str">
            <v>YG/YD</v>
          </cell>
          <cell r="C72">
            <v>59970.859981520727</v>
          </cell>
        </row>
        <row r="73">
          <cell r="B73" t="str">
            <v>TR</v>
          </cell>
          <cell r="C73">
            <v>59970.859981520727</v>
          </cell>
        </row>
        <row r="74">
          <cell r="B74" t="str">
            <v>ASE</v>
          </cell>
          <cell r="C74">
            <v>86957.501640099057</v>
          </cell>
        </row>
        <row r="75">
          <cell r="B75" t="str">
            <v>SE</v>
          </cell>
          <cell r="C75">
            <v>113194.2417713769</v>
          </cell>
        </row>
        <row r="76">
          <cell r="B76" t="str">
            <v>ITA</v>
          </cell>
          <cell r="C76">
            <v>139430.98190265475</v>
          </cell>
        </row>
        <row r="77">
          <cell r="B77" t="str">
            <v>BA</v>
          </cell>
          <cell r="C77">
            <v>139430.98190265475</v>
          </cell>
        </row>
        <row r="78">
          <cell r="B78" t="str">
            <v>AST</v>
          </cell>
          <cell r="C78">
            <v>205397.78299449958</v>
          </cell>
        </row>
        <row r="79">
          <cell r="B79" t="str">
            <v>AST/ASC</v>
          </cell>
          <cell r="C79">
            <v>245128.66173208656</v>
          </cell>
        </row>
        <row r="80">
          <cell r="B80" t="str">
            <v>ASC</v>
          </cell>
          <cell r="C80">
            <v>284859.54046967352</v>
          </cell>
        </row>
        <row r="81">
          <cell r="B81" t="str">
            <v>CON</v>
          </cell>
          <cell r="C81">
            <v>467768.45541535784</v>
          </cell>
        </row>
        <row r="82">
          <cell r="B82" t="str">
            <v>SRC</v>
          </cell>
          <cell r="C82">
            <v>592206.31343412236</v>
          </cell>
        </row>
        <row r="83">
          <cell r="B83" t="str">
            <v>SMG</v>
          </cell>
          <cell r="C83">
            <v>851579.01529981871</v>
          </cell>
        </row>
        <row r="84">
          <cell r="B84" t="str">
            <v>VP</v>
          </cell>
          <cell r="C84">
            <v>0</v>
          </cell>
        </row>
        <row r="86">
          <cell r="B86" t="str">
            <v>2021-22</v>
          </cell>
          <cell r="C86">
            <v>0</v>
          </cell>
        </row>
        <row r="87">
          <cell r="B87" t="str">
            <v>Grade</v>
          </cell>
          <cell r="C87" t="str">
            <v>Rate</v>
          </cell>
        </row>
        <row r="88">
          <cell r="B88" t="str">
            <v>YG/YD</v>
          </cell>
          <cell r="C88">
            <v>66171.84690360997</v>
          </cell>
        </row>
        <row r="89">
          <cell r="B89" t="str">
            <v>TR</v>
          </cell>
          <cell r="C89">
            <v>66171.84690360997</v>
          </cell>
        </row>
        <row r="90">
          <cell r="B90" t="str">
            <v>ASE</v>
          </cell>
          <cell r="C90">
            <v>95948.907309685295</v>
          </cell>
        </row>
        <row r="91">
          <cell r="B91" t="str">
            <v>SE</v>
          </cell>
          <cell r="C91">
            <v>124898.52637053726</v>
          </cell>
        </row>
        <row r="92">
          <cell r="B92" t="str">
            <v>ITA</v>
          </cell>
          <cell r="C92">
            <v>153848.14543138925</v>
          </cell>
        </row>
        <row r="93">
          <cell r="B93" t="str">
            <v>BA</v>
          </cell>
          <cell r="C93">
            <v>153848.14543138925</v>
          </cell>
        </row>
        <row r="94">
          <cell r="B94" t="str">
            <v>AST</v>
          </cell>
          <cell r="C94">
            <v>226635.91375613082</v>
          </cell>
        </row>
        <row r="95">
          <cell r="B95" t="str">
            <v>AST/ASC</v>
          </cell>
          <cell r="C95">
            <v>270474.96535518428</v>
          </cell>
        </row>
        <row r="96">
          <cell r="B96" t="str">
            <v>ASC</v>
          </cell>
          <cell r="C96">
            <v>314314.01695423777</v>
          </cell>
        </row>
        <row r="97">
          <cell r="B97" t="str">
            <v>CON</v>
          </cell>
          <cell r="C97">
            <v>516135.71370530582</v>
          </cell>
        </row>
        <row r="98">
          <cell r="B98" t="str">
            <v>SRC</v>
          </cell>
          <cell r="C98">
            <v>653440.44624321058</v>
          </cell>
        </row>
        <row r="99">
          <cell r="B99" t="str">
            <v>SMG</v>
          </cell>
          <cell r="C99">
            <v>939632.28548181988</v>
          </cell>
        </row>
        <row r="100">
          <cell r="B100" t="str">
            <v>VP</v>
          </cell>
          <cell r="C100">
            <v>0</v>
          </cell>
        </row>
        <row r="102">
          <cell r="B102" t="str">
            <v>2022-23</v>
          </cell>
          <cell r="C102">
            <v>0</v>
          </cell>
        </row>
        <row r="103">
          <cell r="B103" t="str">
            <v>Grade</v>
          </cell>
          <cell r="C103" t="str">
            <v>Rate</v>
          </cell>
        </row>
        <row r="104">
          <cell r="B104" t="str">
            <v>YG/YD</v>
          </cell>
          <cell r="C104">
            <v>73014.015873443233</v>
          </cell>
        </row>
        <row r="105">
          <cell r="B105" t="str">
            <v>TR</v>
          </cell>
          <cell r="C105">
            <v>73014.015873443233</v>
          </cell>
        </row>
        <row r="106">
          <cell r="B106" t="str">
            <v>ASE</v>
          </cell>
          <cell r="C106">
            <v>105870.02432550675</v>
          </cell>
        </row>
        <row r="107">
          <cell r="B107" t="str">
            <v>SE</v>
          </cell>
          <cell r="C107">
            <v>137813.03399725081</v>
          </cell>
        </row>
        <row r="108">
          <cell r="B108" t="str">
            <v>ITA</v>
          </cell>
          <cell r="C108">
            <v>169756.04366899488</v>
          </cell>
        </row>
        <row r="109">
          <cell r="B109" t="str">
            <v>BA</v>
          </cell>
          <cell r="C109">
            <v>169756.04366899488</v>
          </cell>
        </row>
        <row r="110">
          <cell r="B110" t="str">
            <v>AST</v>
          </cell>
          <cell r="C110">
            <v>250070.06723851472</v>
          </cell>
        </row>
        <row r="111">
          <cell r="B111" t="str">
            <v>AST/ASC</v>
          </cell>
          <cell r="C111">
            <v>298442.07677291031</v>
          </cell>
        </row>
        <row r="112">
          <cell r="B112" t="str">
            <v>ASC</v>
          </cell>
          <cell r="C112">
            <v>346814.08630730596</v>
          </cell>
        </row>
        <row r="113">
          <cell r="B113" t="str">
            <v>CON</v>
          </cell>
          <cell r="C113">
            <v>569504.14650243439</v>
          </cell>
        </row>
        <row r="114">
          <cell r="B114" t="str">
            <v>SRC</v>
          </cell>
          <cell r="C114">
            <v>721006.18838475854</v>
          </cell>
        </row>
        <row r="115">
          <cell r="B115" t="str">
            <v>SMG</v>
          </cell>
          <cell r="C115">
            <v>1036790.26380064</v>
          </cell>
        </row>
        <row r="116">
          <cell r="B116" t="str">
            <v>VP</v>
          </cell>
          <cell r="C116">
            <v>0</v>
          </cell>
        </row>
        <row r="118">
          <cell r="B118" t="str">
            <v>2023-24</v>
          </cell>
          <cell r="C118">
            <v>0</v>
          </cell>
        </row>
        <row r="119">
          <cell r="B119" t="str">
            <v>Grade</v>
          </cell>
          <cell r="C119" t="str">
            <v>Rate</v>
          </cell>
        </row>
        <row r="120">
          <cell r="B120" t="str">
            <v>YG/YD</v>
          </cell>
          <cell r="C120">
            <v>80563.665114757256</v>
          </cell>
        </row>
        <row r="121">
          <cell r="B121" t="str">
            <v>TR</v>
          </cell>
          <cell r="C121">
            <v>80563.665114757256</v>
          </cell>
        </row>
        <row r="122">
          <cell r="B122" t="str">
            <v>ASE</v>
          </cell>
          <cell r="C122">
            <v>116816.98484076414</v>
          </cell>
        </row>
        <row r="123">
          <cell r="B123" t="str">
            <v>SE</v>
          </cell>
          <cell r="C123">
            <v>152062.90171256653</v>
          </cell>
        </row>
        <row r="124">
          <cell r="B124" t="str">
            <v>ITA</v>
          </cell>
          <cell r="C124">
            <v>187308.81858436894</v>
          </cell>
        </row>
        <row r="125">
          <cell r="B125" t="str">
            <v>BA</v>
          </cell>
          <cell r="C125">
            <v>187308.81858436894</v>
          </cell>
        </row>
        <row r="126">
          <cell r="B126" t="str">
            <v>AST</v>
          </cell>
          <cell r="C126">
            <v>275927.3121909771</v>
          </cell>
        </row>
        <row r="127">
          <cell r="B127" t="str">
            <v>AST/ASC</v>
          </cell>
          <cell r="C127">
            <v>329300.98751122924</v>
          </cell>
        </row>
        <row r="128">
          <cell r="B128" t="str">
            <v>ASC</v>
          </cell>
          <cell r="C128">
            <v>382674.66283148137</v>
          </cell>
        </row>
        <row r="129">
          <cell r="B129" t="str">
            <v>CON</v>
          </cell>
          <cell r="C129">
            <v>628390.87525078608</v>
          </cell>
        </row>
        <row r="130">
          <cell r="B130" t="str">
            <v>SRC</v>
          </cell>
          <cell r="C130">
            <v>795558.22826374252</v>
          </cell>
        </row>
        <row r="131">
          <cell r="B131" t="str">
            <v>SMG</v>
          </cell>
          <cell r="C131">
            <v>1143994.3770776261</v>
          </cell>
        </row>
        <row r="132">
          <cell r="B132" t="str">
            <v>VP</v>
          </cell>
          <cell r="C132">
            <v>0</v>
          </cell>
        </row>
        <row r="134">
          <cell r="B134" t="str">
            <v>2024-25</v>
          </cell>
          <cell r="C134">
            <v>0</v>
          </cell>
        </row>
        <row r="135">
          <cell r="B135" t="str">
            <v>Grade</v>
          </cell>
          <cell r="C135" t="str">
            <v>Rate</v>
          </cell>
        </row>
        <row r="136">
          <cell r="B136" t="str">
            <v>YG/YD</v>
          </cell>
          <cell r="C136">
            <v>88893.948087623154</v>
          </cell>
        </row>
        <row r="137">
          <cell r="B137" t="str">
            <v>TR</v>
          </cell>
          <cell r="C137">
            <v>88893.948087623154</v>
          </cell>
        </row>
        <row r="138">
          <cell r="B138" t="str">
            <v>ASE</v>
          </cell>
          <cell r="C138">
            <v>128895.86107329915</v>
          </cell>
        </row>
        <row r="139">
          <cell r="B139" t="str">
            <v>SE</v>
          </cell>
          <cell r="C139">
            <v>167786.20574964589</v>
          </cell>
        </row>
        <row r="140">
          <cell r="B140" t="str">
            <v>ITA</v>
          </cell>
          <cell r="C140">
            <v>206676.55042599267</v>
          </cell>
        </row>
        <row r="141">
          <cell r="B141" t="str">
            <v>BA</v>
          </cell>
          <cell r="C141">
            <v>206676.55042599267</v>
          </cell>
        </row>
        <row r="142">
          <cell r="B142" t="str">
            <v>AST</v>
          </cell>
          <cell r="C142">
            <v>304458.19627152412</v>
          </cell>
        </row>
        <row r="143">
          <cell r="B143" t="str">
            <v>AST/ASC</v>
          </cell>
          <cell r="C143">
            <v>363350.70961989032</v>
          </cell>
        </row>
        <row r="144">
          <cell r="B144" t="str">
            <v>ASC</v>
          </cell>
          <cell r="C144">
            <v>422243.22296825651</v>
          </cell>
        </row>
        <row r="145">
          <cell r="B145" t="str">
            <v>CON</v>
          </cell>
          <cell r="C145">
            <v>693366.49175171729</v>
          </cell>
        </row>
        <row r="146">
          <cell r="B146" t="str">
            <v>SRC</v>
          </cell>
          <cell r="C146">
            <v>877818.94906621345</v>
          </cell>
        </row>
        <row r="147">
          <cell r="B147" t="str">
            <v>SMG</v>
          </cell>
          <cell r="C147">
            <v>1262283.3956674526</v>
          </cell>
        </row>
        <row r="148">
          <cell r="B148" t="str">
            <v>VP</v>
          </cell>
          <cell r="C148">
            <v>0</v>
          </cell>
        </row>
        <row r="150">
          <cell r="B150" t="str">
            <v>2025-26</v>
          </cell>
          <cell r="C150">
            <v>0</v>
          </cell>
        </row>
        <row r="151">
          <cell r="B151" t="str">
            <v>Grade</v>
          </cell>
          <cell r="C151" t="str">
            <v>Rate</v>
          </cell>
        </row>
        <row r="152">
          <cell r="B152" t="str">
            <v>YG/YD</v>
          </cell>
          <cell r="C152">
            <v>98085.582319883382</v>
          </cell>
        </row>
        <row r="153">
          <cell r="B153" t="str">
            <v>TR</v>
          </cell>
          <cell r="C153">
            <v>98085.582319883382</v>
          </cell>
        </row>
        <row r="154">
          <cell r="B154" t="str">
            <v>ASE</v>
          </cell>
          <cell r="C154">
            <v>142223.69310827827</v>
          </cell>
        </row>
        <row r="155">
          <cell r="B155" t="str">
            <v>SE</v>
          </cell>
          <cell r="C155">
            <v>185135.29942415925</v>
          </cell>
        </row>
        <row r="156">
          <cell r="B156" t="str">
            <v>ITA</v>
          </cell>
          <cell r="C156">
            <v>228046.9057400403</v>
          </cell>
        </row>
        <row r="157">
          <cell r="B157" t="str">
            <v>BA</v>
          </cell>
          <cell r="C157">
            <v>228046.9057400403</v>
          </cell>
        </row>
        <row r="158">
          <cell r="B158" t="str">
            <v>AST</v>
          </cell>
          <cell r="C158">
            <v>335939.17376599967</v>
          </cell>
        </row>
        <row r="159">
          <cell r="B159" t="str">
            <v>AST/ASC</v>
          </cell>
          <cell r="C159">
            <v>400921.17299458693</v>
          </cell>
        </row>
        <row r="160">
          <cell r="B160" t="str">
            <v>ASC</v>
          </cell>
          <cell r="C160">
            <v>465903.17222317419</v>
          </cell>
        </row>
        <row r="161">
          <cell r="B161" t="str">
            <v>CON</v>
          </cell>
          <cell r="C161">
            <v>765060.58699884487</v>
          </cell>
        </row>
        <row r="162">
          <cell r="B162" t="str">
            <v>SRC</v>
          </cell>
          <cell r="C162">
            <v>968585.42839965981</v>
          </cell>
        </row>
        <row r="163">
          <cell r="B163" t="str">
            <v>SMG</v>
          </cell>
          <cell r="C163">
            <v>1392803.4987794671</v>
          </cell>
        </row>
        <row r="164">
          <cell r="B164" t="str">
            <v>VP</v>
          </cell>
          <cell r="C164">
            <v>0</v>
          </cell>
        </row>
        <row r="166">
          <cell r="B166" t="str">
            <v>2026-27</v>
          </cell>
          <cell r="C166">
            <v>0</v>
          </cell>
        </row>
        <row r="167">
          <cell r="B167" t="str">
            <v>Grade</v>
          </cell>
          <cell r="C167" t="str">
            <v>Rate</v>
          </cell>
        </row>
        <row r="168">
          <cell r="B168" t="str">
            <v>YG/YD</v>
          </cell>
          <cell r="C168">
            <v>108227.63153175931</v>
          </cell>
        </row>
        <row r="169">
          <cell r="B169" t="str">
            <v>TR</v>
          </cell>
          <cell r="C169">
            <v>108227.63153175931</v>
          </cell>
        </row>
        <row r="170">
          <cell r="B170" t="str">
            <v>ASE</v>
          </cell>
          <cell r="C170">
            <v>156929.62297567423</v>
          </cell>
        </row>
        <row r="171">
          <cell r="B171" t="str">
            <v>SE</v>
          </cell>
          <cell r="C171">
            <v>204278.2893846173</v>
          </cell>
        </row>
        <row r="172">
          <cell r="B172" t="str">
            <v>ITA</v>
          </cell>
          <cell r="C172">
            <v>251626.95579356045</v>
          </cell>
        </row>
        <row r="173">
          <cell r="B173" t="str">
            <v>BA</v>
          </cell>
          <cell r="C173">
            <v>251626.95579356045</v>
          </cell>
        </row>
        <row r="174">
          <cell r="B174" t="str">
            <v>AST</v>
          </cell>
          <cell r="C174">
            <v>370675.28433340404</v>
          </cell>
        </row>
        <row r="175">
          <cell r="B175" t="str">
            <v>AST/ASC</v>
          </cell>
          <cell r="C175">
            <v>442376.4222822272</v>
          </cell>
        </row>
        <row r="176">
          <cell r="B176" t="str">
            <v>ASC</v>
          </cell>
          <cell r="C176">
            <v>514077.56023105036</v>
          </cell>
        </row>
        <row r="177">
          <cell r="B177" t="str">
            <v>CON</v>
          </cell>
          <cell r="C177">
            <v>844167.85169452534</v>
          </cell>
        </row>
        <row r="178">
          <cell r="B178" t="str">
            <v>SRC</v>
          </cell>
          <cell r="C178">
            <v>1068737.1616961847</v>
          </cell>
        </row>
        <row r="179">
          <cell r="B179" t="str">
            <v>SMG</v>
          </cell>
          <cell r="C179">
            <v>1536819.3805532639</v>
          </cell>
        </row>
        <row r="180">
          <cell r="B180" t="str">
            <v>VP</v>
          </cell>
          <cell r="C180">
            <v>0</v>
          </cell>
        </row>
        <row r="182">
          <cell r="B182" t="str">
            <v>2027-28</v>
          </cell>
          <cell r="C182">
            <v>0</v>
          </cell>
        </row>
        <row r="183">
          <cell r="B183" t="str">
            <v>Grade</v>
          </cell>
          <cell r="C183" t="str">
            <v>Rate</v>
          </cell>
        </row>
        <row r="184">
          <cell r="B184" t="str">
            <v>YG/YD</v>
          </cell>
          <cell r="C184">
            <v>119418.36863214322</v>
          </cell>
        </row>
        <row r="185">
          <cell r="B185" t="str">
            <v>TR</v>
          </cell>
          <cell r="C185">
            <v>119418.36863214322</v>
          </cell>
        </row>
        <row r="186">
          <cell r="B186" t="str">
            <v>ASE</v>
          </cell>
          <cell r="C186">
            <v>173156.14599135894</v>
          </cell>
        </row>
        <row r="187">
          <cell r="B187" t="str">
            <v>SE</v>
          </cell>
          <cell r="C187">
            <v>225400.66450698671</v>
          </cell>
        </row>
        <row r="188">
          <cell r="B188" t="str">
            <v>ITA</v>
          </cell>
          <cell r="C188">
            <v>277645.18302261457</v>
          </cell>
        </row>
        <row r="189">
          <cell r="B189" t="str">
            <v>BA</v>
          </cell>
          <cell r="C189">
            <v>277645.18302261457</v>
          </cell>
        </row>
        <row r="190">
          <cell r="B190" t="str">
            <v>AST</v>
          </cell>
          <cell r="C190">
            <v>409003.108733478</v>
          </cell>
        </row>
        <row r="191">
          <cell r="B191" t="str">
            <v>AST/ASC</v>
          </cell>
          <cell r="C191">
            <v>488118.14434620948</v>
          </cell>
        </row>
        <row r="192">
          <cell r="B192" t="str">
            <v>ASC</v>
          </cell>
          <cell r="C192">
            <v>567233.17995894095</v>
          </cell>
        </row>
        <row r="193">
          <cell r="B193" t="str">
            <v>CON</v>
          </cell>
          <cell r="C193">
            <v>931454.80755973922</v>
          </cell>
        </row>
        <row r="194">
          <cell r="B194" t="str">
            <v>SRC</v>
          </cell>
          <cell r="C194">
            <v>1179244.58421557</v>
          </cell>
        </row>
        <row r="195">
          <cell r="B195" t="str">
            <v>SMG</v>
          </cell>
          <cell r="C195">
            <v>1695726.5045024713</v>
          </cell>
        </row>
        <row r="196">
          <cell r="B196" t="str">
            <v>VP</v>
          </cell>
          <cell r="C196">
            <v>0</v>
          </cell>
        </row>
      </sheetData>
      <sheetData sheetId="14"/>
      <sheetData sheetId="15"/>
      <sheetData sheetId="16"/>
      <sheetData sheetId="17" refreshError="1"/>
      <sheetData sheetId="18" refreshError="1"/>
      <sheetData sheetId="1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iew List"/>
      <sheetName val="Financial Review"/>
      <sheetName val="Working Capital Exposure"/>
      <sheetName val="Sheet3"/>
      <sheetName val="Billing&amp;Cashflow"/>
      <sheetName val="BG Details"/>
      <sheetName val="CusPymtMilestone&amp;VendorDetail"/>
      <sheetName val="Summary"/>
      <sheetName val="Customer Format"/>
      <sheetName val="Year wise Summary"/>
      <sheetName val="Sheet2"/>
      <sheetName val="TCS Services"/>
      <sheetName val="Sheet1"/>
      <sheetName val="INR Products&amp;Services"/>
      <sheetName val="Imported Products&amp;Services"/>
      <sheetName val="Foreign Currency Conversion"/>
      <sheetName val="cost"/>
      <sheetName val="sachin"/>
      <sheetName val="Input"/>
    </sheetNames>
    <sheetDataSet>
      <sheetData sheetId="0"/>
      <sheetData sheetId="1"/>
      <sheetData sheetId="2"/>
      <sheetData sheetId="3"/>
      <sheetData sheetId="4"/>
      <sheetData sheetId="5"/>
      <sheetData sheetId="6"/>
      <sheetData sheetId="7"/>
      <sheetData sheetId="8">
        <row r="22">
          <cell r="H22" t="str">
            <v>VAT</v>
          </cell>
          <cell r="I22">
            <v>5.5E-2</v>
          </cell>
          <cell r="L22">
            <v>0.05</v>
          </cell>
        </row>
        <row r="23">
          <cell r="H23" t="str">
            <v>VAT on NON IT Products</v>
          </cell>
          <cell r="I23">
            <v>0.15</v>
          </cell>
        </row>
        <row r="24">
          <cell r="H24" t="str">
            <v>Service Tax</v>
          </cell>
          <cell r="I24">
            <v>0.15</v>
          </cell>
        </row>
        <row r="25">
          <cell r="H25" t="str">
            <v>Octroi/ LBT</v>
          </cell>
          <cell r="I25">
            <v>0</v>
          </cell>
        </row>
        <row r="26">
          <cell r="F26">
            <v>0.4</v>
          </cell>
          <cell r="H26" t="str">
            <v>Software Tax</v>
          </cell>
          <cell r="I26">
            <v>0.20499999999999999</v>
          </cell>
        </row>
        <row r="27">
          <cell r="H27" t="str">
            <v>HW AMC tax</v>
          </cell>
          <cell r="I27">
            <v>0.183</v>
          </cell>
        </row>
        <row r="28">
          <cell r="H28" t="str">
            <v>SW AMC tax</v>
          </cell>
          <cell r="I28">
            <v>0.20499999999999999</v>
          </cell>
        </row>
        <row r="29">
          <cell r="H29" t="str">
            <v>NON IT Prod AMC tax</v>
          </cell>
          <cell r="I29">
            <v>0.24</v>
          </cell>
        </row>
        <row r="30">
          <cell r="H30" t="str">
            <v>CST</v>
          </cell>
          <cell r="I30">
            <v>0.05</v>
          </cell>
        </row>
        <row r="31">
          <cell r="H31" t="str">
            <v>CST on NON IT Products</v>
          </cell>
          <cell r="I31">
            <v>0.15</v>
          </cell>
        </row>
      </sheetData>
      <sheetData sheetId="9"/>
      <sheetData sheetId="10"/>
      <sheetData sheetId="11">
        <row r="206">
          <cell r="B206" t="str">
            <v>Yes</v>
          </cell>
        </row>
      </sheetData>
      <sheetData sheetId="12"/>
      <sheetData sheetId="13">
        <row r="6">
          <cell r="B6" t="str">
            <v>2016-17</v>
          </cell>
          <cell r="C6">
            <v>0</v>
          </cell>
        </row>
        <row r="7">
          <cell r="B7" t="str">
            <v>Grade</v>
          </cell>
          <cell r="C7" t="str">
            <v>Rate</v>
          </cell>
        </row>
        <row r="8">
          <cell r="B8" t="str">
            <v>YG/YD</v>
          </cell>
          <cell r="C8">
            <v>40458.3678</v>
          </cell>
        </row>
        <row r="9">
          <cell r="B9" t="str">
            <v>TR</v>
          </cell>
          <cell r="C9">
            <v>40458.3678</v>
          </cell>
        </row>
        <row r="10">
          <cell r="B10" t="str">
            <v>ASE</v>
          </cell>
          <cell r="C10">
            <v>58664.467799999999</v>
          </cell>
        </row>
        <row r="11">
          <cell r="B11" t="str">
            <v>SE</v>
          </cell>
          <cell r="C11">
            <v>76364.658899999995</v>
          </cell>
        </row>
        <row r="12">
          <cell r="B12" t="str">
            <v>ITA</v>
          </cell>
          <cell r="C12">
            <v>94064.849999999991</v>
          </cell>
        </row>
        <row r="13">
          <cell r="B13" t="str">
            <v>BA</v>
          </cell>
          <cell r="C13">
            <v>94064.849999999991</v>
          </cell>
        </row>
        <row r="14">
          <cell r="B14" t="str">
            <v>AST</v>
          </cell>
          <cell r="C14">
            <v>138568.28219999999</v>
          </cell>
        </row>
        <row r="15">
          <cell r="B15" t="str">
            <v>AST/ASC</v>
          </cell>
          <cell r="C15">
            <v>165372.07499999998</v>
          </cell>
        </row>
        <row r="16">
          <cell r="B16" t="str">
            <v>ASC</v>
          </cell>
          <cell r="C16">
            <v>192175.86779999998</v>
          </cell>
        </row>
        <row r="17">
          <cell r="B17" t="str">
            <v>CON</v>
          </cell>
          <cell r="C17">
            <v>315572.39999999997</v>
          </cell>
        </row>
        <row r="18">
          <cell r="B18" t="str">
            <v>SRC</v>
          </cell>
          <cell r="C18">
            <v>399522.38219999999</v>
          </cell>
        </row>
        <row r="19">
          <cell r="B19" t="str">
            <v>SMG</v>
          </cell>
          <cell r="C19">
            <v>574503.96779999998</v>
          </cell>
        </row>
        <row r="20">
          <cell r="B20" t="str">
            <v>VP</v>
          </cell>
          <cell r="C20">
            <v>0</v>
          </cell>
        </row>
        <row r="22">
          <cell r="B22" t="str">
            <v>2017-18</v>
          </cell>
          <cell r="C22">
            <v>0</v>
          </cell>
        </row>
        <row r="23">
          <cell r="B23" t="str">
            <v>Grade</v>
          </cell>
          <cell r="C23" t="str">
            <v>Rate</v>
          </cell>
        </row>
        <row r="24">
          <cell r="B24" t="str">
            <v>YG/YD</v>
          </cell>
          <cell r="C24">
            <v>44641.76303052</v>
          </cell>
        </row>
        <row r="25">
          <cell r="B25" t="str">
            <v>TR</v>
          </cell>
          <cell r="C25">
            <v>44641.76303052</v>
          </cell>
        </row>
        <row r="26">
          <cell r="B26" t="str">
            <v>ASE</v>
          </cell>
          <cell r="C26">
            <v>64730.373770519996</v>
          </cell>
        </row>
        <row r="27">
          <cell r="B27" t="str">
            <v>SE</v>
          </cell>
          <cell r="C27">
            <v>84260.76463025999</v>
          </cell>
        </row>
        <row r="28">
          <cell r="B28" t="str">
            <v>ITA</v>
          </cell>
          <cell r="C28">
            <v>103791.15548999999</v>
          </cell>
        </row>
        <row r="29">
          <cell r="B29" t="str">
            <v>BA</v>
          </cell>
          <cell r="C29">
            <v>103791.15548999999</v>
          </cell>
        </row>
        <row r="30">
          <cell r="B30" t="str">
            <v>AST</v>
          </cell>
          <cell r="C30">
            <v>152896.24257947996</v>
          </cell>
        </row>
        <row r="31">
          <cell r="B31" t="str">
            <v>AST/ASC</v>
          </cell>
          <cell r="C31">
            <v>182471.54755499997</v>
          </cell>
        </row>
        <row r="32">
          <cell r="B32" t="str">
            <v>ASC</v>
          </cell>
          <cell r="C32">
            <v>212046.85253051997</v>
          </cell>
        </row>
        <row r="33">
          <cell r="B33" t="str">
            <v>CON</v>
          </cell>
          <cell r="C33">
            <v>348202.58615999995</v>
          </cell>
        </row>
        <row r="34">
          <cell r="B34" t="str">
            <v>SRC</v>
          </cell>
          <cell r="C34">
            <v>440832.99651947996</v>
          </cell>
        </row>
        <row r="35">
          <cell r="B35" t="str">
            <v>SMG</v>
          </cell>
          <cell r="C35">
            <v>633907.67807051993</v>
          </cell>
        </row>
        <row r="36">
          <cell r="B36" t="str">
            <v>VP</v>
          </cell>
          <cell r="C36">
            <v>0</v>
          </cell>
        </row>
        <row r="38">
          <cell r="B38" t="str">
            <v>2018-19</v>
          </cell>
          <cell r="C38">
            <v>0</v>
          </cell>
        </row>
        <row r="39">
          <cell r="B39" t="str">
            <v>Grade</v>
          </cell>
          <cell r="C39" t="str">
            <v>Rate</v>
          </cell>
        </row>
        <row r="40">
          <cell r="B40" t="str">
            <v>YG/YD</v>
          </cell>
          <cell r="C40">
            <v>49257.721327875763</v>
          </cell>
        </row>
        <row r="41">
          <cell r="B41" t="str">
            <v>TR</v>
          </cell>
          <cell r="C41">
            <v>49257.721327875763</v>
          </cell>
        </row>
        <row r="42">
          <cell r="B42" t="str">
            <v>ASE</v>
          </cell>
          <cell r="C42">
            <v>71423.494418391754</v>
          </cell>
        </row>
        <row r="43">
          <cell r="B43" t="str">
            <v>SE</v>
          </cell>
          <cell r="C43">
            <v>92973.32769302887</v>
          </cell>
        </row>
        <row r="44">
          <cell r="B44" t="str">
            <v>ITA</v>
          </cell>
          <cell r="C44">
            <v>114523.16096766599</v>
          </cell>
        </row>
        <row r="45">
          <cell r="B45" t="str">
            <v>BA</v>
          </cell>
          <cell r="C45">
            <v>114523.16096766599</v>
          </cell>
        </row>
        <row r="46">
          <cell r="B46" t="str">
            <v>AST</v>
          </cell>
          <cell r="C46">
            <v>168705.71406219818</v>
          </cell>
        </row>
        <row r="47">
          <cell r="B47" t="str">
            <v>AST/ASC</v>
          </cell>
          <cell r="C47">
            <v>201339.10557218696</v>
          </cell>
        </row>
        <row r="48">
          <cell r="B48" t="str">
            <v>ASC</v>
          </cell>
          <cell r="C48">
            <v>233972.49708217572</v>
          </cell>
        </row>
        <row r="49">
          <cell r="B49" t="str">
            <v>CON</v>
          </cell>
          <cell r="C49">
            <v>384206.73356894392</v>
          </cell>
        </row>
        <row r="50">
          <cell r="B50" t="str">
            <v>SRC</v>
          </cell>
          <cell r="C50">
            <v>486415.12835959415</v>
          </cell>
        </row>
        <row r="51">
          <cell r="B51" t="str">
            <v>SMG</v>
          </cell>
          <cell r="C51">
            <v>699453.7319830117</v>
          </cell>
        </row>
        <row r="52">
          <cell r="B52" t="str">
            <v>VP</v>
          </cell>
          <cell r="C52">
            <v>0</v>
          </cell>
        </row>
        <row r="54">
          <cell r="B54" t="str">
            <v>2019-20</v>
          </cell>
          <cell r="C54">
            <v>0</v>
          </cell>
        </row>
        <row r="55">
          <cell r="B55" t="str">
            <v>Grade</v>
          </cell>
          <cell r="C55" t="str">
            <v>Rate</v>
          </cell>
        </row>
        <row r="56">
          <cell r="B56" t="str">
            <v>YG/YD</v>
          </cell>
          <cell r="C56">
            <v>54350.969713178114</v>
          </cell>
        </row>
        <row r="57">
          <cell r="B57" t="str">
            <v>TR</v>
          </cell>
          <cell r="C57">
            <v>54350.969713178114</v>
          </cell>
        </row>
        <row r="58">
          <cell r="B58" t="str">
            <v>ASE</v>
          </cell>
          <cell r="C58">
            <v>78808.683741253451</v>
          </cell>
        </row>
        <row r="59">
          <cell r="B59" t="str">
            <v>SE</v>
          </cell>
          <cell r="C59">
            <v>102586.76977648804</v>
          </cell>
        </row>
        <row r="60">
          <cell r="B60" t="str">
            <v>ITA</v>
          </cell>
          <cell r="C60">
            <v>126364.85581172263</v>
          </cell>
        </row>
        <row r="61">
          <cell r="B61" t="str">
            <v>BA</v>
          </cell>
          <cell r="C61">
            <v>126364.85581172263</v>
          </cell>
        </row>
        <row r="62">
          <cell r="B62" t="str">
            <v>AST</v>
          </cell>
          <cell r="C62">
            <v>186149.88489622946</v>
          </cell>
        </row>
        <row r="63">
          <cell r="B63" t="str">
            <v>AST/ASC</v>
          </cell>
          <cell r="C63">
            <v>222157.56908835107</v>
          </cell>
        </row>
        <row r="64">
          <cell r="B64" t="str">
            <v>ASC</v>
          </cell>
          <cell r="C64">
            <v>258165.25328047268</v>
          </cell>
        </row>
        <row r="65">
          <cell r="B65" t="str">
            <v>CON</v>
          </cell>
          <cell r="C65">
            <v>423933.70981997269</v>
          </cell>
        </row>
        <row r="66">
          <cell r="B66" t="str">
            <v>SRC</v>
          </cell>
          <cell r="C66">
            <v>536710.45263197611</v>
          </cell>
        </row>
        <row r="67">
          <cell r="B67" t="str">
            <v>SMG</v>
          </cell>
          <cell r="C67">
            <v>771777.24787005503</v>
          </cell>
        </row>
        <row r="68">
          <cell r="B68" t="str">
            <v>VP</v>
          </cell>
          <cell r="C68">
            <v>0</v>
          </cell>
        </row>
        <row r="70">
          <cell r="B70" t="str">
            <v>2020-21</v>
          </cell>
          <cell r="C70">
            <v>0</v>
          </cell>
        </row>
        <row r="71">
          <cell r="B71" t="str">
            <v>Grade</v>
          </cell>
          <cell r="C71" t="str">
            <v>Rate</v>
          </cell>
        </row>
        <row r="72">
          <cell r="B72" t="str">
            <v>YG/YD</v>
          </cell>
          <cell r="C72">
            <v>59970.859981520727</v>
          </cell>
        </row>
        <row r="73">
          <cell r="B73" t="str">
            <v>TR</v>
          </cell>
          <cell r="C73">
            <v>59970.859981520727</v>
          </cell>
        </row>
        <row r="74">
          <cell r="B74" t="str">
            <v>ASE</v>
          </cell>
          <cell r="C74">
            <v>86957.501640099057</v>
          </cell>
        </row>
        <row r="75">
          <cell r="B75" t="str">
            <v>SE</v>
          </cell>
          <cell r="C75">
            <v>113194.2417713769</v>
          </cell>
        </row>
        <row r="76">
          <cell r="B76" t="str">
            <v>ITA</v>
          </cell>
          <cell r="C76">
            <v>139430.98190265475</v>
          </cell>
        </row>
        <row r="77">
          <cell r="B77" t="str">
            <v>BA</v>
          </cell>
          <cell r="C77">
            <v>139430.98190265475</v>
          </cell>
        </row>
        <row r="78">
          <cell r="B78" t="str">
            <v>AST</v>
          </cell>
          <cell r="C78">
            <v>205397.78299449958</v>
          </cell>
        </row>
        <row r="79">
          <cell r="B79" t="str">
            <v>AST/ASC</v>
          </cell>
          <cell r="C79">
            <v>245128.66173208656</v>
          </cell>
        </row>
        <row r="80">
          <cell r="B80" t="str">
            <v>ASC</v>
          </cell>
          <cell r="C80">
            <v>284859.54046967352</v>
          </cell>
        </row>
        <row r="81">
          <cell r="B81" t="str">
            <v>CON</v>
          </cell>
          <cell r="C81">
            <v>467768.45541535784</v>
          </cell>
        </row>
        <row r="82">
          <cell r="B82" t="str">
            <v>SRC</v>
          </cell>
          <cell r="C82">
            <v>592206.31343412236</v>
          </cell>
        </row>
        <row r="83">
          <cell r="B83" t="str">
            <v>SMG</v>
          </cell>
          <cell r="C83">
            <v>851579.01529981871</v>
          </cell>
        </row>
        <row r="84">
          <cell r="B84" t="str">
            <v>VP</v>
          </cell>
          <cell r="C84">
            <v>0</v>
          </cell>
        </row>
        <row r="86">
          <cell r="B86" t="str">
            <v>2021-22</v>
          </cell>
          <cell r="C86">
            <v>0</v>
          </cell>
        </row>
        <row r="87">
          <cell r="B87" t="str">
            <v>Grade</v>
          </cell>
          <cell r="C87" t="str">
            <v>Rate</v>
          </cell>
        </row>
        <row r="88">
          <cell r="B88" t="str">
            <v>YG/YD</v>
          </cell>
          <cell r="C88">
            <v>66171.84690360997</v>
          </cell>
        </row>
        <row r="89">
          <cell r="B89" t="str">
            <v>TR</v>
          </cell>
          <cell r="C89">
            <v>66171.84690360997</v>
          </cell>
        </row>
        <row r="90">
          <cell r="B90" t="str">
            <v>ASE</v>
          </cell>
          <cell r="C90">
            <v>95948.907309685295</v>
          </cell>
        </row>
        <row r="91">
          <cell r="B91" t="str">
            <v>SE</v>
          </cell>
          <cell r="C91">
            <v>124898.52637053726</v>
          </cell>
        </row>
        <row r="92">
          <cell r="B92" t="str">
            <v>ITA</v>
          </cell>
          <cell r="C92">
            <v>153848.14543138925</v>
          </cell>
        </row>
        <row r="93">
          <cell r="B93" t="str">
            <v>BA</v>
          </cell>
          <cell r="C93">
            <v>153848.14543138925</v>
          </cell>
        </row>
        <row r="94">
          <cell r="B94" t="str">
            <v>AST</v>
          </cell>
          <cell r="C94">
            <v>226635.91375613082</v>
          </cell>
        </row>
        <row r="95">
          <cell r="B95" t="str">
            <v>AST/ASC</v>
          </cell>
          <cell r="C95">
            <v>270474.96535518428</v>
          </cell>
        </row>
        <row r="96">
          <cell r="B96" t="str">
            <v>ASC</v>
          </cell>
          <cell r="C96">
            <v>314314.01695423777</v>
          </cell>
        </row>
        <row r="97">
          <cell r="B97" t="str">
            <v>CON</v>
          </cell>
          <cell r="C97">
            <v>516135.71370530582</v>
          </cell>
        </row>
        <row r="98">
          <cell r="B98" t="str">
            <v>SRC</v>
          </cell>
          <cell r="C98">
            <v>653440.44624321058</v>
          </cell>
        </row>
        <row r="99">
          <cell r="B99" t="str">
            <v>SMG</v>
          </cell>
          <cell r="C99">
            <v>939632.28548181988</v>
          </cell>
        </row>
        <row r="100">
          <cell r="B100" t="str">
            <v>VP</v>
          </cell>
          <cell r="C100">
            <v>0</v>
          </cell>
        </row>
        <row r="102">
          <cell r="B102" t="str">
            <v>2022-23</v>
          </cell>
          <cell r="C102">
            <v>0</v>
          </cell>
        </row>
        <row r="103">
          <cell r="B103" t="str">
            <v>Grade</v>
          </cell>
          <cell r="C103" t="str">
            <v>Rate</v>
          </cell>
        </row>
        <row r="104">
          <cell r="B104" t="str">
            <v>YG/YD</v>
          </cell>
          <cell r="C104">
            <v>73014.015873443233</v>
          </cell>
        </row>
        <row r="105">
          <cell r="B105" t="str">
            <v>TR</v>
          </cell>
          <cell r="C105">
            <v>73014.015873443233</v>
          </cell>
        </row>
        <row r="106">
          <cell r="B106" t="str">
            <v>ASE</v>
          </cell>
          <cell r="C106">
            <v>105870.02432550675</v>
          </cell>
        </row>
        <row r="107">
          <cell r="B107" t="str">
            <v>SE</v>
          </cell>
          <cell r="C107">
            <v>137813.03399725081</v>
          </cell>
        </row>
        <row r="108">
          <cell r="B108" t="str">
            <v>ITA</v>
          </cell>
          <cell r="C108">
            <v>169756.04366899488</v>
          </cell>
        </row>
        <row r="109">
          <cell r="B109" t="str">
            <v>BA</v>
          </cell>
          <cell r="C109">
            <v>169756.04366899488</v>
          </cell>
        </row>
        <row r="110">
          <cell r="B110" t="str">
            <v>AST</v>
          </cell>
          <cell r="C110">
            <v>250070.06723851472</v>
          </cell>
        </row>
        <row r="111">
          <cell r="B111" t="str">
            <v>AST/ASC</v>
          </cell>
          <cell r="C111">
            <v>298442.07677291031</v>
          </cell>
        </row>
        <row r="112">
          <cell r="B112" t="str">
            <v>ASC</v>
          </cell>
          <cell r="C112">
            <v>346814.08630730596</v>
          </cell>
        </row>
        <row r="113">
          <cell r="B113" t="str">
            <v>CON</v>
          </cell>
          <cell r="C113">
            <v>569504.14650243439</v>
          </cell>
        </row>
        <row r="114">
          <cell r="B114" t="str">
            <v>SRC</v>
          </cell>
          <cell r="C114">
            <v>721006.18838475854</v>
          </cell>
        </row>
        <row r="115">
          <cell r="B115" t="str">
            <v>SMG</v>
          </cell>
          <cell r="C115">
            <v>1036790.26380064</v>
          </cell>
        </row>
        <row r="116">
          <cell r="B116" t="str">
            <v>VP</v>
          </cell>
          <cell r="C116">
            <v>0</v>
          </cell>
        </row>
        <row r="118">
          <cell r="B118" t="str">
            <v>2023-24</v>
          </cell>
          <cell r="C118">
            <v>0</v>
          </cell>
        </row>
        <row r="119">
          <cell r="B119" t="str">
            <v>Grade</v>
          </cell>
          <cell r="C119" t="str">
            <v>Rate</v>
          </cell>
        </row>
        <row r="120">
          <cell r="B120" t="str">
            <v>YG/YD</v>
          </cell>
          <cell r="C120">
            <v>80563.665114757256</v>
          </cell>
        </row>
        <row r="121">
          <cell r="B121" t="str">
            <v>TR</v>
          </cell>
          <cell r="C121">
            <v>80563.665114757256</v>
          </cell>
        </row>
        <row r="122">
          <cell r="B122" t="str">
            <v>ASE</v>
          </cell>
          <cell r="C122">
            <v>116816.98484076414</v>
          </cell>
        </row>
        <row r="123">
          <cell r="B123" t="str">
            <v>SE</v>
          </cell>
          <cell r="C123">
            <v>152062.90171256653</v>
          </cell>
        </row>
        <row r="124">
          <cell r="B124" t="str">
            <v>ITA</v>
          </cell>
          <cell r="C124">
            <v>187308.81858436894</v>
          </cell>
        </row>
        <row r="125">
          <cell r="B125" t="str">
            <v>BA</v>
          </cell>
          <cell r="C125">
            <v>187308.81858436894</v>
          </cell>
        </row>
        <row r="126">
          <cell r="B126" t="str">
            <v>AST</v>
          </cell>
          <cell r="C126">
            <v>275927.3121909771</v>
          </cell>
        </row>
        <row r="127">
          <cell r="B127" t="str">
            <v>AST/ASC</v>
          </cell>
          <cell r="C127">
            <v>329300.98751122924</v>
          </cell>
        </row>
        <row r="128">
          <cell r="B128" t="str">
            <v>ASC</v>
          </cell>
          <cell r="C128">
            <v>382674.66283148137</v>
          </cell>
        </row>
        <row r="129">
          <cell r="B129" t="str">
            <v>CON</v>
          </cell>
          <cell r="C129">
            <v>628390.87525078608</v>
          </cell>
        </row>
        <row r="130">
          <cell r="B130" t="str">
            <v>SRC</v>
          </cell>
          <cell r="C130">
            <v>795558.22826374252</v>
          </cell>
        </row>
        <row r="131">
          <cell r="B131" t="str">
            <v>SMG</v>
          </cell>
          <cell r="C131">
            <v>1143994.3770776261</v>
          </cell>
        </row>
        <row r="132">
          <cell r="B132" t="str">
            <v>VP</v>
          </cell>
          <cell r="C132">
            <v>0</v>
          </cell>
        </row>
        <row r="134">
          <cell r="B134" t="str">
            <v>2024-25</v>
          </cell>
          <cell r="C134">
            <v>0</v>
          </cell>
        </row>
        <row r="135">
          <cell r="B135" t="str">
            <v>Grade</v>
          </cell>
          <cell r="C135" t="str">
            <v>Rate</v>
          </cell>
        </row>
        <row r="136">
          <cell r="B136" t="str">
            <v>YG/YD</v>
          </cell>
          <cell r="C136">
            <v>88893.948087623154</v>
          </cell>
        </row>
        <row r="137">
          <cell r="B137" t="str">
            <v>TR</v>
          </cell>
          <cell r="C137">
            <v>88893.948087623154</v>
          </cell>
        </row>
        <row r="138">
          <cell r="B138" t="str">
            <v>ASE</v>
          </cell>
          <cell r="C138">
            <v>128895.86107329915</v>
          </cell>
        </row>
        <row r="139">
          <cell r="B139" t="str">
            <v>SE</v>
          </cell>
          <cell r="C139">
            <v>167786.20574964589</v>
          </cell>
        </row>
        <row r="140">
          <cell r="B140" t="str">
            <v>ITA</v>
          </cell>
          <cell r="C140">
            <v>206676.55042599267</v>
          </cell>
        </row>
        <row r="141">
          <cell r="B141" t="str">
            <v>BA</v>
          </cell>
          <cell r="C141">
            <v>206676.55042599267</v>
          </cell>
        </row>
        <row r="142">
          <cell r="B142" t="str">
            <v>AST</v>
          </cell>
          <cell r="C142">
            <v>304458.19627152412</v>
          </cell>
        </row>
        <row r="143">
          <cell r="B143" t="str">
            <v>AST/ASC</v>
          </cell>
          <cell r="C143">
            <v>363350.70961989032</v>
          </cell>
        </row>
        <row r="144">
          <cell r="B144" t="str">
            <v>ASC</v>
          </cell>
          <cell r="C144">
            <v>422243.22296825651</v>
          </cell>
        </row>
        <row r="145">
          <cell r="B145" t="str">
            <v>CON</v>
          </cell>
          <cell r="C145">
            <v>693366.49175171729</v>
          </cell>
        </row>
        <row r="146">
          <cell r="B146" t="str">
            <v>SRC</v>
          </cell>
          <cell r="C146">
            <v>877818.94906621345</v>
          </cell>
        </row>
        <row r="147">
          <cell r="B147" t="str">
            <v>SMG</v>
          </cell>
          <cell r="C147">
            <v>1262283.3956674526</v>
          </cell>
        </row>
        <row r="148">
          <cell r="B148" t="str">
            <v>VP</v>
          </cell>
          <cell r="C148">
            <v>0</v>
          </cell>
        </row>
        <row r="150">
          <cell r="B150" t="str">
            <v>2025-26</v>
          </cell>
          <cell r="C150">
            <v>0</v>
          </cell>
        </row>
        <row r="151">
          <cell r="B151" t="str">
            <v>Grade</v>
          </cell>
          <cell r="C151" t="str">
            <v>Rate</v>
          </cell>
        </row>
        <row r="152">
          <cell r="B152" t="str">
            <v>YG/YD</v>
          </cell>
          <cell r="C152">
            <v>98085.582319883382</v>
          </cell>
        </row>
        <row r="153">
          <cell r="B153" t="str">
            <v>TR</v>
          </cell>
          <cell r="C153">
            <v>98085.582319883382</v>
          </cell>
        </row>
        <row r="154">
          <cell r="B154" t="str">
            <v>ASE</v>
          </cell>
          <cell r="C154">
            <v>142223.69310827827</v>
          </cell>
        </row>
        <row r="155">
          <cell r="B155" t="str">
            <v>SE</v>
          </cell>
          <cell r="C155">
            <v>185135.29942415925</v>
          </cell>
        </row>
        <row r="156">
          <cell r="B156" t="str">
            <v>ITA</v>
          </cell>
          <cell r="C156">
            <v>228046.9057400403</v>
          </cell>
        </row>
        <row r="157">
          <cell r="B157" t="str">
            <v>BA</v>
          </cell>
          <cell r="C157">
            <v>228046.9057400403</v>
          </cell>
        </row>
        <row r="158">
          <cell r="B158" t="str">
            <v>AST</v>
          </cell>
          <cell r="C158">
            <v>335939.17376599967</v>
          </cell>
        </row>
        <row r="159">
          <cell r="B159" t="str">
            <v>AST/ASC</v>
          </cell>
          <cell r="C159">
            <v>400921.17299458693</v>
          </cell>
        </row>
        <row r="160">
          <cell r="B160" t="str">
            <v>ASC</v>
          </cell>
          <cell r="C160">
            <v>465903.17222317419</v>
          </cell>
        </row>
        <row r="161">
          <cell r="B161" t="str">
            <v>CON</v>
          </cell>
          <cell r="C161">
            <v>765060.58699884487</v>
          </cell>
        </row>
        <row r="162">
          <cell r="B162" t="str">
            <v>SRC</v>
          </cell>
          <cell r="C162">
            <v>968585.42839965981</v>
          </cell>
        </row>
        <row r="163">
          <cell r="B163" t="str">
            <v>SMG</v>
          </cell>
          <cell r="C163">
            <v>1392803.4987794671</v>
          </cell>
        </row>
        <row r="164">
          <cell r="B164" t="str">
            <v>VP</v>
          </cell>
          <cell r="C164">
            <v>0</v>
          </cell>
        </row>
        <row r="166">
          <cell r="B166" t="str">
            <v>2026-27</v>
          </cell>
          <cell r="C166">
            <v>0</v>
          </cell>
        </row>
        <row r="167">
          <cell r="B167" t="str">
            <v>Grade</v>
          </cell>
          <cell r="C167" t="str">
            <v>Rate</v>
          </cell>
        </row>
        <row r="168">
          <cell r="B168" t="str">
            <v>YG/YD</v>
          </cell>
          <cell r="C168">
            <v>108227.63153175931</v>
          </cell>
        </row>
        <row r="169">
          <cell r="B169" t="str">
            <v>TR</v>
          </cell>
          <cell r="C169">
            <v>108227.63153175931</v>
          </cell>
        </row>
        <row r="170">
          <cell r="B170" t="str">
            <v>ASE</v>
          </cell>
          <cell r="C170">
            <v>156929.62297567423</v>
          </cell>
        </row>
        <row r="171">
          <cell r="B171" t="str">
            <v>SE</v>
          </cell>
          <cell r="C171">
            <v>204278.2893846173</v>
          </cell>
        </row>
        <row r="172">
          <cell r="B172" t="str">
            <v>ITA</v>
          </cell>
          <cell r="C172">
            <v>251626.95579356045</v>
          </cell>
        </row>
        <row r="173">
          <cell r="B173" t="str">
            <v>BA</v>
          </cell>
          <cell r="C173">
            <v>251626.95579356045</v>
          </cell>
        </row>
        <row r="174">
          <cell r="B174" t="str">
            <v>AST</v>
          </cell>
          <cell r="C174">
            <v>370675.28433340404</v>
          </cell>
        </row>
        <row r="175">
          <cell r="B175" t="str">
            <v>AST/ASC</v>
          </cell>
          <cell r="C175">
            <v>442376.4222822272</v>
          </cell>
        </row>
        <row r="176">
          <cell r="B176" t="str">
            <v>ASC</v>
          </cell>
          <cell r="C176">
            <v>514077.56023105036</v>
          </cell>
        </row>
        <row r="177">
          <cell r="B177" t="str">
            <v>CON</v>
          </cell>
          <cell r="C177">
            <v>844167.85169452534</v>
          </cell>
        </row>
        <row r="178">
          <cell r="B178" t="str">
            <v>SRC</v>
          </cell>
          <cell r="C178">
            <v>1068737.1616961847</v>
          </cell>
        </row>
        <row r="179">
          <cell r="B179" t="str">
            <v>SMG</v>
          </cell>
          <cell r="C179">
            <v>1536819.3805532639</v>
          </cell>
        </row>
        <row r="180">
          <cell r="B180" t="str">
            <v>VP</v>
          </cell>
          <cell r="C180">
            <v>0</v>
          </cell>
        </row>
        <row r="182">
          <cell r="B182" t="str">
            <v>2027-28</v>
          </cell>
          <cell r="C182">
            <v>0</v>
          </cell>
        </row>
        <row r="183">
          <cell r="B183" t="str">
            <v>Grade</v>
          </cell>
          <cell r="C183" t="str">
            <v>Rate</v>
          </cell>
        </row>
        <row r="184">
          <cell r="B184" t="str">
            <v>YG/YD</v>
          </cell>
          <cell r="C184">
            <v>119418.36863214322</v>
          </cell>
        </row>
        <row r="185">
          <cell r="B185" t="str">
            <v>TR</v>
          </cell>
          <cell r="C185">
            <v>119418.36863214322</v>
          </cell>
        </row>
        <row r="186">
          <cell r="B186" t="str">
            <v>ASE</v>
          </cell>
          <cell r="C186">
            <v>173156.14599135894</v>
          </cell>
        </row>
        <row r="187">
          <cell r="B187" t="str">
            <v>SE</v>
          </cell>
          <cell r="C187">
            <v>225400.66450698671</v>
          </cell>
        </row>
        <row r="188">
          <cell r="B188" t="str">
            <v>ITA</v>
          </cell>
          <cell r="C188">
            <v>277645.18302261457</v>
          </cell>
        </row>
        <row r="189">
          <cell r="B189" t="str">
            <v>BA</v>
          </cell>
          <cell r="C189">
            <v>277645.18302261457</v>
          </cell>
        </row>
        <row r="190">
          <cell r="B190" t="str">
            <v>AST</v>
          </cell>
          <cell r="C190">
            <v>409003.108733478</v>
          </cell>
        </row>
        <row r="191">
          <cell r="B191" t="str">
            <v>AST/ASC</v>
          </cell>
          <cell r="C191">
            <v>488118.14434620948</v>
          </cell>
        </row>
        <row r="192">
          <cell r="B192" t="str">
            <v>ASC</v>
          </cell>
          <cell r="C192">
            <v>567233.17995894095</v>
          </cell>
        </row>
        <row r="193">
          <cell r="B193" t="str">
            <v>CON</v>
          </cell>
          <cell r="C193">
            <v>931454.80755973922</v>
          </cell>
        </row>
        <row r="194">
          <cell r="B194" t="str">
            <v>SRC</v>
          </cell>
          <cell r="C194">
            <v>1179244.58421557</v>
          </cell>
        </row>
        <row r="195">
          <cell r="B195" t="str">
            <v>SMG</v>
          </cell>
          <cell r="C195">
            <v>1695726.5045024713</v>
          </cell>
        </row>
        <row r="196">
          <cell r="B196" t="str">
            <v>VP</v>
          </cell>
          <cell r="C196">
            <v>0</v>
          </cell>
        </row>
      </sheetData>
      <sheetData sheetId="14"/>
      <sheetData sheetId="15"/>
      <sheetData sheetId="16"/>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8-Managed Services-v7.2"/>
      <sheetName val="Config"/>
      <sheetName val="BALAN1"/>
      <sheetName val="M list=Cement Mill"/>
      <sheetName val="Instructions"/>
      <sheetName val="Filter Data"/>
      <sheetName val="Invoice"/>
      <sheetName val="Customize Your Invoice"/>
      <sheetName val="Sheet2"/>
      <sheetName val="Summary"/>
      <sheetName val="Sheet1"/>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 highway mainte-1"/>
      <sheetName val="Repair works-2"/>
      <sheetName val="Yearly Maintenance-3 "/>
      <sheetName val="manpower-4"/>
      <sheetName val="Electrical-5"/>
      <sheetName val="Input"/>
      <sheetName val="Routine Maintenance"/>
      <sheetName val="Sweeper Machine"/>
      <sheetName val="Highway Maintenance compare"/>
      <sheetName val="Repair bills BOQ"/>
      <sheetName val="MS NET"/>
    </sheetNames>
    <sheetDataSet>
      <sheetData sheetId="0">
        <row r="5">
          <cell r="B5">
            <v>2</v>
          </cell>
        </row>
      </sheetData>
      <sheetData sheetId="1">
        <row r="22">
          <cell r="C22">
            <v>633.4559999999999</v>
          </cell>
        </row>
      </sheetData>
      <sheetData sheetId="2">
        <row r="7">
          <cell r="G7">
            <v>0</v>
          </cell>
        </row>
      </sheetData>
      <sheetData sheetId="3"/>
      <sheetData sheetId="4"/>
      <sheetData sheetId="5"/>
      <sheetData sheetId="6">
        <row r="5">
          <cell r="B5">
            <v>2</v>
          </cell>
          <cell r="E5">
            <v>0.89999999999999991</v>
          </cell>
        </row>
        <row r="6">
          <cell r="B6">
            <v>175.96</v>
          </cell>
        </row>
        <row r="10">
          <cell r="B10">
            <v>3</v>
          </cell>
        </row>
        <row r="12">
          <cell r="B12">
            <v>6</v>
          </cell>
        </row>
        <row r="32">
          <cell r="B32">
            <v>41</v>
          </cell>
        </row>
        <row r="33">
          <cell r="B33">
            <v>62</v>
          </cell>
        </row>
        <row r="34">
          <cell r="B34">
            <v>6.5</v>
          </cell>
        </row>
      </sheetData>
      <sheetData sheetId="7"/>
      <sheetData sheetId="8">
        <row r="22">
          <cell r="C22">
            <v>633.4559999999999</v>
          </cell>
        </row>
      </sheetData>
      <sheetData sheetId="9"/>
      <sheetData sheetId="10"/>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 val="MS NET"/>
      <sheetName val="Input"/>
      <sheetName val="Sweeper Machine"/>
      <sheetName val="PRECAST lightconc-II"/>
      <sheetName val="consolidated"/>
      <sheetName val="labels"/>
      <sheetName val="Sheet2"/>
      <sheetName val="Lists &amp; Lookups"/>
      <sheetName val="sachin"/>
      <sheetName val="Lookups"/>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BOQ"/>
      <sheetName val="Final BOQ"/>
      <sheetName val="Ele cab"/>
      <sheetName val="server"/>
      <sheetName val="Installation"/>
      <sheetName val="VOIP"/>
      <sheetName val="Master data"/>
      <sheetName val="Profitability Analysis"/>
      <sheetName val="FOB"/>
      <sheetName val="AVC"/>
      <sheetName val="Sealant"/>
      <sheetName val="GSM ECB"/>
      <sheetName val="SW est"/>
      <sheetName val="staff acco."/>
      <sheetName val="Civil Works"/>
    </sheetNames>
    <sheetDataSet>
      <sheetData sheetId="0" refreshError="1"/>
      <sheetData sheetId="1" refreshError="1"/>
      <sheetData sheetId="2" refreshError="1"/>
      <sheetData sheetId="3" refreshError="1"/>
      <sheetData sheetId="4" refreshError="1"/>
      <sheetData sheetId="5" refreshError="1"/>
      <sheetData sheetId="6" refreshError="1">
        <row r="2">
          <cell r="C2">
            <v>0.02</v>
          </cell>
        </row>
        <row r="4">
          <cell r="B4" t="str">
            <v>INR</v>
          </cell>
          <cell r="C4">
            <v>1</v>
          </cell>
        </row>
        <row r="5">
          <cell r="B5" t="str">
            <v>EURO</v>
          </cell>
          <cell r="C5">
            <v>66</v>
          </cell>
        </row>
        <row r="6">
          <cell r="B6" t="str">
            <v>USD</v>
          </cell>
          <cell r="C6">
            <v>51</v>
          </cell>
        </row>
        <row r="7">
          <cell r="B7" t="str">
            <v>MYR</v>
          </cell>
          <cell r="C7">
            <v>17</v>
          </cell>
        </row>
        <row r="8">
          <cell r="B8" t="str">
            <v>ZAR</v>
          </cell>
          <cell r="C8">
            <v>7</v>
          </cell>
        </row>
        <row r="9">
          <cell r="B9" t="str">
            <v>GBP</v>
          </cell>
          <cell r="C9">
            <v>79</v>
          </cell>
        </row>
        <row r="11">
          <cell r="B11" t="str">
            <v>Local</v>
          </cell>
          <cell r="C11">
            <v>0</v>
          </cell>
        </row>
        <row r="12">
          <cell r="B12" t="str">
            <v>Imported</v>
          </cell>
          <cell r="C12">
            <v>0.01</v>
          </cell>
        </row>
        <row r="14">
          <cell r="B14" t="str">
            <v>Local</v>
          </cell>
          <cell r="C14">
            <v>0.02</v>
          </cell>
        </row>
        <row r="15">
          <cell r="B15" t="str">
            <v>Imported</v>
          </cell>
          <cell r="C15">
            <v>0.03</v>
          </cell>
        </row>
        <row r="19">
          <cell r="B19" t="str">
            <v>Computers &amp; peripherals</v>
          </cell>
          <cell r="C19">
            <v>0.05</v>
          </cell>
        </row>
        <row r="20">
          <cell r="B20" t="str">
            <v>Electronic items</v>
          </cell>
          <cell r="C20">
            <v>0.15</v>
          </cell>
        </row>
        <row r="21">
          <cell r="B21" t="str">
            <v>Video cameras etc</v>
          </cell>
          <cell r="C21">
            <v>0.15</v>
          </cell>
        </row>
        <row r="22">
          <cell r="B22" t="str">
            <v>Software</v>
          </cell>
          <cell r="C22">
            <v>0.15</v>
          </cell>
        </row>
        <row r="23">
          <cell r="B23" t="str">
            <v>Others</v>
          </cell>
          <cell r="C23">
            <v>0.15</v>
          </cell>
        </row>
        <row r="24">
          <cell r="B24" t="str">
            <v>Service</v>
          </cell>
          <cell r="C24">
            <v>0.15</v>
          </cell>
        </row>
        <row r="29">
          <cell r="B29" t="str">
            <v>Computers &amp; peripherals</v>
          </cell>
          <cell r="C29">
            <v>0.05</v>
          </cell>
        </row>
        <row r="30">
          <cell r="B30" t="str">
            <v>Electronic items</v>
          </cell>
          <cell r="C30">
            <v>0.15</v>
          </cell>
        </row>
        <row r="31">
          <cell r="B31" t="str">
            <v>Video cameras etc</v>
          </cell>
          <cell r="C31">
            <v>0.15</v>
          </cell>
        </row>
        <row r="32">
          <cell r="B32" t="str">
            <v>Software</v>
          </cell>
          <cell r="C32">
            <v>0.15</v>
          </cell>
        </row>
        <row r="33">
          <cell r="B33" t="str">
            <v>Others</v>
          </cell>
          <cell r="C33">
            <v>0.15</v>
          </cell>
        </row>
        <row r="34">
          <cell r="B34" t="str">
            <v>Service</v>
          </cell>
          <cell r="C34">
            <v>0.15</v>
          </cell>
        </row>
        <row r="37">
          <cell r="B37" t="str">
            <v>Supply Local Computers &amp; peripherals</v>
          </cell>
          <cell r="C37">
            <v>0.05</v>
          </cell>
        </row>
        <row r="38">
          <cell r="B38" t="str">
            <v>Supply Local Electronic items</v>
          </cell>
          <cell r="C38">
            <v>0.05</v>
          </cell>
        </row>
        <row r="39">
          <cell r="B39" t="str">
            <v>Supply Local Video cameras etc</v>
          </cell>
          <cell r="C39">
            <v>0.125</v>
          </cell>
        </row>
        <row r="40">
          <cell r="B40" t="str">
            <v>Bought out Supply Local Software</v>
          </cell>
          <cell r="C40">
            <v>0.05</v>
          </cell>
        </row>
        <row r="41">
          <cell r="B41" t="str">
            <v>In-built Supply Local Software</v>
          </cell>
          <cell r="C41">
            <v>0.1736</v>
          </cell>
        </row>
        <row r="42">
          <cell r="B42" t="str">
            <v>Supply Local Others</v>
          </cell>
          <cell r="C42">
            <v>0.125</v>
          </cell>
        </row>
        <row r="43">
          <cell r="B43" t="str">
            <v>Supply Imported Computers &amp; peripherals</v>
          </cell>
          <cell r="C43">
            <v>0</v>
          </cell>
        </row>
        <row r="44">
          <cell r="B44" t="str">
            <v>Supply Imported Electronic items</v>
          </cell>
          <cell r="C44">
            <v>0</v>
          </cell>
        </row>
        <row r="45">
          <cell r="B45" t="str">
            <v>Supply Imported Video cameras etc</v>
          </cell>
          <cell r="C45">
            <v>0</v>
          </cell>
        </row>
        <row r="46">
          <cell r="B46" t="str">
            <v>Bought out Supply Imported Software</v>
          </cell>
          <cell r="C46">
            <v>0</v>
          </cell>
        </row>
        <row r="47">
          <cell r="B47" t="str">
            <v>In-built Supply Imported Software</v>
          </cell>
          <cell r="C47">
            <v>0</v>
          </cell>
        </row>
        <row r="48">
          <cell r="B48" t="str">
            <v>Supply Imported Others</v>
          </cell>
          <cell r="C48">
            <v>0</v>
          </cell>
        </row>
        <row r="49">
          <cell r="B49" t="str">
            <v>Service Local Service</v>
          </cell>
          <cell r="C49">
            <v>0.1236</v>
          </cell>
        </row>
        <row r="50">
          <cell r="B50" t="str">
            <v>Service Imported Service</v>
          </cell>
          <cell r="C50">
            <v>0.1236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BusinessProcessList"/>
      <sheetName val="TechRequirements"/>
      <sheetName val="Controls"/>
    </sheetNames>
    <sheetDataSet>
      <sheetData sheetId="0"/>
      <sheetData sheetId="1"/>
      <sheetData sheetId="2" refreshError="1">
        <row r="34">
          <cell r="A34">
            <v>0</v>
          </cell>
        </row>
        <row r="35">
          <cell r="A35">
            <v>1</v>
          </cell>
        </row>
        <row r="36">
          <cell r="A36">
            <v>2</v>
          </cell>
        </row>
        <row r="37">
          <cell r="A37">
            <v>3</v>
          </cell>
        </row>
        <row r="38">
          <cell r="A38">
            <v>4</v>
          </cell>
        </row>
        <row r="39">
          <cell r="A39">
            <v>5</v>
          </cell>
        </row>
      </sheetData>
      <sheetData sheetId="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BusinessProcessList"/>
      <sheetName val="TechRequirements"/>
      <sheetName val="Controls"/>
    </sheetNames>
    <sheetDataSet>
      <sheetData sheetId="0"/>
      <sheetData sheetId="1"/>
      <sheetData sheetId="2" refreshError="1">
        <row r="34">
          <cell r="A34">
            <v>0</v>
          </cell>
        </row>
        <row r="35">
          <cell r="A35">
            <v>1</v>
          </cell>
        </row>
        <row r="36">
          <cell r="A36">
            <v>2</v>
          </cell>
        </row>
        <row r="37">
          <cell r="A37">
            <v>3</v>
          </cell>
        </row>
        <row r="38">
          <cell r="A38">
            <v>4</v>
          </cell>
        </row>
        <row r="39">
          <cell r="A39">
            <v>5</v>
          </cell>
        </row>
      </sheetData>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BOQ"/>
      <sheetName val="Final BOQ"/>
      <sheetName val="Ele cab"/>
      <sheetName val="server"/>
      <sheetName val="Installation"/>
      <sheetName val="VOIP"/>
      <sheetName val="Master data"/>
      <sheetName val="Profitability Analysis"/>
      <sheetName val="FOB"/>
      <sheetName val="AVC"/>
      <sheetName val="Sealant"/>
      <sheetName val="GSM ECB"/>
      <sheetName val="SW est"/>
    </sheetNames>
    <sheetDataSet>
      <sheetData sheetId="0" refreshError="1"/>
      <sheetData sheetId="1" refreshError="1"/>
      <sheetData sheetId="2" refreshError="1"/>
      <sheetData sheetId="3" refreshError="1"/>
      <sheetData sheetId="4" refreshError="1"/>
      <sheetData sheetId="5" refreshError="1"/>
      <sheetData sheetId="6" refreshError="1">
        <row r="2">
          <cell r="C2">
            <v>0.02</v>
          </cell>
        </row>
        <row r="11">
          <cell r="B11" t="str">
            <v>Local</v>
          </cell>
          <cell r="C11">
            <v>0</v>
          </cell>
        </row>
        <row r="12">
          <cell r="B12" t="str">
            <v>Imported</v>
          </cell>
          <cell r="C12">
            <v>0.01</v>
          </cell>
        </row>
        <row r="14">
          <cell r="B14" t="str">
            <v>Local</v>
          </cell>
          <cell r="C14">
            <v>0.02</v>
          </cell>
        </row>
        <row r="15">
          <cell r="B15" t="str">
            <v>Imported</v>
          </cell>
          <cell r="C15">
            <v>0.03</v>
          </cell>
        </row>
        <row r="19">
          <cell r="B19" t="str">
            <v>Computers &amp; peripherals</v>
          </cell>
          <cell r="C19">
            <v>0.05</v>
          </cell>
        </row>
        <row r="20">
          <cell r="B20" t="str">
            <v>Electronic items</v>
          </cell>
          <cell r="C20">
            <v>0.15</v>
          </cell>
        </row>
        <row r="21">
          <cell r="B21" t="str">
            <v>Video cameras etc</v>
          </cell>
          <cell r="C21">
            <v>0.15</v>
          </cell>
        </row>
        <row r="22">
          <cell r="B22" t="str">
            <v>Software</v>
          </cell>
          <cell r="C22">
            <v>0.15</v>
          </cell>
        </row>
        <row r="23">
          <cell r="B23" t="str">
            <v>Others</v>
          </cell>
          <cell r="C23">
            <v>0.15</v>
          </cell>
        </row>
        <row r="24">
          <cell r="B24" t="str">
            <v>Service</v>
          </cell>
          <cell r="C24">
            <v>0.15</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S(1)"/>
      <sheetName val="CCTV(old)"/>
      <sheetName val="FAS-C(4)"/>
      <sheetName val="Cover"/>
      <sheetName val="Index"/>
      <sheetName val="CCTV(2)"/>
      <sheetName val="CCTV(2-2)"/>
      <sheetName val="IAS(3)"/>
      <sheetName val="Panels(4-2)"/>
      <sheetName val="FAS-I(5)"/>
      <sheetName val="FAS-I(6)"/>
      <sheetName val="ISS(7)"/>
      <sheetName val="HSF(6)"/>
      <sheetName val="Wiring(6)"/>
      <sheetName val="Currency"/>
      <sheetName val="Content Instructions"/>
      <sheetName val="TechRequirements"/>
      <sheetName val="Data Domain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Content Instruction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xSeries306"/>
      <sheetName val="ACS(1)"/>
      <sheetName val="FAS-C(4)"/>
      <sheetName val="CCTV(old)"/>
      <sheetName val="volume 09-10"/>
      <sheetName val="BALAN1"/>
    </sheetNames>
    <sheetDataSet>
      <sheetData sheetId="0"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Series306"/>
      <sheetName val="ACS(1)"/>
      <sheetName val="FAS-C(4)"/>
      <sheetName val="CCTV(old)"/>
    </sheetNames>
    <sheetDataSet>
      <sheetData sheetId="0"/>
      <sheetData sheetId="1"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2"/>
      <sheetData sheetId="3" refreshError="1"/>
      <sheetData sheetId="4" refreshError="1"/>
      <sheetData sheetId="5" refreshError="1"/>
      <sheetData sheetId="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ce details"/>
      <sheetName val="staff acco."/>
      <sheetName val="Civil Works"/>
    </sheetNames>
    <sheetDataSet>
      <sheetData sheetId="0" refreshError="1"/>
      <sheetData sheetId="1" refreshError="1"/>
      <sheetData sheetId="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CC1"/>
      <sheetName val="PMCC2"/>
      <sheetName val="PMCC3"/>
      <sheetName val="PMCC4"/>
      <sheetName val="PMCC5"/>
      <sheetName val="STRIP Sizing"/>
      <sheetName val="Design basis-C"/>
      <sheetName val="SDH"/>
    </sheetNames>
    <sheetDataSet>
      <sheetData sheetId="0" refreshError="1"/>
      <sheetData sheetId="1" refreshError="1"/>
      <sheetData sheetId="2">
        <row r="1">
          <cell r="A1" t="str">
            <v>CLIENT      : VEDANTA ALLUMINIUM LTD.,LANJIGARGH</v>
          </cell>
        </row>
      </sheetData>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Invoice"/>
      <sheetName val="Customize Your Invoi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Invoice"/>
      <sheetName val="Customize Your Invoi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ware Inventory"/>
      <sheetName val="Deleted Devices"/>
      <sheetName val="Rack Elevations "/>
      <sheetName val="Validations"/>
      <sheetName val="Change Log"/>
      <sheetName val="Storage"/>
    </sheetNames>
    <sheetDataSet>
      <sheetData sheetId="0">
        <row r="3">
          <cell r="F3">
            <v>0</v>
          </cell>
        </row>
      </sheetData>
      <sheetData sheetId="1">
        <row r="3">
          <cell r="F3">
            <v>0</v>
          </cell>
        </row>
      </sheetData>
      <sheetData sheetId="2"/>
      <sheetData sheetId="3">
        <row r="3">
          <cell r="F3">
            <v>0</v>
          </cell>
        </row>
      </sheetData>
      <sheetData sheetId="4">
        <row r="3">
          <cell r="F3">
            <v>0</v>
          </cell>
        </row>
        <row r="4">
          <cell r="F4">
            <v>1</v>
          </cell>
        </row>
        <row r="5">
          <cell r="F5">
            <v>2</v>
          </cell>
        </row>
        <row r="6">
          <cell r="F6">
            <v>4</v>
          </cell>
        </row>
        <row r="7">
          <cell r="F7">
            <v>6</v>
          </cell>
        </row>
        <row r="8">
          <cell r="F8">
            <v>8</v>
          </cell>
        </row>
      </sheetData>
      <sheetData sheetId="5"/>
      <sheetData sheetId="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Profile"/>
      <sheetName val="Initiatives"/>
      <sheetName val="Costs"/>
      <sheetName val="IT Labor"/>
      <sheetName val="Direct Savings"/>
      <sheetName val="Productivity"/>
      <sheetName val="Revenue"/>
      <sheetName val="KPIs"/>
      <sheetName val="ROI"/>
      <sheetName val="B"/>
      <sheetName val="Reference"/>
      <sheetName val="Storage"/>
    </sheetNames>
    <sheetDataSet>
      <sheetData sheetId="0" refreshError="1"/>
      <sheetData sheetId="1" refreshError="1">
        <row r="32">
          <cell r="D32">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Profile"/>
      <sheetName val="Initiatives"/>
      <sheetName val="Costs"/>
      <sheetName val="IT Labor"/>
      <sheetName val="Direct Savings"/>
      <sheetName val="Productivity"/>
      <sheetName val="Revenue"/>
      <sheetName val="KPIs"/>
      <sheetName val="ROI"/>
      <sheetName val="B"/>
      <sheetName val="Reference"/>
      <sheetName val="Storage"/>
    </sheetNames>
    <sheetDataSet>
      <sheetData sheetId="0" refreshError="1"/>
      <sheetData sheetId="1" refreshError="1">
        <row r="32">
          <cell r="D32">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 val="calculations - MSDP"/>
      <sheetName val="calculations-PD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External Assurance"/>
      <sheetName val="Security Fundamentals"/>
      <sheetName val="Security Procedures"/>
      <sheetName val="Life Safety &amp; ERP"/>
      <sheetName val="Base data Security Fundamentals"/>
      <sheetName val="Base data Security Procedures"/>
      <sheetName val="Base data - Life Safety"/>
      <sheetName val="Design"/>
      <sheetName val="Wall W3"/>
      <sheetName val="nxR8i"/>
      <sheetName val="ms net"/>
      <sheetName val="1-8"/>
      <sheetName val="cost"/>
      <sheetName val="VPC Calculator"/>
    </sheetNames>
    <sheetDataSet>
      <sheetData sheetId="0" refreshError="1"/>
      <sheetData sheetId="1" refreshError="1"/>
      <sheetData sheetId="2" refreshError="1"/>
      <sheetData sheetId="3" refreshError="1"/>
      <sheetData sheetId="4" refreshError="1"/>
      <sheetData sheetId="5" refreshError="1"/>
      <sheetData sheetId="6">
        <row r="116">
          <cell r="D116" t="str">
            <v>None</v>
          </cell>
        </row>
        <row r="117">
          <cell r="D117" t="str">
            <v>Employee Awareness - Training Sessions</v>
          </cell>
        </row>
        <row r="118">
          <cell r="D118" t="str">
            <v>Awareness Posters</v>
          </cell>
        </row>
        <row r="119">
          <cell r="D119" t="str">
            <v>Electronic Surveillance</v>
          </cell>
        </row>
        <row r="120">
          <cell r="D120" t="str">
            <v>RFID active tags</v>
          </cell>
        </row>
        <row r="121">
          <cell r="D121" t="str">
            <v>Others Specify</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S SCHEDULE "/>
      <sheetName val="Cover sheet"/>
      <sheetName val="OLD IC"/>
    </sheetNames>
    <sheetDataSet>
      <sheetData sheetId="0"/>
      <sheetData sheetId="1" refreshError="1"/>
      <sheetData sheetId="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esign"/>
      <sheetName val="Guidelines"/>
      <sheetName val="BOQ CABLE"/>
      <sheetName val="PRECAST lightconc-II"/>
      <sheetName val="LCS SCHEDULE "/>
      <sheetName val="Cover sheet"/>
      <sheetName val="load data"/>
      <sheetName val="MCC IC"/>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LC-1"/>
      <sheetName val="220 17.6 BS "/>
      <sheetName val="example"/>
      <sheetName val="hdpe weights"/>
      <sheetName val="Pur"/>
      <sheetName val="Civil Boq"/>
      <sheetName val="DetEst"/>
      <sheetName val="labour"/>
      <sheetName val="loadcal"/>
      <sheetName val="FT-05-02IsoBOM"/>
      <sheetName val="dummy"/>
      <sheetName val="Report"/>
      <sheetName val="STRIP Sizing"/>
      <sheetName val="IO List"/>
      <sheetName val="HDPE-pipe-rates"/>
      <sheetName val="pvc-pipe-rates"/>
      <sheetName val="ANNEXURE-V"/>
      <sheetName val="OLD IC"/>
      <sheetName val="Motor Data"/>
      <sheetName val="#REF!"/>
      <sheetName val="detls"/>
      <sheetName val="BASIC DATA"/>
      <sheetName val="DATA"/>
      <sheetName val="FORM7"/>
      <sheetName val="2gii"/>
      <sheetName val="concrete"/>
      <sheetName val="A"/>
      <sheetName val="Abbreviation"/>
      <sheetName val="FX table"/>
      <sheetName val="TPNUMBE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MCC"/>
      <sheetName val="JNT-8 MCC"/>
      <sheetName val="CHP MCC"/>
      <sheetName val="JNT-1 MCC"/>
      <sheetName val="Motor Data"/>
      <sheetName val="Design"/>
      <sheetName val="LCS SCHEDULE "/>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 val="LCS SCH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VVNL_Cluster_1"/>
      <sheetName val="Queries"/>
      <sheetName val="DVVNL_Server_Sizing"/>
      <sheetName val="Solution_Architecture"/>
    </sheetNames>
    <sheetDataSet>
      <sheetData sheetId="0"/>
      <sheetData sheetId="1"/>
      <sheetData sheetId="2"/>
      <sheetData sheetId="3">
        <row r="44">
          <cell r="C44">
            <v>1</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izing"/>
      <sheetName val="HT"/>
      <sheetName val="MCC 1"/>
      <sheetName val="MCC 2"/>
      <sheetName val="MCC 3"/>
      <sheetName val="PCC VFD"/>
      <sheetName val="EMCC"/>
      <sheetName val="BOM"/>
      <sheetName val="Motor Data"/>
      <sheetName val="Design"/>
      <sheetName val="BS 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Example Part 1"/>
      <sheetName val="Example Part 2"/>
      <sheetName val="Template"/>
      <sheetName val="ABOUT"/>
    </sheetNames>
    <sheetDataSet>
      <sheetData sheetId="0"/>
      <sheetData sheetId="1"/>
      <sheetData sheetId="2"/>
      <sheetData sheetId="3"/>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Example Part 1"/>
      <sheetName val="Example Part 2"/>
      <sheetName val="Template"/>
      <sheetName val="ABOUT"/>
    </sheetNames>
    <sheetDataSet>
      <sheetData sheetId="0"/>
      <sheetData sheetId="1"/>
      <sheetData sheetId="2"/>
      <sheetData sheetId="3"/>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_Input"/>
      <sheetName val="Variable"/>
      <sheetName val="SkLabVariable"/>
      <sheetName val="OtherVariable"/>
      <sheetName val="YearlyVariable"/>
      <sheetName val="SkLabMonthlyVariable"/>
      <sheetName val="OtherMonthlyVariable"/>
      <sheetName val="Bid_Information"/>
      <sheetName val="Skilled_Labo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 val="ABOUT"/>
      <sheetName val="cctv_est1"/>
    </sheetNames>
    <sheetDataSet>
      <sheetData sheetId="0" refreshError="1">
        <row r="124">
          <cell r="GA124">
            <v>0</v>
          </cell>
        </row>
        <row r="237">
          <cell r="GA237">
            <v>0</v>
          </cell>
        </row>
        <row r="463">
          <cell r="GA46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
      <sheetName val="SkLabVariable"/>
      <sheetName val="OtherVariable"/>
      <sheetName val="YearlyVariable"/>
      <sheetName val="SkLabMonthlyVariable"/>
      <sheetName val="OtherMonthlyVariable"/>
      <sheetName val="Bid_Information"/>
      <sheetName val="Skilled_Labor_Input"/>
      <sheetName val="Othe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s>
    <sheetDataSet>
      <sheetData sheetId="0"/>
      <sheetData sheetId="1"/>
      <sheetData sheetId="2"/>
      <sheetData sheetId="3"/>
      <sheetData sheetId="4"/>
      <sheetData sheetId="5"/>
      <sheetData sheetId="6"/>
      <sheetData sheetId="7"/>
      <sheetData sheetId="8" refreshError="1">
        <row r="124">
          <cell r="GA124">
            <v>0</v>
          </cell>
        </row>
        <row r="237">
          <cell r="GA237">
            <v>0</v>
          </cell>
        </row>
        <row r="463">
          <cell r="GA463">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Headings"/>
      <sheetName val="TBAL9697 -group wise  sdpl"/>
      <sheetName val="PANEL ANNEXURE"/>
      <sheetName val="PCS"/>
      <sheetName val="Estimate"/>
      <sheetName val="Cost summary"/>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Timesheet"/>
      <sheetName val="FACTOR"/>
      <sheetName val="Sheet1"/>
      <sheetName val="Indices"/>
      <sheetName val="Lead"/>
      <sheetName val="dBase"/>
      <sheetName val="HPL"/>
      <sheetName val="Fill this out first..."/>
      <sheetName val="预算"/>
      <sheetName val="PUMP"/>
      <sheetName val="96수출"/>
      <sheetName val="Costing"/>
      <sheetName val="VALIDATIONS"/>
      <sheetName val="X rate"/>
      <sheetName val="월선수금"/>
      <sheetName val="Summary year Plan"/>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Staff Acco."/>
      <sheetName val="Fin. Assumpt. - Sensitivities"/>
      <sheetName val="Misc.Liq"/>
      <sheetName val="Results"/>
      <sheetName val="Invoice"/>
      <sheetName val="Working"/>
      <sheetName val="Conc"/>
      <sheetName val="Codes"/>
      <sheetName val="S 2"/>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협조전"/>
      <sheetName val="Sheet14"/>
      <sheetName val="Sheet15"/>
      <sheetName val="I-CO"/>
      <sheetName val="P&amp;L"/>
      <sheetName val="Phase 1"/>
      <sheetName val="Phase 2"/>
      <sheetName val="Pay_Sep06"/>
      <sheetName val="Pay Rec"/>
      <sheetName val="Assumptions"/>
      <sheetName val="Other Inc"/>
      <sheetName val="F&amp;B"/>
      <sheetName val="Admin"/>
      <sheetName val="Room Rev"/>
      <sheetName val="SMS Format"/>
      <sheetName val="External"/>
      <sheetName val="SUPPLY -Sanitary Fixtures"/>
      <sheetName val="ITEMS FOR CIVIL TENDER"/>
      <sheetName val="Sheet3"/>
      <sheetName val="analysis"/>
      <sheetName val="Global Assm."/>
      <sheetName val="PointNo.5"/>
      <sheetName val="Summary"/>
      <sheetName val="ESTIMATE for approval"/>
      <sheetName val="NPV"/>
      <sheetName val="Construction"/>
      <sheetName val="GreenSheet"/>
      <sheetName val="Basic Rates"/>
      <sheetName val="07016, Master List-Major Minor"/>
      <sheetName val="HEAD"/>
      <sheetName val="MASTER_RATE ANALYSIS"/>
      <sheetName val="Factors"/>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LOM_MOD"/>
      <sheetName val="Variables"/>
      <sheetName val="3cd Annexure"/>
      <sheetName val="Reference Information"/>
      <sheetName val="Employee List"/>
      <sheetName val="Sales Office"/>
      <sheetName val="HVAC1"/>
      <sheetName val="SECURITY 1"/>
      <sheetName val="collections plan 0401"/>
      <sheetName val="DB_REL_SIDC_UP"/>
      <sheetName val="Other_Input"/>
      <sheetName val="sept-plan"/>
      <sheetName val="Civil Boq"/>
      <sheetName val="Traffic"/>
      <sheetName val="Area St"/>
      <sheetName val="Sump_cal"/>
      <sheetName val="Estimation"/>
      <sheetName val="FORM7"/>
      <sheetName val="sqn_ldr_3 Unit_2_"/>
      <sheetName val="Assumption Inputs"/>
      <sheetName val="Cal"/>
      <sheetName val="labour coeff"/>
      <sheetName val="Msht-Int-Msht-GF"/>
      <sheetName val="Detail"/>
      <sheetName val="ISO RECON"/>
      <sheetName val="Back filling"/>
      <sheetName val="NT items summary"/>
      <sheetName val="Vehicles"/>
      <sheetName val="VCH-SLC"/>
      <sheetName val="Supplier"/>
      <sheetName val="Wordsdata"/>
      <sheetName val="item"/>
      <sheetName val="LOCAL RATES"/>
      <sheetName val="Meas.-Hotel Part"/>
      <sheetName val="Risk &amp; Opportunities"/>
      <sheetName val="PROG_DATA"/>
      <sheetName val="type ahead combo"/>
      <sheetName val="adp-budget"/>
      <sheetName val="Constants"/>
      <sheetName val="labour rates"/>
      <sheetName val="Msht 5F"/>
      <sheetName val="Cont"/>
      <sheetName val="RCC,Ret. Wall"/>
      <sheetName val="Fill_this_out_first___"/>
      <sheetName val="電気設備表"/>
      <sheetName val="COST"/>
      <sheetName val="Master"/>
      <sheetName val="FTE Totals_Plan"/>
      <sheetName val="Masonry"/>
      <sheetName val="Assmpns"/>
      <sheetName val="Erection grider"/>
      <sheetName val="doq"/>
      <sheetName val="keyword"/>
      <sheetName val="p&amp;m"/>
      <sheetName val="Order Info"/>
      <sheetName val="BoQ-1"/>
      <sheetName val="BoQ-2"/>
      <sheetName val="INDEX"/>
      <sheetName val="DATA BOQ"/>
      <sheetName val="zone-8"/>
      <sheetName val="MHNO_LEV"/>
      <sheetName val="PA- Consutant "/>
      <sheetName val="PEDESB"/>
      <sheetName val="HOLIDAY LIST"/>
      <sheetName val="DASH BOARD"/>
      <sheetName val="#REF!"/>
      <sheetName val="재1"/>
      <sheetName val="Status Control Sheet"/>
      <sheetName val="Hardware"/>
      <sheetName val="Dimensions"/>
      <sheetName val="crews"/>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Position Class"/>
      <sheetName val="Timeoffice"/>
      <sheetName val="maing1"/>
      <sheetName val="Ext Works"/>
      <sheetName val="F1a-Pile"/>
      <sheetName val="Approved MTD Proj #'s"/>
      <sheetName val="M"/>
      <sheetName val="N"/>
      <sheetName val="Budgetary office area"/>
      <sheetName val="BASIS -DEC 08"/>
      <sheetName val="Block A - BOQ"/>
      <sheetName val="Cover"/>
      <sheetName val="Material"/>
      <sheetName val="electr_ work CA "/>
      <sheetName val="L.Chg"/>
      <sheetName val="RA-markate"/>
      <sheetName val="Register"/>
      <sheetName val="d-safe DELUXE"/>
      <sheetName val="Diawise steel abstract"/>
      <sheetName val="RA"/>
      <sheetName val="beam-reinft-IIInd floor"/>
      <sheetName val="Lowside"/>
      <sheetName val="Driveway Beams"/>
      <sheetName val="Mat_Cost"/>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Building 1"/>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Erection_grider2"/>
      <sheetName val="FTE_Totals_Plan2"/>
      <sheetName val="DATA_BOQ2"/>
      <sheetName val="appendix A"/>
      <sheetName val="BBS"/>
      <sheetName val="PPA Summary"/>
      <sheetName val="Report"/>
      <sheetName val="cashflow"/>
      <sheetName val="Controls"/>
      <sheetName val="CCB"/>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65 FINANCE"/>
      <sheetName val="Pacakges split"/>
      <sheetName val="Quotation"/>
      <sheetName val="대비내역"/>
      <sheetName val="Sqn_Abs"/>
      <sheetName val="Config"/>
      <sheetName val="Break Dw"/>
      <sheetName val="Modular"/>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Reference Values"/>
      <sheetName val="LANGUAGE"/>
      <sheetName val="Hot"/>
      <sheetName val="DSLP"/>
      <sheetName val="System"/>
      <sheetName val="General input"/>
      <sheetName val="Break_Up (bc)"/>
      <sheetName val="Break_Up (bc1)"/>
      <sheetName val="Break_Up (bc2)"/>
      <sheetName val="Status"/>
      <sheetName val="FORM-16"/>
      <sheetName val="Field Values"/>
      <sheetName val="sheeet7"/>
      <sheetName val="grid"/>
      <sheetName val="A"/>
      <sheetName val="except wiring"/>
      <sheetName val="Material Current"/>
      <sheetName val="WORK TABLE"/>
      <sheetName val="BLKs_C"/>
      <sheetName val="Step 7"/>
      <sheetName val="LT internal works"/>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 val="DC-HA"/>
      <sheetName val="VA- Edge Appliance"/>
      <sheetName val="DR-Clou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row>
      </sheetData>
      <sheetData sheetId="13">
        <row r="91">
          <cell r="C91" t="str">
            <v>TechBridge</v>
          </cell>
        </row>
        <row r="92">
          <cell r="C92" t="str">
            <v>TechBridge</v>
          </cell>
        </row>
        <row r="93">
          <cell r="C93" t="str">
            <v>TechBridge</v>
          </cell>
        </row>
      </sheetData>
      <sheetData sheetId="14"/>
      <sheetData sheetId="15"/>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 val="Überblick"/>
      <sheetName val="Basement Budget"/>
    </sheetNames>
    <sheetDataSet>
      <sheetData sheetId="0"/>
      <sheetData sheetId="1"/>
      <sheetData sheetId="2" refreshError="1"/>
      <sheetData sheetId="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PCS"/>
      <sheetName val="Headings"/>
      <sheetName val="LIST OF MAKES"/>
      <sheetName val="factors"/>
      <sheetName val="Indices"/>
      <sheetName val="Civil Works"/>
      <sheetName val="Material "/>
      <sheetName val="Labour &amp; Plant"/>
      <sheetName val="INPUT SHEET"/>
      <sheetName val="RES-PLANNING"/>
      <sheetName val="Extra Item"/>
      <sheetName val="Pay_Sep06"/>
      <sheetName val="F1a-Pile"/>
      <sheetName val="Project Budget Worksheet"/>
      <sheetName val="Voucher"/>
      <sheetName val="Lead"/>
      <sheetName val="Site Dev BOQ"/>
      <sheetName val="strand"/>
      <sheetName val="master"/>
      <sheetName val="IO_LIST"/>
      <sheetName val="Wordsdata"/>
      <sheetName val="item"/>
      <sheetName val="beam-reinft"/>
      <sheetName val="water prop."/>
      <sheetName val="TBAL9697 -group wise  sdpl"/>
      <sheetName val="Detail"/>
      <sheetName val="loadcal"/>
      <sheetName val="GBW"/>
      <sheetName val="Data sheet"/>
      <sheetName val="Assumptions"/>
      <sheetName val="horizontal"/>
      <sheetName val="Intro"/>
      <sheetName val="CFForecast detail"/>
      <sheetName val="Summary"/>
      <sheetName val="HPL"/>
      <sheetName val="Fill this out first..."/>
      <sheetName val="Sens"/>
      <sheetName val="Data"/>
      <sheetName val="BASIS -DEC 08"/>
      <sheetName val="INDIGINEOUS ITEMS "/>
      <sheetName val="预算"/>
      <sheetName val="Estimate"/>
      <sheetName val="calcul"/>
      <sheetName val="INTERIOR"/>
      <sheetName val="RCC,Ret. Wall"/>
      <sheetName val="Masonry"/>
      <sheetName val="OpRes"/>
      <sheetName val="PROG_DATA"/>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12-Month Sales Forecast"/>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O Breakup"/>
      <sheetName val="VMC Requirement"/>
      <sheetName val="A-CCC"/>
      <sheetName val="B-Integrations with CCC"/>
      <sheetName val="C-DC Hardware"/>
      <sheetName val="D-DC -Applications &amp; Softwares"/>
      <sheetName val="E-Implem. Manpower &amp; Trainings"/>
      <sheetName val="F- ERP &amp; Mobile App"/>
      <sheetName val="G- GIS"/>
      <sheetName val="H-OFC (Approach 1)"/>
      <sheetName val="H-OFC (Approach 2)"/>
      <sheetName val="I-Traffic Enforcement System"/>
      <sheetName val="J-ATCS System"/>
      <sheetName val="K- Poles for VMD &amp; Env Sensors"/>
      <sheetName val="L- Street Lights"/>
      <sheetName val="M-Street Bay Parking"/>
      <sheetName val="SWM"/>
      <sheetName val="N-Bandwidth"/>
      <sheetName val="O-DR"/>
      <sheetName val="P-Manpower - O&amp;M"/>
      <sheetName val="F-Transit"/>
      <sheetName val="Q-AMC"/>
      <sheetName val="A1 - Architecture (Arch)"/>
      <sheetName val="A2 - Civil"/>
      <sheetName val="A3 - Electrical"/>
      <sheetName val="A4 - Firefighting"/>
      <sheetName val="A5 - Heating Ventillation(HVAC)"/>
      <sheetName val="A6- Public Health Engg (PHE)"/>
      <sheetName val="A7 - Furniture"/>
      <sheetName val="A8 - O &amp; M for 7yrs cost "/>
      <sheetName val="Master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W4">
            <v>50670</v>
          </cell>
        </row>
        <row r="6">
          <cell r="W6">
            <v>21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O Breakup"/>
      <sheetName val="VMC Requirement"/>
      <sheetName val="A-CCC"/>
      <sheetName val="B-Integrations with CCC"/>
      <sheetName val="C-DC Hardware"/>
      <sheetName val="D-DC -Applications &amp; Softwares"/>
      <sheetName val="E-Implem. Manpower &amp; Trainings"/>
      <sheetName val="F- ERP &amp; Mobile App"/>
      <sheetName val="G- GIS"/>
      <sheetName val="H-OFC (Approach 1)"/>
      <sheetName val="H-OFC (Approach 2)"/>
      <sheetName val="I-Traffic Enforcement System"/>
      <sheetName val="J-ATCS System"/>
      <sheetName val="K- Poles for VMD &amp; Env Sensors"/>
      <sheetName val="L- Street Lights"/>
      <sheetName val="M-Street Bay Parking"/>
      <sheetName val="SWM"/>
      <sheetName val="N-Bandwidth"/>
      <sheetName val="O-DR"/>
      <sheetName val="P-Manpower - O&amp;M"/>
      <sheetName val="F-Transit"/>
      <sheetName val="Q-AMC"/>
      <sheetName val="A1 - Architecture (Arch)"/>
      <sheetName val="A2 - Civil"/>
      <sheetName val="A3 - Electrical"/>
      <sheetName val="A4 - Firefighting"/>
      <sheetName val="A5 - Heating Ventillation(HVAC)"/>
      <sheetName val="A6- Public Health Engg (PHE)"/>
      <sheetName val="A7 - Furniture"/>
      <sheetName val="A8 - O &amp; M for 7yrs cost "/>
      <sheetName val="Master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W4">
            <v>50670</v>
          </cell>
        </row>
        <row r="6">
          <cell r="W6">
            <v>21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1-8"/>
      <sheetName val="IO LIST"/>
      <sheetName val="xref"/>
      <sheetName val="Reference"/>
      <sheetName val="instructions"/>
      <sheetName val="Sheet2"/>
      <sheetName val="Überblick"/>
      <sheetName val="Content Instructions"/>
      <sheetName val="MSS Enagement Summary Form"/>
      <sheetName val="H-OFC (Approach 1)"/>
    </sheetNames>
    <sheetDataSet>
      <sheetData sheetId="0" refreshError="1">
        <row r="1">
          <cell r="F1">
            <v>39172</v>
          </cell>
        </row>
        <row r="2">
          <cell r="D2">
            <v>39172</v>
          </cell>
        </row>
        <row r="4">
          <cell r="D4">
            <v>0</v>
          </cell>
        </row>
        <row r="5">
          <cell r="D5">
            <v>0</v>
          </cell>
        </row>
        <row r="6">
          <cell r="D6">
            <v>0</v>
          </cell>
        </row>
        <row r="7">
          <cell r="D7">
            <v>8934724.4800000004</v>
          </cell>
        </row>
        <row r="8">
          <cell r="D8">
            <v>0</v>
          </cell>
        </row>
        <row r="9">
          <cell r="D9">
            <v>0</v>
          </cell>
        </row>
        <row r="10">
          <cell r="D10">
            <v>63862</v>
          </cell>
        </row>
        <row r="11">
          <cell r="D11">
            <v>85000</v>
          </cell>
        </row>
        <row r="12">
          <cell r="D12">
            <v>54440</v>
          </cell>
        </row>
        <row r="13">
          <cell r="D13">
            <v>0</v>
          </cell>
        </row>
        <row r="14">
          <cell r="D14">
            <v>0</v>
          </cell>
        </row>
        <row r="15">
          <cell r="D15">
            <v>0</v>
          </cell>
        </row>
        <row r="16">
          <cell r="D16">
            <v>0</v>
          </cell>
        </row>
        <row r="17">
          <cell r="D17">
            <v>952316</v>
          </cell>
        </row>
        <row r="18">
          <cell r="D18">
            <v>0</v>
          </cell>
        </row>
        <row r="19">
          <cell r="D19">
            <v>168</v>
          </cell>
        </row>
        <row r="20">
          <cell r="D20">
            <v>0</v>
          </cell>
        </row>
        <row r="21">
          <cell r="D21">
            <v>68711.8</v>
          </cell>
        </row>
        <row r="22">
          <cell r="D22">
            <v>2080052.89</v>
          </cell>
        </row>
        <row r="23">
          <cell r="D23">
            <v>19425.22</v>
          </cell>
        </row>
        <row r="24">
          <cell r="D24">
            <v>0</v>
          </cell>
        </row>
        <row r="25">
          <cell r="D25">
            <v>0</v>
          </cell>
        </row>
        <row r="26">
          <cell r="D26">
            <v>0</v>
          </cell>
        </row>
        <row r="27">
          <cell r="D27">
            <v>0</v>
          </cell>
        </row>
        <row r="28">
          <cell r="D28">
            <v>0</v>
          </cell>
        </row>
        <row r="29">
          <cell r="D29">
            <v>2464537.44</v>
          </cell>
        </row>
        <row r="30">
          <cell r="D30">
            <v>97636.32</v>
          </cell>
        </row>
        <row r="31">
          <cell r="D31">
            <v>3222299.6</v>
          </cell>
        </row>
        <row r="32">
          <cell r="D32">
            <v>80367.25</v>
          </cell>
        </row>
        <row r="33">
          <cell r="D33">
            <v>12733685.359999999</v>
          </cell>
        </row>
        <row r="34">
          <cell r="D34">
            <v>14943966.300000001</v>
          </cell>
        </row>
        <row r="35">
          <cell r="D35">
            <v>398125</v>
          </cell>
        </row>
        <row r="36">
          <cell r="D36">
            <v>0</v>
          </cell>
        </row>
        <row r="37">
          <cell r="D37">
            <v>321814</v>
          </cell>
        </row>
        <row r="38">
          <cell r="D38">
            <v>2751708.69</v>
          </cell>
        </row>
        <row r="39">
          <cell r="D39">
            <v>4745</v>
          </cell>
        </row>
        <row r="40">
          <cell r="D40">
            <v>4006617.71</v>
          </cell>
        </row>
        <row r="41">
          <cell r="D41">
            <v>0</v>
          </cell>
        </row>
        <row r="42">
          <cell r="D42">
            <v>0</v>
          </cell>
        </row>
        <row r="43">
          <cell r="D43">
            <v>43747.5</v>
          </cell>
        </row>
        <row r="44">
          <cell r="D44">
            <v>0</v>
          </cell>
        </row>
        <row r="45">
          <cell r="D45">
            <v>18094</v>
          </cell>
        </row>
        <row r="46">
          <cell r="D46">
            <v>78683.94</v>
          </cell>
        </row>
        <row r="47">
          <cell r="D47">
            <v>0</v>
          </cell>
        </row>
        <row r="48">
          <cell r="D48">
            <v>0</v>
          </cell>
        </row>
        <row r="49">
          <cell r="D49">
            <v>2281441.48</v>
          </cell>
        </row>
        <row r="50">
          <cell r="D50">
            <v>0</v>
          </cell>
        </row>
        <row r="51">
          <cell r="D51">
            <v>9894481.6099999994</v>
          </cell>
        </row>
        <row r="52">
          <cell r="D52">
            <v>0</v>
          </cell>
        </row>
        <row r="53">
          <cell r="D53">
            <v>0</v>
          </cell>
        </row>
        <row r="54">
          <cell r="D54">
            <v>1232414.31</v>
          </cell>
        </row>
        <row r="55">
          <cell r="D55">
            <v>24814.400000000001</v>
          </cell>
        </row>
        <row r="56">
          <cell r="D56">
            <v>158697</v>
          </cell>
        </row>
        <row r="57">
          <cell r="D57">
            <v>2053377.28</v>
          </cell>
        </row>
        <row r="58">
          <cell r="D58">
            <v>0</v>
          </cell>
        </row>
        <row r="59">
          <cell r="D59">
            <v>5467693</v>
          </cell>
        </row>
        <row r="60">
          <cell r="D60">
            <v>10586098.26</v>
          </cell>
        </row>
        <row r="61">
          <cell r="D61">
            <v>215400</v>
          </cell>
        </row>
        <row r="62">
          <cell r="D62">
            <v>471669</v>
          </cell>
        </row>
        <row r="63">
          <cell r="D63">
            <v>0</v>
          </cell>
        </row>
        <row r="64">
          <cell r="D64">
            <v>0</v>
          </cell>
        </row>
        <row r="65">
          <cell r="D65">
            <v>0</v>
          </cell>
        </row>
        <row r="66">
          <cell r="D66">
            <v>0</v>
          </cell>
        </row>
        <row r="67">
          <cell r="D67">
            <v>48668553.270000003</v>
          </cell>
        </row>
        <row r="68">
          <cell r="D68">
            <v>3212025</v>
          </cell>
        </row>
        <row r="69">
          <cell r="D69">
            <v>193968.53</v>
          </cell>
        </row>
        <row r="70">
          <cell r="D70">
            <v>5324572.22</v>
          </cell>
        </row>
        <row r="71">
          <cell r="D71">
            <v>334</v>
          </cell>
        </row>
        <row r="72">
          <cell r="D72">
            <v>626526.38</v>
          </cell>
        </row>
        <row r="73">
          <cell r="D73">
            <v>1305255.55</v>
          </cell>
        </row>
        <row r="74">
          <cell r="D74">
            <v>0</v>
          </cell>
        </row>
        <row r="75">
          <cell r="D75">
            <v>1420520.46</v>
          </cell>
        </row>
        <row r="76">
          <cell r="D76">
            <v>310007.87</v>
          </cell>
        </row>
        <row r="77">
          <cell r="D77">
            <v>93090</v>
          </cell>
        </row>
        <row r="78">
          <cell r="D78">
            <v>0</v>
          </cell>
        </row>
        <row r="79">
          <cell r="D79">
            <v>609391</v>
          </cell>
        </row>
        <row r="80">
          <cell r="D80">
            <v>498648.7</v>
          </cell>
        </row>
        <row r="81">
          <cell r="D81">
            <v>536261.35</v>
          </cell>
        </row>
        <row r="82">
          <cell r="D82">
            <v>41884.9</v>
          </cell>
        </row>
        <row r="83">
          <cell r="D83">
            <v>0</v>
          </cell>
        </row>
        <row r="84">
          <cell r="D84">
            <v>0</v>
          </cell>
        </row>
        <row r="85">
          <cell r="D85">
            <v>23050</v>
          </cell>
        </row>
        <row r="86">
          <cell r="D86">
            <v>501027</v>
          </cell>
        </row>
        <row r="87">
          <cell r="D87">
            <v>0</v>
          </cell>
        </row>
        <row r="88">
          <cell r="D88">
            <v>242347</v>
          </cell>
        </row>
        <row r="89">
          <cell r="D89">
            <v>1022737.8</v>
          </cell>
        </row>
        <row r="90">
          <cell r="D90">
            <v>904587.74</v>
          </cell>
        </row>
        <row r="91">
          <cell r="D91">
            <v>3165823</v>
          </cell>
        </row>
        <row r="92">
          <cell r="D92">
            <v>0</v>
          </cell>
        </row>
        <row r="93">
          <cell r="D93">
            <v>229573657.27000001</v>
          </cell>
        </row>
        <row r="94">
          <cell r="D94">
            <v>35295926.399999999</v>
          </cell>
        </row>
        <row r="95">
          <cell r="D95">
            <v>0</v>
          </cell>
        </row>
        <row r="96">
          <cell r="D96">
            <v>0</v>
          </cell>
        </row>
        <row r="97">
          <cell r="D97">
            <v>858943.51</v>
          </cell>
        </row>
        <row r="98">
          <cell r="D98">
            <v>0</v>
          </cell>
        </row>
        <row r="99">
          <cell r="D99">
            <v>0</v>
          </cell>
        </row>
        <row r="100">
          <cell r="D100">
            <v>0</v>
          </cell>
        </row>
        <row r="101">
          <cell r="D101">
            <v>3500</v>
          </cell>
        </row>
        <row r="102">
          <cell r="D102">
            <v>0</v>
          </cell>
        </row>
        <row r="103">
          <cell r="D103">
            <v>1137640.93</v>
          </cell>
        </row>
        <row r="104">
          <cell r="D104">
            <v>0</v>
          </cell>
        </row>
        <row r="105">
          <cell r="D105">
            <v>11457250.300000001</v>
          </cell>
        </row>
        <row r="106">
          <cell r="D106">
            <v>0</v>
          </cell>
        </row>
        <row r="107">
          <cell r="D107">
            <v>0</v>
          </cell>
        </row>
        <row r="108">
          <cell r="D108">
            <v>4777722.96</v>
          </cell>
        </row>
        <row r="109">
          <cell r="D109">
            <v>25771305.289999999</v>
          </cell>
        </row>
        <row r="110">
          <cell r="D110">
            <v>5024662</v>
          </cell>
        </row>
        <row r="111">
          <cell r="D111">
            <v>0</v>
          </cell>
        </row>
        <row r="112">
          <cell r="D112">
            <v>0</v>
          </cell>
        </row>
        <row r="113">
          <cell r="D113">
            <v>0</v>
          </cell>
        </row>
        <row r="114">
          <cell r="D114">
            <v>0</v>
          </cell>
        </row>
        <row r="115">
          <cell r="D115">
            <v>1559420</v>
          </cell>
        </row>
        <row r="116">
          <cell r="D116">
            <v>2359365</v>
          </cell>
        </row>
        <row r="117">
          <cell r="D117">
            <v>11019778.5</v>
          </cell>
        </row>
        <row r="118">
          <cell r="D118">
            <v>106040.4</v>
          </cell>
        </row>
        <row r="119">
          <cell r="D119">
            <v>0</v>
          </cell>
        </row>
        <row r="120">
          <cell r="D120">
            <v>4853151.3099999996</v>
          </cell>
        </row>
        <row r="121">
          <cell r="D121">
            <v>0</v>
          </cell>
        </row>
        <row r="122">
          <cell r="D122">
            <v>0</v>
          </cell>
        </row>
        <row r="123">
          <cell r="D123">
            <v>1325984.21</v>
          </cell>
        </row>
        <row r="124">
          <cell r="D124">
            <v>363801</v>
          </cell>
        </row>
        <row r="125">
          <cell r="D125">
            <v>5274722.5599999996</v>
          </cell>
        </row>
        <row r="126">
          <cell r="D126">
            <v>0</v>
          </cell>
        </row>
        <row r="127">
          <cell r="D127">
            <v>0</v>
          </cell>
        </row>
        <row r="128">
          <cell r="D128">
            <v>0</v>
          </cell>
        </row>
        <row r="129">
          <cell r="D129">
            <v>0</v>
          </cell>
        </row>
        <row r="130">
          <cell r="D130">
            <v>2715701</v>
          </cell>
        </row>
        <row r="131">
          <cell r="D131">
            <v>0</v>
          </cell>
        </row>
        <row r="132">
          <cell r="D132">
            <v>81696.5</v>
          </cell>
        </row>
        <row r="133">
          <cell r="D133">
            <v>498071695.75</v>
          </cell>
        </row>
        <row r="135">
          <cell r="D135">
            <v>0</v>
          </cell>
        </row>
        <row r="136">
          <cell r="D136">
            <v>0</v>
          </cell>
        </row>
        <row r="138">
          <cell r="D138">
            <v>0</v>
          </cell>
        </row>
        <row r="139">
          <cell r="D139">
            <v>39318.68</v>
          </cell>
        </row>
        <row r="140">
          <cell r="D140">
            <v>0</v>
          </cell>
        </row>
        <row r="141">
          <cell r="D141">
            <v>0</v>
          </cell>
        </row>
        <row r="142">
          <cell r="D142">
            <v>2683549.14</v>
          </cell>
        </row>
        <row r="143">
          <cell r="D143">
            <v>280306.89</v>
          </cell>
        </row>
        <row r="144">
          <cell r="D144">
            <v>474373.35</v>
          </cell>
        </row>
        <row r="145">
          <cell r="D145">
            <v>0</v>
          </cell>
        </row>
        <row r="146">
          <cell r="D146">
            <v>0</v>
          </cell>
        </row>
        <row r="147">
          <cell r="D147">
            <v>1984472.2</v>
          </cell>
        </row>
        <row r="148">
          <cell r="D148">
            <v>5462020.2600000007</v>
          </cell>
        </row>
        <row r="150">
          <cell r="D150">
            <v>0</v>
          </cell>
        </row>
        <row r="151">
          <cell r="D151">
            <v>503533716.00999999</v>
          </cell>
        </row>
      </sheetData>
      <sheetData sheetId="1" refreshError="1">
        <row r="1">
          <cell r="F1">
            <v>39172</v>
          </cell>
        </row>
        <row r="3">
          <cell r="F3">
            <v>0</v>
          </cell>
        </row>
        <row r="4">
          <cell r="F4">
            <v>0</v>
          </cell>
        </row>
        <row r="5">
          <cell r="F5">
            <v>0</v>
          </cell>
        </row>
        <row r="6">
          <cell r="F6">
            <v>8934724.4800000004</v>
          </cell>
        </row>
        <row r="7">
          <cell r="F7">
            <v>0</v>
          </cell>
        </row>
        <row r="8">
          <cell r="F8">
            <v>0</v>
          </cell>
        </row>
        <row r="9">
          <cell r="F9">
            <v>63862</v>
          </cell>
        </row>
        <row r="10">
          <cell r="F10">
            <v>85000</v>
          </cell>
        </row>
        <row r="11">
          <cell r="F11">
            <v>54440</v>
          </cell>
        </row>
        <row r="12">
          <cell r="F12">
            <v>0</v>
          </cell>
        </row>
        <row r="13">
          <cell r="F13">
            <v>0</v>
          </cell>
        </row>
        <row r="14">
          <cell r="F14">
            <v>0</v>
          </cell>
        </row>
        <row r="15">
          <cell r="F15">
            <v>0</v>
          </cell>
        </row>
        <row r="16">
          <cell r="F16">
            <v>952316</v>
          </cell>
        </row>
        <row r="17">
          <cell r="F17">
            <v>0</v>
          </cell>
        </row>
        <row r="18">
          <cell r="F18">
            <v>168</v>
          </cell>
        </row>
        <row r="19">
          <cell r="F19">
            <v>0</v>
          </cell>
        </row>
        <row r="20">
          <cell r="F20">
            <v>68711.8</v>
          </cell>
        </row>
        <row r="21">
          <cell r="F21">
            <v>2080052.89</v>
          </cell>
        </row>
        <row r="22">
          <cell r="F22">
            <v>19425.22</v>
          </cell>
        </row>
        <row r="23">
          <cell r="F23">
            <v>0</v>
          </cell>
        </row>
        <row r="24">
          <cell r="F24">
            <v>0</v>
          </cell>
        </row>
        <row r="25">
          <cell r="F25">
            <v>0</v>
          </cell>
        </row>
        <row r="26">
          <cell r="F26">
            <v>0</v>
          </cell>
        </row>
        <row r="27">
          <cell r="F27">
            <v>0</v>
          </cell>
        </row>
        <row r="28">
          <cell r="F28">
            <v>2464537.44</v>
          </cell>
        </row>
        <row r="29">
          <cell r="F29">
            <v>97636.32</v>
          </cell>
        </row>
        <row r="30">
          <cell r="F30">
            <v>3222299.6</v>
          </cell>
        </row>
        <row r="31">
          <cell r="F31">
            <v>80367.25</v>
          </cell>
        </row>
        <row r="32">
          <cell r="F32">
            <v>12733685.359999999</v>
          </cell>
        </row>
        <row r="33">
          <cell r="F33">
            <v>14943966.300000001</v>
          </cell>
        </row>
        <row r="34">
          <cell r="F34">
            <v>398125</v>
          </cell>
        </row>
        <row r="35">
          <cell r="F35">
            <v>0</v>
          </cell>
        </row>
        <row r="36">
          <cell r="F36">
            <v>321814</v>
          </cell>
        </row>
        <row r="37">
          <cell r="F37">
            <v>2751708.69</v>
          </cell>
        </row>
        <row r="38">
          <cell r="F38">
            <v>4745</v>
          </cell>
        </row>
        <row r="39">
          <cell r="F39">
            <v>4006617.71</v>
          </cell>
        </row>
        <row r="40">
          <cell r="F40">
            <v>0</v>
          </cell>
        </row>
        <row r="41">
          <cell r="F41">
            <v>0</v>
          </cell>
        </row>
        <row r="42">
          <cell r="F42">
            <v>43747.5</v>
          </cell>
        </row>
        <row r="43">
          <cell r="F43">
            <v>0</v>
          </cell>
        </row>
        <row r="44">
          <cell r="F44">
            <v>18094</v>
          </cell>
        </row>
        <row r="45">
          <cell r="F45">
            <v>78683.94</v>
          </cell>
        </row>
        <row r="46">
          <cell r="F46">
            <v>0</v>
          </cell>
        </row>
        <row r="47">
          <cell r="F47">
            <v>0</v>
          </cell>
        </row>
        <row r="48">
          <cell r="F48">
            <v>2281441.48</v>
          </cell>
        </row>
        <row r="49">
          <cell r="F49">
            <v>0</v>
          </cell>
        </row>
        <row r="50">
          <cell r="F50">
            <v>9894481.6099999994</v>
          </cell>
        </row>
        <row r="51">
          <cell r="F51">
            <v>0</v>
          </cell>
        </row>
        <row r="52">
          <cell r="F52">
            <v>0</v>
          </cell>
        </row>
        <row r="53">
          <cell r="F53">
            <v>1232414.31</v>
          </cell>
        </row>
        <row r="54">
          <cell r="F54">
            <v>24814.400000000001</v>
          </cell>
        </row>
        <row r="55">
          <cell r="F55">
            <v>158697</v>
          </cell>
        </row>
        <row r="56">
          <cell r="F56">
            <v>2053377.28</v>
          </cell>
        </row>
        <row r="57">
          <cell r="F57">
            <v>0</v>
          </cell>
        </row>
        <row r="58">
          <cell r="F58">
            <v>5467693</v>
          </cell>
        </row>
        <row r="59">
          <cell r="F59">
            <v>10586098.26</v>
          </cell>
        </row>
        <row r="60">
          <cell r="F60">
            <v>215400</v>
          </cell>
        </row>
        <row r="61">
          <cell r="F61">
            <v>471669</v>
          </cell>
        </row>
        <row r="62">
          <cell r="F62">
            <v>0</v>
          </cell>
        </row>
        <row r="63">
          <cell r="F63">
            <v>0</v>
          </cell>
        </row>
        <row r="64">
          <cell r="F64">
            <v>0</v>
          </cell>
        </row>
        <row r="65">
          <cell r="F65">
            <v>0</v>
          </cell>
        </row>
        <row r="66">
          <cell r="F66">
            <v>48668553.270000003</v>
          </cell>
        </row>
        <row r="67">
          <cell r="F67">
            <v>3212025</v>
          </cell>
        </row>
        <row r="68">
          <cell r="F68">
            <v>193968.53</v>
          </cell>
        </row>
        <row r="69">
          <cell r="F69">
            <v>5324572.22</v>
          </cell>
        </row>
        <row r="70">
          <cell r="F70">
            <v>334</v>
          </cell>
        </row>
        <row r="71">
          <cell r="F71">
            <v>626526.38</v>
          </cell>
        </row>
        <row r="72">
          <cell r="F72">
            <v>1305255.55</v>
          </cell>
        </row>
        <row r="73">
          <cell r="F73">
            <v>0</v>
          </cell>
        </row>
        <row r="74">
          <cell r="F74">
            <v>1420520.46</v>
          </cell>
        </row>
        <row r="75">
          <cell r="F75">
            <v>310007.87</v>
          </cell>
        </row>
        <row r="76">
          <cell r="F76">
            <v>93090</v>
          </cell>
        </row>
        <row r="77">
          <cell r="F77">
            <v>0</v>
          </cell>
        </row>
        <row r="78">
          <cell r="F78">
            <v>609391</v>
          </cell>
        </row>
        <row r="79">
          <cell r="F79">
            <v>498648.7</v>
          </cell>
        </row>
        <row r="80">
          <cell r="F80">
            <v>536261.35</v>
          </cell>
        </row>
        <row r="81">
          <cell r="F81">
            <v>41884.9</v>
          </cell>
        </row>
        <row r="82">
          <cell r="F82">
            <v>0</v>
          </cell>
        </row>
        <row r="83">
          <cell r="F83">
            <v>0</v>
          </cell>
        </row>
        <row r="84">
          <cell r="F84">
            <v>23050</v>
          </cell>
        </row>
        <row r="85">
          <cell r="F85">
            <v>501027</v>
          </cell>
        </row>
        <row r="86">
          <cell r="F86">
            <v>0</v>
          </cell>
        </row>
        <row r="87">
          <cell r="F87">
            <v>242347</v>
          </cell>
        </row>
        <row r="88">
          <cell r="F88">
            <v>1022737.8</v>
          </cell>
        </row>
        <row r="89">
          <cell r="F89">
            <v>904587.74</v>
          </cell>
        </row>
        <row r="90">
          <cell r="F90">
            <v>3165823</v>
          </cell>
        </row>
        <row r="91">
          <cell r="F91">
            <v>0</v>
          </cell>
        </row>
        <row r="92">
          <cell r="F92">
            <v>229573657.27000001</v>
          </cell>
        </row>
        <row r="93">
          <cell r="F93">
            <v>35295926.399999999</v>
          </cell>
        </row>
        <row r="94">
          <cell r="F94">
            <v>0</v>
          </cell>
        </row>
        <row r="95">
          <cell r="F95">
            <v>0</v>
          </cell>
        </row>
        <row r="96">
          <cell r="F96">
            <v>858943.51</v>
          </cell>
        </row>
        <row r="97">
          <cell r="F97">
            <v>0</v>
          </cell>
        </row>
        <row r="98">
          <cell r="F98">
            <v>0</v>
          </cell>
        </row>
        <row r="99">
          <cell r="F99">
            <v>0</v>
          </cell>
        </row>
        <row r="100">
          <cell r="F100">
            <v>3500</v>
          </cell>
        </row>
        <row r="101">
          <cell r="F101">
            <v>0</v>
          </cell>
        </row>
        <row r="102">
          <cell r="F102">
            <v>1137640.93</v>
          </cell>
        </row>
        <row r="103">
          <cell r="F103">
            <v>0</v>
          </cell>
        </row>
        <row r="104">
          <cell r="F104">
            <v>11457250.300000001</v>
          </cell>
        </row>
        <row r="105">
          <cell r="F105">
            <v>0</v>
          </cell>
        </row>
        <row r="106">
          <cell r="F106">
            <v>0</v>
          </cell>
        </row>
        <row r="107">
          <cell r="F107">
            <v>4777722.96</v>
          </cell>
        </row>
        <row r="108">
          <cell r="F108">
            <v>25771305.289999999</v>
          </cell>
        </row>
        <row r="109">
          <cell r="F109">
            <v>5024662</v>
          </cell>
        </row>
        <row r="110">
          <cell r="F110">
            <v>0</v>
          </cell>
        </row>
        <row r="111">
          <cell r="F111">
            <v>0</v>
          </cell>
        </row>
        <row r="112">
          <cell r="F112">
            <v>0</v>
          </cell>
        </row>
        <row r="113">
          <cell r="F113">
            <v>0</v>
          </cell>
        </row>
        <row r="114">
          <cell r="F114">
            <v>1559420</v>
          </cell>
        </row>
        <row r="115">
          <cell r="F115">
            <v>2359365</v>
          </cell>
        </row>
        <row r="116">
          <cell r="F116">
            <v>11019778.5</v>
          </cell>
        </row>
        <row r="117">
          <cell r="F117">
            <v>106040.4</v>
          </cell>
        </row>
        <row r="118">
          <cell r="F118">
            <v>0</v>
          </cell>
        </row>
        <row r="119">
          <cell r="F119">
            <v>4853151.3099999996</v>
          </cell>
        </row>
        <row r="120">
          <cell r="F120">
            <v>0</v>
          </cell>
        </row>
        <row r="121">
          <cell r="F121">
            <v>0</v>
          </cell>
        </row>
        <row r="122">
          <cell r="F122">
            <v>1325984.21</v>
          </cell>
        </row>
        <row r="123">
          <cell r="F123">
            <v>363801</v>
          </cell>
        </row>
        <row r="124">
          <cell r="F124">
            <v>5274722.5599999996</v>
          </cell>
        </row>
        <row r="125">
          <cell r="F125">
            <v>0</v>
          </cell>
        </row>
        <row r="126">
          <cell r="F126">
            <v>0</v>
          </cell>
        </row>
        <row r="127">
          <cell r="F127">
            <v>0</v>
          </cell>
        </row>
        <row r="128">
          <cell r="F128">
            <v>0</v>
          </cell>
        </row>
        <row r="129">
          <cell r="F129">
            <v>2715701</v>
          </cell>
        </row>
        <row r="130">
          <cell r="F130">
            <v>0</v>
          </cell>
        </row>
        <row r="131">
          <cell r="F131">
            <v>81696.5</v>
          </cell>
        </row>
        <row r="132">
          <cell r="F132">
            <v>498071695.75</v>
          </cell>
        </row>
        <row r="134">
          <cell r="F134">
            <v>0</v>
          </cell>
        </row>
        <row r="135">
          <cell r="F135">
            <v>0</v>
          </cell>
        </row>
        <row r="137">
          <cell r="F137">
            <v>0</v>
          </cell>
        </row>
        <row r="138">
          <cell r="F138">
            <v>39318.68</v>
          </cell>
        </row>
        <row r="139">
          <cell r="F139">
            <v>0</v>
          </cell>
        </row>
        <row r="140">
          <cell r="F140">
            <v>0</v>
          </cell>
        </row>
        <row r="141">
          <cell r="F141">
            <v>2683549.14</v>
          </cell>
        </row>
        <row r="142">
          <cell r="F142">
            <v>280306.89</v>
          </cell>
        </row>
        <row r="143">
          <cell r="F143">
            <v>474373.35</v>
          </cell>
        </row>
        <row r="144">
          <cell r="F144">
            <v>0</v>
          </cell>
        </row>
        <row r="145">
          <cell r="F145">
            <v>0</v>
          </cell>
        </row>
        <row r="146">
          <cell r="F146">
            <v>1984472.2</v>
          </cell>
        </row>
        <row r="147">
          <cell r="F147">
            <v>5462020.2600000007</v>
          </cell>
        </row>
        <row r="149">
          <cell r="F149">
            <v>0</v>
          </cell>
        </row>
        <row r="150">
          <cell r="F150">
            <v>503533716.00999999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rder Details"/>
      <sheetName val="Service Configuration Details"/>
      <sheetName val="Drop down data"/>
      <sheetName val="Basement Budget"/>
      <sheetName val="Links"/>
      <sheetName val="Lead"/>
    </sheetNames>
    <sheetDataSet>
      <sheetData sheetId="0"/>
      <sheetData sheetId="1"/>
      <sheetData sheetId="2">
        <row r="11">
          <cell r="J11" t="str">
            <v>ICOM-VPS-BASE-1vCPU-1GBRAM-50GBDT-75GBSAN-VPDCS-ST-SHM</v>
          </cell>
        </row>
        <row r="12">
          <cell r="J12" t="str">
            <v>ICOM-VPS-BASE-1vCPU-PRSTNT-PM</v>
          </cell>
        </row>
        <row r="13">
          <cell r="J13" t="str">
            <v>ICOM-VPS-XPND-2vCPU-2GBRAM-100GBDT-100GBSAN-VPDCS-ST-SHM</v>
          </cell>
        </row>
        <row r="14">
          <cell r="J14" t="str">
            <v>ICOM-VPS-XPND-2vCPU-PRSTNT-PM</v>
          </cell>
        </row>
        <row r="15">
          <cell r="J15" t="str">
            <v>ICOM-HA-VPS-BASE-1vCPU-1GBRAM-50GBDT-75GBSAN-VPDCS-ST-SHM</v>
          </cell>
        </row>
        <row r="16">
          <cell r="J16" t="str">
            <v>ICOM-HA-VPS-BASE-1vCPU-PRSTNT-PM</v>
          </cell>
        </row>
        <row r="17">
          <cell r="J17" t="str">
            <v>ICOM-HA-VPS-XPND-2vCPU-2GBRAM-100GBDT-100GBSAN-VPDCS-ST-SHM</v>
          </cell>
        </row>
        <row r="18">
          <cell r="J18" t="str">
            <v>ICOM-HA-VPS-XPND-2vCPU-PRSTNT-PM</v>
          </cell>
        </row>
        <row r="19">
          <cell r="J19" t="str">
            <v>ICOM-HA-VPS-MAX-4vCPU-4GBRAM-200GBDT-200GBSAN-VPDCS-ST-SHM</v>
          </cell>
        </row>
        <row r="20">
          <cell r="J20" t="str">
            <v>ICOM-HA-VPS-MAX-4vCPU-PRSTNT-PM</v>
          </cell>
        </row>
        <row r="22">
          <cell r="J22" t="str">
            <v>ICOM-VPI-BASE-1vCPU-1GBRAM-50GBSAN-SHM</v>
          </cell>
        </row>
        <row r="23">
          <cell r="J23" t="str">
            <v>ICOM-VPI-BASE-1vCPU-PRSTNT-PM</v>
          </cell>
        </row>
        <row r="24">
          <cell r="J24" t="str">
            <v>ICOM-VPI-XPND-2vCPU-2GBRAM-50GBSAN-SHM</v>
          </cell>
        </row>
        <row r="25">
          <cell r="J25" t="str">
            <v>ICOM-VPI-XPND-2vCPU-PRSTNT-PM</v>
          </cell>
        </row>
        <row r="26">
          <cell r="J26" t="str">
            <v>ICOM-VPI-MAX-4vCPU-4GBRAM-50GBSAN-SHM</v>
          </cell>
        </row>
        <row r="27">
          <cell r="J27" t="str">
            <v>ICOM-VPI-MAX-4vCPU-PRSTNT-PM</v>
          </cell>
        </row>
        <row r="28">
          <cell r="J28" t="str">
            <v>ICOM-HA-VPI-BASE-1vCPU-1GBRAM-50GBSAN-SHM</v>
          </cell>
        </row>
        <row r="29">
          <cell r="J29" t="str">
            <v>ICOM-HA-VPI-BASE-1vCPU-PRSTNT-PM</v>
          </cell>
        </row>
        <row r="30">
          <cell r="J30" t="str">
            <v>ICOM-HA-VPI-XPND-2vCPU-2GBRAM-50GBSAN-SHM</v>
          </cell>
        </row>
        <row r="31">
          <cell r="J31" t="str">
            <v>ICOM-HA-VPI-XPND-2vCPU-PRSTNT-PM</v>
          </cell>
        </row>
        <row r="32">
          <cell r="J32" t="str">
            <v>ICOM-HA-VPI-MAX-4vCPU-4GBRAM-50GBSAN-SHM</v>
          </cell>
        </row>
        <row r="33">
          <cell r="J33" t="str">
            <v>ICOM-HA-VPI-MAX-4vCPU-PRSTNT-PM</v>
          </cell>
        </row>
        <row r="34">
          <cell r="J34" t="str">
            <v>ICOM-HA-VPI-XTRM-8vCPU-8GBRAM-50GBSAN-SHM</v>
          </cell>
        </row>
        <row r="35">
          <cell r="J35" t="str">
            <v>ICOM-HA-VPI-XTRM-8vCPU-PRSTNT-PM</v>
          </cell>
        </row>
        <row r="36">
          <cell r="J36" t="str">
            <v>ICOM-HA-VPI-PRM-16vCPU-16GBRAM-50GBSAN-SHM</v>
          </cell>
        </row>
        <row r="37">
          <cell r="J37" t="str">
            <v>ICOM-HA-VPI-PRM-16vCPU-PRSTNT-PM</v>
          </cell>
        </row>
        <row r="39">
          <cell r="J39" t="str">
            <v>ICOM-vCPU-Per CPU</v>
          </cell>
        </row>
        <row r="40">
          <cell r="J40" t="str">
            <v>ICOM-vRAM-Per GB</v>
          </cell>
        </row>
        <row r="42">
          <cell r="J42" t="str">
            <v>ICOM-MDS-XPND-1CPU-MULTICORE-4GBRAM-SHM</v>
          </cell>
        </row>
        <row r="43">
          <cell r="J43" t="str">
            <v>ICOM-MDS-MAX-2CPU-MULTICORE-8GBRAM-SHM</v>
          </cell>
        </row>
        <row r="44">
          <cell r="J44" t="str">
            <v>ICOM-MDS-XTRM-4CPU-MULTICORE-48GBRAM-SHM</v>
          </cell>
        </row>
        <row r="46">
          <cell r="J46" t="str">
            <v>ICOM-MDS-RAM-ADD-4GB</v>
          </cell>
        </row>
        <row r="47">
          <cell r="J47" t="str">
            <v>ICOM-MDS-HDD-ADD-64/100/200</v>
          </cell>
        </row>
        <row r="49">
          <cell r="J49" t="str">
            <v>ISTR-ENHNTIER-100GB-500 GB-PERGB</v>
          </cell>
        </row>
        <row r="50">
          <cell r="J50" t="str">
            <v>ISTR-ENHNTIER-500GB-1TB-PERGB</v>
          </cell>
        </row>
        <row r="51">
          <cell r="J51" t="str">
            <v>ISTR-ENHNTIER-1TB-2TB-PERGB</v>
          </cell>
        </row>
        <row r="52">
          <cell r="J52" t="str">
            <v>ISTR-ENHNTIER-2TB–5TB-PERGB</v>
          </cell>
        </row>
        <row r="53">
          <cell r="J53" t="str">
            <v>ISTR-ENHNTIER-&gt;5TB-PERGB</v>
          </cell>
        </row>
        <row r="54">
          <cell r="J54" t="str">
            <v>ISTR-ENHNTIER-ADD-ON-PER25GB-PM</v>
          </cell>
        </row>
        <row r="56">
          <cell r="J56" t="str">
            <v>ISTR-STNDTIER-100GB-500 GB-PERGB</v>
          </cell>
        </row>
        <row r="57">
          <cell r="J57" t="str">
            <v>ISTR-STNDTIER-500GB-1TB-PERGB</v>
          </cell>
        </row>
        <row r="58">
          <cell r="J58" t="str">
            <v>ISTR-STNDTIER-1TB-2TB-PERGB</v>
          </cell>
        </row>
        <row r="59">
          <cell r="J59" t="str">
            <v>ISTR-STNDTIER-2TB–5TB-PERGB</v>
          </cell>
        </row>
        <row r="60">
          <cell r="J60" t="str">
            <v>ISTR-STNDTIER-&gt;5TB-PERGB</v>
          </cell>
        </row>
        <row r="61">
          <cell r="J61" t="str">
            <v>ISTR-STNDTIER-ADD-ON-PER25GB-PM</v>
          </cell>
        </row>
        <row r="63">
          <cell r="J63" t="str">
            <v>ISTR-ECNMTIER-100GB-500 GB-PERGB</v>
          </cell>
        </row>
        <row r="64">
          <cell r="J64" t="str">
            <v>ISTR-ECNMTIER-500GB-1TB-PERGB</v>
          </cell>
        </row>
        <row r="65">
          <cell r="J65" t="str">
            <v>ISTR-ECNMTIER-1TB-2TB-PERGB</v>
          </cell>
        </row>
        <row r="66">
          <cell r="J66" t="str">
            <v>ISTR-ECNMTIER-2TB–5TB-PERGB</v>
          </cell>
        </row>
        <row r="67">
          <cell r="J67" t="str">
            <v>ISTR-ECNMTIER-&gt;5TB-PERGB</v>
          </cell>
        </row>
        <row r="68">
          <cell r="J68" t="str">
            <v>ISTR-ECNMTIER-ADD-ON-PER25GB-PM</v>
          </cell>
        </row>
        <row r="70">
          <cell r="J70" t="str">
            <v>ISTR-NAS-ENHNTIER-100GB-500 GB-PERGB</v>
          </cell>
        </row>
        <row r="71">
          <cell r="J71" t="str">
            <v>ISTR-NAS-ENHNTIER-500GB-1TB-PERGB</v>
          </cell>
        </row>
        <row r="72">
          <cell r="J72" t="str">
            <v>ISTR-NAS-ENHNTIER-1TB-2TB-PERGB</v>
          </cell>
        </row>
        <row r="73">
          <cell r="J73" t="str">
            <v>ISTR-NAS-ENHNTIER-2TB–5TB-PERGB</v>
          </cell>
        </row>
        <row r="74">
          <cell r="J74" t="str">
            <v>ISTR-NAS-ENHNTIER-&gt;5TB-PERGB</v>
          </cell>
        </row>
        <row r="75">
          <cell r="J75" t="str">
            <v>ISTR-NAS-ENHNTIER-ADD-ON-PER25GB-PM</v>
          </cell>
        </row>
        <row r="77">
          <cell r="J77" t="str">
            <v>ISTR-NAS-ENHNTIER-100GB-500 GB-PERGB</v>
          </cell>
        </row>
        <row r="78">
          <cell r="J78" t="str">
            <v>ISTR-NAS-STNDTIER-500GB-1TB-PERGB</v>
          </cell>
        </row>
        <row r="79">
          <cell r="J79" t="str">
            <v>ISTR-NAS-STNDTIER-1TB-2TB-PERGB</v>
          </cell>
        </row>
        <row r="80">
          <cell r="J80" t="str">
            <v>ISTR-NAS-STNDTIER-2TB–5TB-PERGB</v>
          </cell>
        </row>
        <row r="81">
          <cell r="J81" t="str">
            <v>ISTR-NAS-STNDTIER-&gt; 5TB-PERGB</v>
          </cell>
        </row>
        <row r="82">
          <cell r="J82" t="str">
            <v>ISTR-NAS-STNDTIER-ADD-ON-PER25GB-PM</v>
          </cell>
        </row>
        <row r="84">
          <cell r="J84" t="str">
            <v>ISTR-FCSANFABIC-2FC-PERHOST</v>
          </cell>
        </row>
        <row r="85">
          <cell r="J85" t="str">
            <v>ISTR-IPSANFABIC-2ISCSI-PERHOST</v>
          </cell>
        </row>
        <row r="87">
          <cell r="J87" t="str">
            <v>PAAS-VPS-VPI-WIN-03-STD-x86-AV-POS</v>
          </cell>
        </row>
        <row r="88">
          <cell r="J88" t="str">
            <v>PAAS-VPS-VPI-WIN-03-ENT-x86-AV-POS</v>
          </cell>
        </row>
        <row r="89">
          <cell r="J89" t="str">
            <v>PAAS-VPS-VPI-WIN-03-STD-x64-AV-POS</v>
          </cell>
        </row>
        <row r="90">
          <cell r="J90" t="str">
            <v>PAAS-VPS-VPI-WIN-03-ENT-x64-AV-POS</v>
          </cell>
        </row>
        <row r="91">
          <cell r="J91" t="str">
            <v>PAAS-VPS-VPI-WIN-08-STD-x86-AV-POS</v>
          </cell>
        </row>
        <row r="92">
          <cell r="J92" t="str">
            <v>PAAS-VPS-VPI-WIN-08-ENT-x86-AV-POS</v>
          </cell>
        </row>
        <row r="93">
          <cell r="J93" t="str">
            <v>PAAS-VPS-VPI-WIN-08-STD-x64-AV-POS</v>
          </cell>
        </row>
        <row r="94">
          <cell r="J94" t="str">
            <v>PAAS-VPS-VPI-WIN-08-ENT-x64-AV-POS</v>
          </cell>
        </row>
        <row r="95">
          <cell r="J95" t="str">
            <v>PAAS-WIN-STD-32/64-AV-PERPROC</v>
          </cell>
        </row>
        <row r="96">
          <cell r="J96" t="str">
            <v>PAAS-WIN-ENT-32/64-AV-PERPROC</v>
          </cell>
        </row>
        <row r="97">
          <cell r="J97" t="str">
            <v>PAAS-WIN-DC-32/64-AV-PERPROC</v>
          </cell>
        </row>
        <row r="98">
          <cell r="J98" t="str">
            <v>PAAS-VPS-VPI-LNX-ENT-32/64-POS</v>
          </cell>
        </row>
        <row r="99">
          <cell r="J99" t="str">
            <v>PAAS-VPS-VPI-LNX-6.1-32-POS</v>
          </cell>
        </row>
        <row r="100">
          <cell r="J100" t="str">
            <v>PAAS-VPS-VPI-LNX-6.1-64-POS</v>
          </cell>
        </row>
        <row r="101">
          <cell r="J101" t="str">
            <v>PAAS-VPS-VPI-LNX-5.6-32-POS</v>
          </cell>
        </row>
        <row r="102">
          <cell r="J102" t="str">
            <v>PAAS-VPS-VPI-LNX-5.6-64-POS</v>
          </cell>
        </row>
        <row r="103">
          <cell r="J103" t="str">
            <v>PAAS-LNX-ENT-32/64-POS</v>
          </cell>
        </row>
        <row r="104">
          <cell r="J104" t="str">
            <v>PAAS-CENT-5.5-32/64-POS</v>
          </cell>
        </row>
        <row r="105">
          <cell r="J105" t="str">
            <v>PAAS-VPS-VPI-CENT-5.5-32-POS</v>
          </cell>
        </row>
        <row r="106">
          <cell r="J106" t="str">
            <v>PAAS-VPS-VPI-CENT-5.5-64-POS</v>
          </cell>
        </row>
        <row r="107">
          <cell r="J107" t="str">
            <v>PAAS-UBUNTU-11.4-64-POS</v>
          </cell>
        </row>
        <row r="109">
          <cell r="J109" t="str">
            <v>PAAS-VPS-VPI-SQL-STD-ENT-PDB</v>
          </cell>
        </row>
        <row r="110">
          <cell r="J110" t="str">
            <v>PAAS-SQL-08-STD-x86-WIN-08-STD-x86-AV-PDB</v>
          </cell>
        </row>
        <row r="111">
          <cell r="J111" t="str">
            <v>PAAS-SQL-08-STD-x86-WIN-08-STD-x64-AV-PDB</v>
          </cell>
        </row>
        <row r="112">
          <cell r="J112" t="str">
            <v>PAAS-SQL-08-STD-x86-WIN-08-ENT-x86-AV-PDB</v>
          </cell>
        </row>
        <row r="113">
          <cell r="J113" t="str">
            <v>PAAS-SQL-08-STD-x86-WIN-08-ENT-x64-AV-PDB</v>
          </cell>
        </row>
        <row r="114">
          <cell r="J114" t="str">
            <v>PAAS-SQL-08-STD-x64-WIN-08-STD-x64-AV-PDB</v>
          </cell>
        </row>
        <row r="115">
          <cell r="J115" t="str">
            <v>PAAS-SQL-08-STD-x64-WIN-08-ENT-x64-AV-PDB</v>
          </cell>
        </row>
        <row r="116">
          <cell r="J116" t="str">
            <v>PAAS-SQL-08-ENT-x86-WIN-08-ENT-x86-AV-PDB</v>
          </cell>
        </row>
        <row r="117">
          <cell r="J117" t="str">
            <v>PAAS-SQL-08-ENT-x86-WIN-08-ENT-x64-AV-PDB</v>
          </cell>
        </row>
        <row r="118">
          <cell r="J118" t="str">
            <v>PAAS-SQL-08-ENT-x64-WIN-08-ENT-x64-AV-PDB</v>
          </cell>
        </row>
        <row r="119">
          <cell r="J119" t="str">
            <v>PAAS-MS-SQL-STD-PERPROC</v>
          </cell>
        </row>
        <row r="120">
          <cell r="J120" t="str">
            <v>PAAS-MS-SQL-ENT-PERPROC</v>
          </cell>
        </row>
        <row r="121">
          <cell r="J121" t="str">
            <v>PAAS-MS-SQL-WRG-PERPROC</v>
          </cell>
        </row>
        <row r="122">
          <cell r="J122" t="str">
            <v>PAAS-MS-SQL-WEB-PERPROC</v>
          </cell>
        </row>
        <row r="124">
          <cell r="J124" t="str">
            <v>PAAS-MYSQL-32-64-PERPROC</v>
          </cell>
        </row>
        <row r="125">
          <cell r="J125" t="str">
            <v>PAAS-MYSQL-5.5-WIN-08-STD-x86-AV-PDB</v>
          </cell>
        </row>
        <row r="126">
          <cell r="J126" t="str">
            <v>PAAS-MYSQL-5.5-WIN-08-STD-x64-AV-PDB</v>
          </cell>
        </row>
        <row r="127">
          <cell r="J127" t="str">
            <v>PAAS-MYSQL-5.5-CENT-5.5-32-PDB</v>
          </cell>
        </row>
        <row r="128">
          <cell r="J128" t="str">
            <v>PAAS-MYSQL-5.5-CENT-5.5-64-PDB</v>
          </cell>
        </row>
        <row r="129">
          <cell r="J129" t="str">
            <v>PAAS-MYSQL-5.5-LNX-5.6-32-PDB</v>
          </cell>
        </row>
        <row r="130">
          <cell r="J130" t="str">
            <v>PAAS-MYSQL-5.5-LNX-5.6-64-PDB</v>
          </cell>
        </row>
        <row r="131">
          <cell r="J131" t="str">
            <v>PAAS-MYSQL-5.5-LNX-6.1-32-PDB</v>
          </cell>
        </row>
        <row r="132">
          <cell r="J132" t="str">
            <v>PAAS-MYSQL-5.5-LNX-6.1-64-PDB</v>
          </cell>
        </row>
        <row r="134">
          <cell r="J134" t="str">
            <v>PAAS-MS-SHAREPOINT-INTERNET</v>
          </cell>
        </row>
        <row r="135">
          <cell r="J135" t="str">
            <v>PAAS-MS-FOREFRONT-TMG-ENT-PER PROC</v>
          </cell>
        </row>
        <row r="136">
          <cell r="J136" t="str">
            <v>PAAS-MS-WIN-RDS- PER SAL</v>
          </cell>
        </row>
        <row r="137">
          <cell r="J137" t="str">
            <v>PAAS-OTHER-SOFTWARE</v>
          </cell>
        </row>
        <row r="139">
          <cell r="J139" t="str">
            <v>PAAS-VMWARE-ESX-STD-PERVRAM</v>
          </cell>
        </row>
        <row r="140">
          <cell r="J140" t="str">
            <v>PAAS-VMWARE-ESX-PMR-PERVRAM</v>
          </cell>
        </row>
        <row r="142">
          <cell r="J142" t="str">
            <v>ISEC-VFW-IPS-100MBPS-100POLICIES</v>
          </cell>
        </row>
        <row r="143">
          <cell r="J143" t="str">
            <v>ISEC-OTHER-DEDICATED EQUIPMENT</v>
          </cell>
        </row>
        <row r="145">
          <cell r="J145" t="str">
            <v>PAAS-AV-WINOS-POS</v>
          </cell>
        </row>
        <row r="146">
          <cell r="J146" t="str">
            <v>PAAS-AV-LNXOS-POS</v>
          </cell>
        </row>
        <row r="147">
          <cell r="J147" t="str">
            <v>PAAS- SSLCERT-PERDOMAIN</v>
          </cell>
        </row>
        <row r="149">
          <cell r="J149" t="str">
            <v>ISEC-2FACTOR-RSA-M&amp;M-10USERPACK</v>
          </cell>
        </row>
        <row r="150">
          <cell r="J150" t="str">
            <v>ISEC-2FACTOR-RSA-M&amp;M-15USERPACK</v>
          </cell>
        </row>
        <row r="151">
          <cell r="J151" t="str">
            <v>ISEC-2FACTOR-RSA-M&amp;M-50USERPACK</v>
          </cell>
        </row>
        <row r="152">
          <cell r="J152" t="str">
            <v>ISEC-2FACTOR-RSA-M&amp;M-100USERPACK</v>
          </cell>
        </row>
        <row r="154">
          <cell r="J154" t="str">
            <v>INET-DDOS-NM-10-50Mbps</v>
          </cell>
        </row>
        <row r="155">
          <cell r="J155" t="str">
            <v>INET-DDOS-NM-51-100Mbps</v>
          </cell>
        </row>
        <row r="156">
          <cell r="J156" t="str">
            <v>INET-DDOS-NM-101-200Mbps</v>
          </cell>
        </row>
        <row r="157">
          <cell r="J157" t="str">
            <v>INET-DDOS-NM-201-500Mbps</v>
          </cell>
        </row>
        <row r="159">
          <cell r="J159" t="str">
            <v>INET-VPDC-SHIELD-ST</v>
          </cell>
        </row>
        <row r="160">
          <cell r="J160" t="str">
            <v>INET-VPDC-SHIELD-2T</v>
          </cell>
        </row>
        <row r="161">
          <cell r="J161" t="str">
            <v>INET-VPDC-ASSURE-ST</v>
          </cell>
        </row>
        <row r="162">
          <cell r="J162" t="str">
            <v>INET-VPDC-ASSURE-2T</v>
          </cell>
        </row>
        <row r="163">
          <cell r="J163" t="str">
            <v>INET-VPDC-ASSURE-3T</v>
          </cell>
        </row>
        <row r="165">
          <cell r="J165" t="str">
            <v>INET-VROUTER-PERPORT</v>
          </cell>
        </row>
        <row r="166">
          <cell r="J166" t="str">
            <v>INET-MLLB-1VIP-5RIP-PERPORT</v>
          </cell>
        </row>
        <row r="167">
          <cell r="J167" t="str">
            <v>INET-VLLB-100MBPS-2VIP-20RIP-40000CS-PERPORT</v>
          </cell>
        </row>
        <row r="168">
          <cell r="J168" t="str">
            <v>INET-VLLB-ADD-2VIP-10RIP-10000CS-PERPORT</v>
          </cell>
        </row>
        <row r="169">
          <cell r="J169" t="str">
            <v>INET-VSSLACCEL-100MBPS-2VIP-20RIP-40000CS-PERPORT</v>
          </cell>
        </row>
        <row r="170">
          <cell r="J170" t="str">
            <v>INET-GSLB-1D-2VS-RS-PERPORT</v>
          </cell>
        </row>
        <row r="171">
          <cell r="J171" t="str">
            <v>INET-SWITCH-PERPORT</v>
          </cell>
        </row>
        <row r="172">
          <cell r="J172" t="str">
            <v>INET-vLAN-PVLAN</v>
          </cell>
        </row>
        <row r="173">
          <cell r="J173" t="str">
            <v>INET-EXTIP-1IP</v>
          </cell>
        </row>
        <row r="174">
          <cell r="J174" t="str">
            <v>INET-EXDNS-1DOMAIN- UTD RECORDS</v>
          </cell>
        </row>
        <row r="175">
          <cell r="J175" t="str">
            <v>INET-OTHER-DEDICATED EQUIPMENT</v>
          </cell>
        </row>
        <row r="177">
          <cell r="J177" t="str">
            <v>INET-DT-50GB-2Mbps CIR</v>
          </cell>
        </row>
        <row r="178">
          <cell r="J178" t="str">
            <v>INET-DT-100GB-15Mbps-CIR</v>
          </cell>
        </row>
        <row r="179">
          <cell r="J179" t="str">
            <v>INET-DT-250GB-24Mbps-CIR</v>
          </cell>
        </row>
        <row r="180">
          <cell r="J180" t="str">
            <v>INET-DT-251TO1000GB-PERGB-45Mbps-CIR</v>
          </cell>
        </row>
        <row r="181">
          <cell r="J181" t="str">
            <v>INET-DT-1001TO2500GB-PERGB-100Mbps-CIR</v>
          </cell>
        </row>
        <row r="182">
          <cell r="J182" t="str">
            <v>INET-DT-2501TO5000GB-PERGB-100Mbps-CIR</v>
          </cell>
        </row>
        <row r="183">
          <cell r="J183" t="str">
            <v>INET-DT-5001TO10000GB-PERGB-100Mbps-CIR</v>
          </cell>
        </row>
        <row r="184">
          <cell r="J184" t="str">
            <v>INET-DT-10001GBTO-50000-PERGB-100Mbps-CIR</v>
          </cell>
        </row>
        <row r="185">
          <cell r="J185" t="str">
            <v>INET-DT-OVER50001GB-PERGB</v>
          </cell>
        </row>
        <row r="186">
          <cell r="J186" t="str">
            <v>INET-DT-OVERAGE-PERGB</v>
          </cell>
        </row>
        <row r="187">
          <cell r="J187" t="str">
            <v>INET-IBW-1:1-512 Kbps</v>
          </cell>
        </row>
        <row r="188">
          <cell r="J188" t="str">
            <v>INET-IBW-1:1-PERMBPS</v>
          </cell>
        </row>
        <row r="189">
          <cell r="J189" t="str">
            <v>INET-IBW-BURST-2-4MBPS</v>
          </cell>
        </row>
        <row r="190">
          <cell r="J190" t="str">
            <v>INET-IBW-BURST-4-8MBPS</v>
          </cell>
        </row>
        <row r="191">
          <cell r="J191" t="str">
            <v>INET-IBW-BURST-8-16MBPS</v>
          </cell>
        </row>
        <row r="192">
          <cell r="J192" t="str">
            <v>INET-IBW-BURST-16-32MBPS</v>
          </cell>
        </row>
        <row r="193">
          <cell r="J193" t="str">
            <v>INET-IBW-BURST-32-64MBPS</v>
          </cell>
        </row>
        <row r="194">
          <cell r="J194" t="str">
            <v>INET-IBW-BURST-64-128MBPS</v>
          </cell>
        </row>
        <row r="195">
          <cell r="J195" t="str">
            <v>INET-IBW-OVERAGE-PERMBPS-PM</v>
          </cell>
        </row>
        <row r="197">
          <cell r="J197" t="str">
            <v>INET-RVPN-SRC-512KbpsPort-10UserPack</v>
          </cell>
        </row>
        <row r="198">
          <cell r="J198" t="str">
            <v>INET-RVPN-SRC-512KbpsPort-25UserPack</v>
          </cell>
        </row>
        <row r="199">
          <cell r="J199" t="str">
            <v>INET-RVPN-SRC-2MbpsPort-50UserPack</v>
          </cell>
        </row>
        <row r="200">
          <cell r="J200" t="str">
            <v>INET-RVPN-SRC-2MbpsPort-100UserPack</v>
          </cell>
        </row>
        <row r="201">
          <cell r="J201" t="str">
            <v>INET-RVPN-SRC-4MbpsPort-250UserPack</v>
          </cell>
        </row>
        <row r="203">
          <cell r="J203" t="str">
            <v>INET-RVPN-SSC-256Kbps-MPLS</v>
          </cell>
        </row>
        <row r="204">
          <cell r="J204" t="str">
            <v>INET-RVPN-SSC-512Kbps-MPLS</v>
          </cell>
        </row>
        <row r="205">
          <cell r="J205" t="str">
            <v>INET-RVPN-SSC-1024Kbps-MPLS</v>
          </cell>
        </row>
        <row r="206">
          <cell r="J206" t="str">
            <v>INET-RVPN-SSC-2048Kbps-MPLS</v>
          </cell>
        </row>
        <row r="208">
          <cell r="J208" t="str">
            <v>IPTC-BKP-100GB-DT-PM-DD-WF-R14D-UTDLICENSE</v>
          </cell>
        </row>
        <row r="209">
          <cell r="J209" t="str">
            <v>IPTC-BKP-250GB-DT-PM-DD-WF-R14D-UTDLICENSE</v>
          </cell>
        </row>
        <row r="210">
          <cell r="J210" t="str">
            <v>IPTC-BKP-500GB-DT-PM-DD-WF-R14D-UTDLICENSE</v>
          </cell>
        </row>
        <row r="211">
          <cell r="J211" t="str">
            <v>IPTC-BKP-1000GB-DT-PM-UTDLICENSE</v>
          </cell>
        </row>
        <row r="212">
          <cell r="J212" t="str">
            <v>IPTC-BKP-1001TO2000GB-DT-PM-PGB-UTDLICENSE</v>
          </cell>
        </row>
        <row r="213">
          <cell r="J213" t="str">
            <v>IPTC-BKP-2001TO5000GB-DT-PM-PGB-UTDLICENSE</v>
          </cell>
        </row>
        <row r="214">
          <cell r="J214" t="str">
            <v>IPTC-BKP-5001TO10000GB-DT-PM-PGB-UTDLICENSE</v>
          </cell>
        </row>
        <row r="215">
          <cell r="J215" t="str">
            <v>IPTC-BKP-10001TO15000GB-DT-PM-PGB-UTDLICENSE</v>
          </cell>
        </row>
        <row r="216">
          <cell r="J216" t="str">
            <v>IPTC-BKP-OVERAGE-25GB-MULTIPLES-DT-PM</v>
          </cell>
        </row>
        <row r="218">
          <cell r="J218" t="str">
            <v>IPTC-BKP-EXRTN-1M-1500 GB-MULTIPLES-PERANNUM</v>
          </cell>
        </row>
        <row r="219">
          <cell r="J219" t="str">
            <v>IPTC-BKP-EXRTN-1Y-1500 GB-MULTIPLES-PERANNUM</v>
          </cell>
        </row>
        <row r="220">
          <cell r="J220" t="str">
            <v>IPTC-BKP-REMOTE SITE COPY-PERGB PER MONTH</v>
          </cell>
        </row>
        <row r="222">
          <cell r="J222" t="str">
            <v>IPTC-BKP-ENCRT-100GB-DT-PM-DD-WF-R14D-UTDLICENSE-PA</v>
          </cell>
        </row>
        <row r="223">
          <cell r="J223" t="str">
            <v>IPTC-BKP-ENCRT-2500GB-DT-PM-DD-WF-R14D-UTDLICENSE-PA</v>
          </cell>
        </row>
        <row r="224">
          <cell r="J224" t="str">
            <v>IPTC-BKP-ENCRT-500GB-DT-PM-DD-WF-R14D-UTDLICENSE-PA</v>
          </cell>
        </row>
        <row r="225">
          <cell r="J225" t="str">
            <v>IPTC-BKP-ENCRT-1000GB-DT-PM-UTDLICENSE-PA</v>
          </cell>
        </row>
        <row r="226">
          <cell r="J226" t="str">
            <v>IPTC-BKP-ENCRT-1001TO2000GB-DT-PM-PGB-UTDLICENSE-PA</v>
          </cell>
        </row>
        <row r="227">
          <cell r="J227" t="str">
            <v>IPTC-BKP-ENCRT-2001TO5000GB-DT-PM-PGB-UTDLICENSE-PA</v>
          </cell>
        </row>
        <row r="228">
          <cell r="J228" t="str">
            <v>IPTC-BKP-ENCRT-5001TO10000GB-DT-PM-PGB-UTDLICENSE-PA</v>
          </cell>
        </row>
        <row r="229">
          <cell r="J229" t="str">
            <v>IPTC-BKP-ENCRT-10001TO15000GB-DT-PM-PGB-UTDLICENSE-PA</v>
          </cell>
        </row>
        <row r="230">
          <cell r="J230" t="str">
            <v>IPTC-BKP-ENCRT-OVERAGE-25GB-MULTIPLES-DT-PM</v>
          </cell>
        </row>
        <row r="232">
          <cell r="J232" t="str">
            <v>IANLTCS-AIA-SHM-PER SERV</v>
          </cell>
        </row>
        <row r="233">
          <cell r="J233" t="str">
            <v>IANLTCS-AIA-OSR-PER OS</v>
          </cell>
        </row>
        <row r="234">
          <cell r="J234" t="str">
            <v>IANLTCS-AIA-DBR-PER DB</v>
          </cell>
        </row>
        <row r="235">
          <cell r="J235" t="str">
            <v>IANLTCS-AIA-WEB SERV-PER  APPS</v>
          </cell>
        </row>
        <row r="236">
          <cell r="J236" t="str">
            <v>IANLTCS-AIA-ADD-ON-REPORTS-PER25PACK</v>
          </cell>
        </row>
        <row r="238">
          <cell r="J238" t="str">
            <v>IANLTCS-AIA-EUE-STD-PER URL</v>
          </cell>
        </row>
        <row r="239">
          <cell r="J239" t="str">
            <v>IANLTCS-AIA-EUE-SSL-ADDON-PER SITE</v>
          </cell>
        </row>
        <row r="240">
          <cell r="J240" t="str">
            <v>IANLTCS-AIA-EUE-ADV DIAGNOSTIC-PER SITE</v>
          </cell>
        </row>
        <row r="241">
          <cell r="J241" t="str">
            <v>IANLTCS-AIA-ADV DIAGNOSTIC-WEBAPPS-PER SRV</v>
          </cell>
        </row>
        <row r="242">
          <cell r="J242" t="str">
            <v>IANLTCS-AIA-ADV DIAGNOSTIC-JAVA/.NET-PER SRV</v>
          </cell>
        </row>
        <row r="244">
          <cell r="J244" t="str">
            <v>IANLTCS-AIA-ADV DIAGNOSTIC-NETWORK-PER 2 NODES</v>
          </cell>
        </row>
        <row r="246">
          <cell r="J246" t="str">
            <v>IANLTCS-AIA-AMS-PER 'x' XF MEASUREMENT</v>
          </cell>
        </row>
        <row r="247">
          <cell r="J247" t="str">
            <v>IANLTCS-AIA-WLPT-PER X VIRTUAL USER HOUR</v>
          </cell>
        </row>
        <row r="249">
          <cell r="J249" t="str">
            <v>CI-PS-CONSULTING-L1-PERMANDAY</v>
          </cell>
        </row>
        <row r="250">
          <cell r="J250" t="str">
            <v>CI-PS-CONSULTING-L2-PERMANDAY</v>
          </cell>
        </row>
        <row r="251">
          <cell r="J251" t="str">
            <v>CI-PS-CONSULTING-L3-PERMANDAY</v>
          </cell>
        </row>
        <row r="252">
          <cell r="J252" t="str">
            <v>CI-PS-PROGMGMT-L1-PERMANDAY</v>
          </cell>
        </row>
        <row r="253">
          <cell r="J253" t="str">
            <v>CI-PS-PROGMGMT-L2-PERMANDAY</v>
          </cell>
        </row>
        <row r="254">
          <cell r="J254" t="str">
            <v>CI-PS-PROGMGMT-L3-PERMANDAY</v>
          </cell>
        </row>
        <row r="255">
          <cell r="J255" t="str">
            <v>CI-PS-FACILITYMGMT-L1-PERMANDAY</v>
          </cell>
        </row>
        <row r="256">
          <cell r="J256" t="str">
            <v>CI-PS-FACILITYMGMT-L2-PERMANDAY</v>
          </cell>
        </row>
        <row r="257">
          <cell r="J257" t="str">
            <v>CI-PS-FACILITYMGMT-L3-PERMANDAY</v>
          </cell>
        </row>
        <row r="258">
          <cell r="J258" t="str">
            <v>CI-PS-AUDIT-BASIC-PER MAN DAY</v>
          </cell>
        </row>
        <row r="259">
          <cell r="J259" t="str">
            <v>CI-PS-AUDIT-ADVANCED-PER MAN DAY</v>
          </cell>
        </row>
        <row r="261">
          <cell r="J261" t="str">
            <v>CI-MITS-ENGAGEMENT MGMNT-PER SETUP</v>
          </cell>
        </row>
        <row r="262">
          <cell r="J262" t="str">
            <v>CI-MITS-SMART-REMOTE SUPPORT-6RQST-PER QTR -PER SERVER -PA</v>
          </cell>
        </row>
        <row r="263">
          <cell r="J263" t="str">
            <v>CI-MITS-OS-WIN-PROFICIENT-1-OS</v>
          </cell>
        </row>
        <row r="264">
          <cell r="J264" t="str">
            <v>CI-MITS-OS-LNX-PROFICIENT-1-OS</v>
          </cell>
        </row>
        <row r="265">
          <cell r="J265" t="str">
            <v>CI-MITS-OS-SOLARIS-PROFICIENT-1-OS</v>
          </cell>
        </row>
        <row r="266">
          <cell r="J266" t="str">
            <v>CI-MITS-OS-AIX-PROFICIENT-1-OS</v>
          </cell>
        </row>
        <row r="267">
          <cell r="J267" t="str">
            <v>CI-MITS-OS-HP-UX-PROFICIENT-1-OS</v>
          </cell>
        </row>
        <row r="269">
          <cell r="J269" t="str">
            <v>CI-MITS-DB-MSSQL-PROFICIENT-1-DB</v>
          </cell>
        </row>
        <row r="270">
          <cell r="J270" t="str">
            <v>CI-MITS-DB-MYSQL-PROFICIENT-1-DB</v>
          </cell>
        </row>
        <row r="271">
          <cell r="J271" t="str">
            <v>CI-MITS-DB-ORACLE-PROFICIENT-1-DB</v>
          </cell>
        </row>
        <row r="273">
          <cell r="J273" t="str">
            <v>CI-MITS-VIRTUALIZATION-VMWARE-PROFICIENT-1-VS</v>
          </cell>
        </row>
        <row r="274">
          <cell r="J274" t="str">
            <v>CI-MITS-VIRTUALIZATION-XEN-PROFICIENT-1-VS</v>
          </cell>
        </row>
        <row r="275">
          <cell r="J275" t="str">
            <v>CI-MITS-VIRTUALIZATION-HYPERV-PROFICIENT-1-VS</v>
          </cell>
        </row>
        <row r="276">
          <cell r="J276" t="str">
            <v>CI-MITS-VIRTUALIZATION-RHEV-PROFICIENT-1-VS</v>
          </cell>
        </row>
        <row r="278">
          <cell r="J278" t="str">
            <v>CI-MITS-EMAIL-MSEX-PROFICIENT-1-ESRV</v>
          </cell>
        </row>
        <row r="279">
          <cell r="J279" t="str">
            <v>CI-MITS-EMAIL-QMAIL-PROFICIENT-1-ESRV</v>
          </cell>
        </row>
        <row r="280">
          <cell r="J280" t="str">
            <v>CI-MITS-EMAIL-POSTFIX-PROFICIENT-1-ESRV</v>
          </cell>
        </row>
        <row r="281">
          <cell r="J281" t="str">
            <v>CI-MITS-EMAIL-LOTUSNOTES-PROFICIENT-1-ESRV</v>
          </cell>
        </row>
        <row r="283">
          <cell r="J283" t="str">
            <v>CI-MITS-SEC-LE-FIREWALL-PROFICIENT-1-FIREWALL</v>
          </cell>
        </row>
        <row r="284">
          <cell r="J284" t="str">
            <v>CI-MITS-SEC-ME-FIREWALL-PROFICIENT-1-FIREWALL</v>
          </cell>
        </row>
        <row r="285">
          <cell r="J285" t="str">
            <v>CI-MITS-SEC-HE-FIREWALL-PROFICIENT-1-FIREWALL</v>
          </cell>
        </row>
        <row r="286">
          <cell r="J286" t="str">
            <v>CI-MITS-SEC-IPSIDS-PROFICIENT-1-IPSIDS</v>
          </cell>
        </row>
        <row r="287">
          <cell r="J287" t="str">
            <v>CI-MITS-SEC-FORTKNOX-PROFICIENT-1-SVR</v>
          </cell>
        </row>
        <row r="289">
          <cell r="J289" t="str">
            <v>CI-MITS-AM-WEBSERVER-PROFICIENT-1-APP</v>
          </cell>
        </row>
        <row r="290">
          <cell r="J290" t="str">
            <v>CI-MITS-AM-JBOSS-PROFICIENT-1-APP</v>
          </cell>
        </row>
        <row r="291">
          <cell r="J291" t="str">
            <v>CI-MITS-AM-IISSERVER-PROFICIENT-1-APP</v>
          </cell>
        </row>
        <row r="292">
          <cell r="J292" t="str">
            <v>CI-MITS-AM-MSFOREFRONT-PROFICIENT-1-APP</v>
          </cell>
        </row>
        <row r="293">
          <cell r="J293" t="str">
            <v>CI-MITS-AM-ACTIVEDIR-PROFICIENT-1-APP</v>
          </cell>
        </row>
        <row r="294">
          <cell r="J294" t="str">
            <v>CI-MITS-AM-DNS-PROFICIENT-1-APP</v>
          </cell>
        </row>
        <row r="296">
          <cell r="J296" t="str">
            <v>CI-MITS-AM-CITRIX-PROFICIENT-1-APP</v>
          </cell>
        </row>
        <row r="297">
          <cell r="J297" t="str">
            <v>CI-MITS-AM-WEBLOGIC-PROFICIENT-1-APP</v>
          </cell>
        </row>
        <row r="298">
          <cell r="J298" t="str">
            <v>CI-MITS-AM-WEBSPHERE-PROFICIENT-1-APP</v>
          </cell>
        </row>
        <row r="300">
          <cell r="J300" t="str">
            <v>CI-MITS-NW-HARDWARE-LB-APP-PROFICIENT-1-AP</v>
          </cell>
        </row>
        <row r="301">
          <cell r="J301" t="str">
            <v>CI-MITS-NW-HARDWARE-LB-LINK-PROFICIENT-1-LINK</v>
          </cell>
        </row>
        <row r="302">
          <cell r="J302" t="str">
            <v>CI-MITS-NW-LE-SWITCH-PROFICIENT-1-SWITCH</v>
          </cell>
        </row>
        <row r="303">
          <cell r="J303" t="str">
            <v>CI-MITS-NW-ME-SWITCH-PROFICIENT-1-SWITCH</v>
          </cell>
        </row>
        <row r="304">
          <cell r="J304" t="str">
            <v>CI-MITS-NW-HE-SWITCH-PROFICIENT-1-SWITCH</v>
          </cell>
        </row>
        <row r="305">
          <cell r="J305" t="str">
            <v>CI-MITS-NW-LE-ROUTER-PROFICIENT-1-ROUTER</v>
          </cell>
        </row>
        <row r="306">
          <cell r="J306" t="str">
            <v>CI-MITS-NW-ME-ROUTER-PROFICIENT-1-ROUTER</v>
          </cell>
        </row>
        <row r="307">
          <cell r="J307" t="str">
            <v>CI-MITS-NW-HE-ROUTER-PROFICIENT-1-ROUTER</v>
          </cell>
        </row>
        <row r="309">
          <cell r="J309" t="str">
            <v>DC-VAS-DFW-JUNIPER-SRX-240-PDEVICE</v>
          </cell>
        </row>
        <row r="310">
          <cell r="J310" t="str">
            <v>DC-VAS-DUTM-FORTINET-F50B-PDEVICE</v>
          </cell>
        </row>
        <row r="311">
          <cell r="J311" t="str">
            <v>DC-VAS-DNIPS-McAfee-2750-600Mbps-PDEVICE</v>
          </cell>
        </row>
        <row r="312">
          <cell r="J312" t="str">
            <v>DC-VAS-HIPS-McAfee-HIPS-WIN-LNX-PHOST</v>
          </cell>
        </row>
        <row r="314">
          <cell r="J314" t="str">
            <v>DC-VAS-COLO-PWR-PER100VA-PERU</v>
          </cell>
        </row>
        <row r="315">
          <cell r="J315" t="str">
            <v>DC-VAS-COLO-PWR-PERKVA-PERRACK</v>
          </cell>
        </row>
      </sheetData>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rder Details"/>
      <sheetName val="Service Configuration Details"/>
      <sheetName val="Drop down data"/>
      <sheetName val="Basement Budget"/>
      <sheetName val="Links"/>
      <sheetName val="Lead"/>
      <sheetName val="Content Instructions"/>
    </sheetNames>
    <sheetDataSet>
      <sheetData sheetId="0"/>
      <sheetData sheetId="1">
        <row r="11">
          <cell r="J11" t="str">
            <v>ICOM-VPS-BASE-1vCPU-1GBRAM-50GBDT-75GBSAN-VPDCS-ST-SHM</v>
          </cell>
        </row>
      </sheetData>
      <sheetData sheetId="2">
        <row r="11">
          <cell r="J11" t="str">
            <v>ICOM-VPS-BASE-1vCPU-1GBRAM-50GBDT-75GBSAN-VPDCS-ST-SHM</v>
          </cell>
        </row>
        <row r="12">
          <cell r="J12" t="str">
            <v>ICOM-VPS-BASE-1vCPU-PRSTNT-PM</v>
          </cell>
        </row>
        <row r="13">
          <cell r="J13" t="str">
            <v>ICOM-VPS-XPND-2vCPU-2GBRAM-100GBDT-100GBSAN-VPDCS-ST-SHM</v>
          </cell>
        </row>
        <row r="14">
          <cell r="J14" t="str">
            <v>ICOM-VPS-XPND-2vCPU-PRSTNT-PM</v>
          </cell>
        </row>
        <row r="15">
          <cell r="J15" t="str">
            <v>ICOM-HA-VPS-BASE-1vCPU-1GBRAM-50GBDT-75GBSAN-VPDCS-ST-SHM</v>
          </cell>
        </row>
        <row r="16">
          <cell r="J16" t="str">
            <v>ICOM-HA-VPS-BASE-1vCPU-PRSTNT-PM</v>
          </cell>
        </row>
        <row r="17">
          <cell r="J17" t="str">
            <v>ICOM-HA-VPS-XPND-2vCPU-2GBRAM-100GBDT-100GBSAN-VPDCS-ST-SHM</v>
          </cell>
        </row>
        <row r="18">
          <cell r="J18" t="str">
            <v>ICOM-HA-VPS-XPND-2vCPU-PRSTNT-PM</v>
          </cell>
        </row>
        <row r="19">
          <cell r="J19" t="str">
            <v>ICOM-HA-VPS-MAX-4vCPU-4GBRAM-200GBDT-200GBSAN-VPDCS-ST-SHM</v>
          </cell>
        </row>
        <row r="20">
          <cell r="J20" t="str">
            <v>ICOM-HA-VPS-MAX-4vCPU-PRSTNT-PM</v>
          </cell>
        </row>
        <row r="22">
          <cell r="J22" t="str">
            <v>ICOM-VPI-BASE-1vCPU-1GBRAM-50GBSAN-SHM</v>
          </cell>
        </row>
        <row r="23">
          <cell r="J23" t="str">
            <v>ICOM-VPI-BASE-1vCPU-PRSTNT-PM</v>
          </cell>
        </row>
        <row r="24">
          <cell r="J24" t="str">
            <v>ICOM-VPI-XPND-2vCPU-2GBRAM-50GBSAN-SHM</v>
          </cell>
        </row>
        <row r="25">
          <cell r="J25" t="str">
            <v>ICOM-VPI-XPND-2vCPU-PRSTNT-PM</v>
          </cell>
        </row>
        <row r="26">
          <cell r="J26" t="str">
            <v>ICOM-VPI-MAX-4vCPU-4GBRAM-50GBSAN-SHM</v>
          </cell>
        </row>
        <row r="27">
          <cell r="J27" t="str">
            <v>ICOM-VPI-MAX-4vCPU-PRSTNT-PM</v>
          </cell>
        </row>
        <row r="28">
          <cell r="J28" t="str">
            <v>ICOM-HA-VPI-BASE-1vCPU-1GBRAM-50GBSAN-SHM</v>
          </cell>
        </row>
        <row r="29">
          <cell r="J29" t="str">
            <v>ICOM-HA-VPI-BASE-1vCPU-PRSTNT-PM</v>
          </cell>
        </row>
        <row r="30">
          <cell r="J30" t="str">
            <v>ICOM-HA-VPI-XPND-2vCPU-2GBRAM-50GBSAN-SHM</v>
          </cell>
        </row>
        <row r="31">
          <cell r="J31" t="str">
            <v>ICOM-HA-VPI-XPND-2vCPU-PRSTNT-PM</v>
          </cell>
        </row>
        <row r="32">
          <cell r="J32" t="str">
            <v>ICOM-HA-VPI-MAX-4vCPU-4GBRAM-50GBSAN-SHM</v>
          </cell>
        </row>
        <row r="33">
          <cell r="J33" t="str">
            <v>ICOM-HA-VPI-MAX-4vCPU-PRSTNT-PM</v>
          </cell>
        </row>
        <row r="34">
          <cell r="J34" t="str">
            <v>ICOM-HA-VPI-XTRM-8vCPU-8GBRAM-50GBSAN-SHM</v>
          </cell>
        </row>
        <row r="35">
          <cell r="J35" t="str">
            <v>ICOM-HA-VPI-XTRM-8vCPU-PRSTNT-PM</v>
          </cell>
        </row>
        <row r="36">
          <cell r="J36" t="str">
            <v>ICOM-HA-VPI-PRM-16vCPU-16GBRAM-50GBSAN-SHM</v>
          </cell>
        </row>
        <row r="37">
          <cell r="J37" t="str">
            <v>ICOM-HA-VPI-PRM-16vCPU-PRSTNT-PM</v>
          </cell>
        </row>
        <row r="39">
          <cell r="J39" t="str">
            <v>ICOM-vCPU-Per CPU</v>
          </cell>
        </row>
        <row r="40">
          <cell r="J40" t="str">
            <v>ICOM-vRAM-Per GB</v>
          </cell>
        </row>
        <row r="42">
          <cell r="J42" t="str">
            <v>ICOM-MDS-XPND-1CPU-MULTICORE-4GBRAM-SHM</v>
          </cell>
        </row>
        <row r="43">
          <cell r="J43" t="str">
            <v>ICOM-MDS-MAX-2CPU-MULTICORE-8GBRAM-SHM</v>
          </cell>
        </row>
        <row r="44">
          <cell r="J44" t="str">
            <v>ICOM-MDS-XTRM-4CPU-MULTICORE-48GBRAM-SHM</v>
          </cell>
        </row>
        <row r="46">
          <cell r="J46" t="str">
            <v>ICOM-MDS-RAM-ADD-4GB</v>
          </cell>
        </row>
        <row r="47">
          <cell r="J47" t="str">
            <v>ICOM-MDS-HDD-ADD-64/100/200</v>
          </cell>
        </row>
        <row r="49">
          <cell r="J49" t="str">
            <v>ISTR-ENHNTIER-100GB-500 GB-PERGB</v>
          </cell>
        </row>
        <row r="50">
          <cell r="J50" t="str">
            <v>ISTR-ENHNTIER-500GB-1TB-PERGB</v>
          </cell>
        </row>
        <row r="51">
          <cell r="J51" t="str">
            <v>ISTR-ENHNTIER-1TB-2TB-PERGB</v>
          </cell>
        </row>
        <row r="52">
          <cell r="J52" t="str">
            <v>ISTR-ENHNTIER-2TB–5TB-PERGB</v>
          </cell>
        </row>
        <row r="53">
          <cell r="J53" t="str">
            <v>ISTR-ENHNTIER-&gt;5TB-PERGB</v>
          </cell>
        </row>
        <row r="54">
          <cell r="J54" t="str">
            <v>ISTR-ENHNTIER-ADD-ON-PER25GB-PM</v>
          </cell>
        </row>
        <row r="56">
          <cell r="J56" t="str">
            <v>ISTR-STNDTIER-100GB-500 GB-PERGB</v>
          </cell>
        </row>
        <row r="57">
          <cell r="J57" t="str">
            <v>ISTR-STNDTIER-500GB-1TB-PERGB</v>
          </cell>
        </row>
        <row r="58">
          <cell r="J58" t="str">
            <v>ISTR-STNDTIER-1TB-2TB-PERGB</v>
          </cell>
        </row>
        <row r="59">
          <cell r="J59" t="str">
            <v>ISTR-STNDTIER-2TB–5TB-PERGB</v>
          </cell>
        </row>
        <row r="60">
          <cell r="J60" t="str">
            <v>ISTR-STNDTIER-&gt;5TB-PERGB</v>
          </cell>
        </row>
        <row r="61">
          <cell r="J61" t="str">
            <v>ISTR-STNDTIER-ADD-ON-PER25GB-PM</v>
          </cell>
        </row>
        <row r="63">
          <cell r="J63" t="str">
            <v>ISTR-ECNMTIER-100GB-500 GB-PERGB</v>
          </cell>
        </row>
        <row r="64">
          <cell r="J64" t="str">
            <v>ISTR-ECNMTIER-500GB-1TB-PERGB</v>
          </cell>
        </row>
        <row r="65">
          <cell r="J65" t="str">
            <v>ISTR-ECNMTIER-1TB-2TB-PERGB</v>
          </cell>
        </row>
        <row r="66">
          <cell r="J66" t="str">
            <v>ISTR-ECNMTIER-2TB–5TB-PERGB</v>
          </cell>
        </row>
        <row r="67">
          <cell r="J67" t="str">
            <v>ISTR-ECNMTIER-&gt;5TB-PERGB</v>
          </cell>
        </row>
        <row r="68">
          <cell r="J68" t="str">
            <v>ISTR-ECNMTIER-ADD-ON-PER25GB-PM</v>
          </cell>
        </row>
        <row r="70">
          <cell r="J70" t="str">
            <v>ISTR-NAS-ENHNTIER-100GB-500 GB-PERGB</v>
          </cell>
        </row>
        <row r="71">
          <cell r="J71" t="str">
            <v>ISTR-NAS-ENHNTIER-500GB-1TB-PERGB</v>
          </cell>
        </row>
        <row r="72">
          <cell r="J72" t="str">
            <v>ISTR-NAS-ENHNTIER-1TB-2TB-PERGB</v>
          </cell>
        </row>
        <row r="73">
          <cell r="J73" t="str">
            <v>ISTR-NAS-ENHNTIER-2TB–5TB-PERGB</v>
          </cell>
        </row>
        <row r="74">
          <cell r="J74" t="str">
            <v>ISTR-NAS-ENHNTIER-&gt;5TB-PERGB</v>
          </cell>
        </row>
        <row r="75">
          <cell r="J75" t="str">
            <v>ISTR-NAS-ENHNTIER-ADD-ON-PER25GB-PM</v>
          </cell>
        </row>
        <row r="77">
          <cell r="J77" t="str">
            <v>ISTR-NAS-ENHNTIER-100GB-500 GB-PERGB</v>
          </cell>
        </row>
        <row r="78">
          <cell r="J78" t="str">
            <v>ISTR-NAS-STNDTIER-500GB-1TB-PERGB</v>
          </cell>
        </row>
        <row r="79">
          <cell r="J79" t="str">
            <v>ISTR-NAS-STNDTIER-1TB-2TB-PERGB</v>
          </cell>
        </row>
        <row r="80">
          <cell r="J80" t="str">
            <v>ISTR-NAS-STNDTIER-2TB–5TB-PERGB</v>
          </cell>
        </row>
        <row r="81">
          <cell r="J81" t="str">
            <v>ISTR-NAS-STNDTIER-&gt; 5TB-PERGB</v>
          </cell>
        </row>
        <row r="82">
          <cell r="J82" t="str">
            <v>ISTR-NAS-STNDTIER-ADD-ON-PER25GB-PM</v>
          </cell>
        </row>
        <row r="84">
          <cell r="J84" t="str">
            <v>ISTR-FCSANFABIC-2FC-PERHOST</v>
          </cell>
        </row>
        <row r="85">
          <cell r="J85" t="str">
            <v>ISTR-IPSANFABIC-2ISCSI-PERHOST</v>
          </cell>
        </row>
        <row r="87">
          <cell r="J87" t="str">
            <v>PAAS-VPS-VPI-WIN-03-STD-x86-AV-POS</v>
          </cell>
        </row>
        <row r="88">
          <cell r="J88" t="str">
            <v>PAAS-VPS-VPI-WIN-03-ENT-x86-AV-POS</v>
          </cell>
        </row>
        <row r="89">
          <cell r="J89" t="str">
            <v>PAAS-VPS-VPI-WIN-03-STD-x64-AV-POS</v>
          </cell>
        </row>
        <row r="90">
          <cell r="J90" t="str">
            <v>PAAS-VPS-VPI-WIN-03-ENT-x64-AV-POS</v>
          </cell>
        </row>
        <row r="91">
          <cell r="J91" t="str">
            <v>PAAS-VPS-VPI-WIN-08-STD-x86-AV-POS</v>
          </cell>
        </row>
        <row r="92">
          <cell r="J92" t="str">
            <v>PAAS-VPS-VPI-WIN-08-ENT-x86-AV-POS</v>
          </cell>
        </row>
        <row r="93">
          <cell r="J93" t="str">
            <v>PAAS-VPS-VPI-WIN-08-STD-x64-AV-POS</v>
          </cell>
        </row>
        <row r="94">
          <cell r="J94" t="str">
            <v>PAAS-VPS-VPI-WIN-08-ENT-x64-AV-POS</v>
          </cell>
        </row>
        <row r="95">
          <cell r="J95" t="str">
            <v>PAAS-WIN-STD-32/64-AV-PERPROC</v>
          </cell>
        </row>
        <row r="96">
          <cell r="J96" t="str">
            <v>PAAS-WIN-ENT-32/64-AV-PERPROC</v>
          </cell>
        </row>
        <row r="97">
          <cell r="J97" t="str">
            <v>PAAS-WIN-DC-32/64-AV-PERPROC</v>
          </cell>
        </row>
        <row r="98">
          <cell r="J98" t="str">
            <v>PAAS-VPS-VPI-LNX-ENT-32/64-POS</v>
          </cell>
        </row>
        <row r="99">
          <cell r="J99" t="str">
            <v>PAAS-VPS-VPI-LNX-6.1-32-POS</v>
          </cell>
        </row>
        <row r="100">
          <cell r="J100" t="str">
            <v>PAAS-VPS-VPI-LNX-6.1-64-POS</v>
          </cell>
        </row>
        <row r="101">
          <cell r="J101" t="str">
            <v>PAAS-VPS-VPI-LNX-5.6-32-POS</v>
          </cell>
        </row>
        <row r="102">
          <cell r="J102" t="str">
            <v>PAAS-VPS-VPI-LNX-5.6-64-POS</v>
          </cell>
        </row>
        <row r="103">
          <cell r="J103" t="str">
            <v>PAAS-LNX-ENT-32/64-POS</v>
          </cell>
        </row>
        <row r="104">
          <cell r="J104" t="str">
            <v>PAAS-CENT-5.5-32/64-POS</v>
          </cell>
        </row>
        <row r="105">
          <cell r="J105" t="str">
            <v>PAAS-VPS-VPI-CENT-5.5-32-POS</v>
          </cell>
        </row>
        <row r="106">
          <cell r="J106" t="str">
            <v>PAAS-VPS-VPI-CENT-5.5-64-POS</v>
          </cell>
        </row>
        <row r="107">
          <cell r="J107" t="str">
            <v>PAAS-UBUNTU-11.4-64-POS</v>
          </cell>
        </row>
        <row r="109">
          <cell r="J109" t="str">
            <v>PAAS-VPS-VPI-SQL-STD-ENT-PDB</v>
          </cell>
        </row>
        <row r="110">
          <cell r="J110" t="str">
            <v>PAAS-SQL-08-STD-x86-WIN-08-STD-x86-AV-PDB</v>
          </cell>
        </row>
        <row r="111">
          <cell r="J111" t="str">
            <v>PAAS-SQL-08-STD-x86-WIN-08-STD-x64-AV-PDB</v>
          </cell>
        </row>
        <row r="112">
          <cell r="J112" t="str">
            <v>PAAS-SQL-08-STD-x86-WIN-08-ENT-x86-AV-PDB</v>
          </cell>
        </row>
        <row r="113">
          <cell r="J113" t="str">
            <v>PAAS-SQL-08-STD-x86-WIN-08-ENT-x64-AV-PDB</v>
          </cell>
        </row>
        <row r="114">
          <cell r="J114" t="str">
            <v>PAAS-SQL-08-STD-x64-WIN-08-STD-x64-AV-PDB</v>
          </cell>
        </row>
        <row r="115">
          <cell r="J115" t="str">
            <v>PAAS-SQL-08-STD-x64-WIN-08-ENT-x64-AV-PDB</v>
          </cell>
        </row>
        <row r="116">
          <cell r="J116" t="str">
            <v>PAAS-SQL-08-ENT-x86-WIN-08-ENT-x86-AV-PDB</v>
          </cell>
        </row>
        <row r="117">
          <cell r="J117" t="str">
            <v>PAAS-SQL-08-ENT-x86-WIN-08-ENT-x64-AV-PDB</v>
          </cell>
        </row>
        <row r="118">
          <cell r="J118" t="str">
            <v>PAAS-SQL-08-ENT-x64-WIN-08-ENT-x64-AV-PDB</v>
          </cell>
        </row>
        <row r="119">
          <cell r="J119" t="str">
            <v>PAAS-MS-SQL-STD-PERPROC</v>
          </cell>
        </row>
        <row r="120">
          <cell r="J120" t="str">
            <v>PAAS-MS-SQL-ENT-PERPROC</v>
          </cell>
        </row>
        <row r="121">
          <cell r="J121" t="str">
            <v>PAAS-MS-SQL-WRG-PERPROC</v>
          </cell>
        </row>
        <row r="122">
          <cell r="J122" t="str">
            <v>PAAS-MS-SQL-WEB-PERPROC</v>
          </cell>
        </row>
        <row r="124">
          <cell r="J124" t="str">
            <v>PAAS-MYSQL-32-64-PERPROC</v>
          </cell>
        </row>
        <row r="125">
          <cell r="J125" t="str">
            <v>PAAS-MYSQL-5.5-WIN-08-STD-x86-AV-PDB</v>
          </cell>
        </row>
        <row r="126">
          <cell r="J126" t="str">
            <v>PAAS-MYSQL-5.5-WIN-08-STD-x64-AV-PDB</v>
          </cell>
        </row>
        <row r="127">
          <cell r="J127" t="str">
            <v>PAAS-MYSQL-5.5-CENT-5.5-32-PDB</v>
          </cell>
        </row>
        <row r="128">
          <cell r="J128" t="str">
            <v>PAAS-MYSQL-5.5-CENT-5.5-64-PDB</v>
          </cell>
        </row>
        <row r="129">
          <cell r="J129" t="str">
            <v>PAAS-MYSQL-5.5-LNX-5.6-32-PDB</v>
          </cell>
        </row>
        <row r="130">
          <cell r="J130" t="str">
            <v>PAAS-MYSQL-5.5-LNX-5.6-64-PDB</v>
          </cell>
        </row>
        <row r="131">
          <cell r="J131" t="str">
            <v>PAAS-MYSQL-5.5-LNX-6.1-32-PDB</v>
          </cell>
        </row>
        <row r="132">
          <cell r="J132" t="str">
            <v>PAAS-MYSQL-5.5-LNX-6.1-64-PDB</v>
          </cell>
        </row>
        <row r="134">
          <cell r="J134" t="str">
            <v>PAAS-MS-SHAREPOINT-INTERNET</v>
          </cell>
        </row>
        <row r="135">
          <cell r="J135" t="str">
            <v>PAAS-MS-FOREFRONT-TMG-ENT-PER PROC</v>
          </cell>
        </row>
        <row r="136">
          <cell r="J136" t="str">
            <v>PAAS-MS-WIN-RDS- PER SAL</v>
          </cell>
        </row>
        <row r="137">
          <cell r="J137" t="str">
            <v>PAAS-OTHER-SOFTWARE</v>
          </cell>
        </row>
        <row r="139">
          <cell r="J139" t="str">
            <v>PAAS-VMWARE-ESX-STD-PERVRAM</v>
          </cell>
        </row>
        <row r="140">
          <cell r="J140" t="str">
            <v>PAAS-VMWARE-ESX-PMR-PERVRAM</v>
          </cell>
        </row>
        <row r="142">
          <cell r="J142" t="str">
            <v>ISEC-VFW-IPS-100MBPS-100POLICIES</v>
          </cell>
        </row>
        <row r="143">
          <cell r="J143" t="str">
            <v>ISEC-OTHER-DEDICATED EQUIPMENT</v>
          </cell>
        </row>
        <row r="145">
          <cell r="J145" t="str">
            <v>PAAS-AV-WINOS-POS</v>
          </cell>
        </row>
        <row r="146">
          <cell r="J146" t="str">
            <v>PAAS-AV-LNXOS-POS</v>
          </cell>
        </row>
        <row r="147">
          <cell r="J147" t="str">
            <v>PAAS- SSLCERT-PERDOMAIN</v>
          </cell>
        </row>
        <row r="149">
          <cell r="J149" t="str">
            <v>ISEC-2FACTOR-RSA-M&amp;M-10USERPACK</v>
          </cell>
        </row>
        <row r="150">
          <cell r="J150" t="str">
            <v>ISEC-2FACTOR-RSA-M&amp;M-15USERPACK</v>
          </cell>
        </row>
        <row r="151">
          <cell r="J151" t="str">
            <v>ISEC-2FACTOR-RSA-M&amp;M-50USERPACK</v>
          </cell>
        </row>
        <row r="152">
          <cell r="J152" t="str">
            <v>ISEC-2FACTOR-RSA-M&amp;M-100USERPACK</v>
          </cell>
        </row>
        <row r="154">
          <cell r="J154" t="str">
            <v>INET-DDOS-NM-10-50Mbps</v>
          </cell>
        </row>
        <row r="155">
          <cell r="J155" t="str">
            <v>INET-DDOS-NM-51-100Mbps</v>
          </cell>
        </row>
        <row r="156">
          <cell r="J156" t="str">
            <v>INET-DDOS-NM-101-200Mbps</v>
          </cell>
        </row>
        <row r="157">
          <cell r="J157" t="str">
            <v>INET-DDOS-NM-201-500Mbps</v>
          </cell>
        </row>
        <row r="159">
          <cell r="J159" t="str">
            <v>INET-VPDC-SHIELD-ST</v>
          </cell>
        </row>
        <row r="160">
          <cell r="J160" t="str">
            <v>INET-VPDC-SHIELD-2T</v>
          </cell>
        </row>
        <row r="161">
          <cell r="J161" t="str">
            <v>INET-VPDC-ASSURE-ST</v>
          </cell>
        </row>
        <row r="162">
          <cell r="J162" t="str">
            <v>INET-VPDC-ASSURE-2T</v>
          </cell>
        </row>
        <row r="163">
          <cell r="J163" t="str">
            <v>INET-VPDC-ASSURE-3T</v>
          </cell>
        </row>
        <row r="165">
          <cell r="J165" t="str">
            <v>INET-VROUTER-PERPORT</v>
          </cell>
        </row>
        <row r="166">
          <cell r="J166" t="str">
            <v>INET-MLLB-1VIP-5RIP-PERPORT</v>
          </cell>
        </row>
        <row r="167">
          <cell r="J167" t="str">
            <v>INET-VLLB-100MBPS-2VIP-20RIP-40000CS-PERPORT</v>
          </cell>
        </row>
        <row r="168">
          <cell r="J168" t="str">
            <v>INET-VLLB-ADD-2VIP-10RIP-10000CS-PERPORT</v>
          </cell>
        </row>
        <row r="169">
          <cell r="J169" t="str">
            <v>INET-VSSLACCEL-100MBPS-2VIP-20RIP-40000CS-PERPORT</v>
          </cell>
        </row>
        <row r="170">
          <cell r="J170" t="str">
            <v>INET-GSLB-1D-2VS-RS-PERPORT</v>
          </cell>
        </row>
        <row r="171">
          <cell r="J171" t="str">
            <v>INET-SWITCH-PERPORT</v>
          </cell>
        </row>
        <row r="172">
          <cell r="J172" t="str">
            <v>INET-vLAN-PVLAN</v>
          </cell>
        </row>
        <row r="173">
          <cell r="J173" t="str">
            <v>INET-EXTIP-1IP</v>
          </cell>
        </row>
        <row r="174">
          <cell r="J174" t="str">
            <v>INET-EXDNS-1DOMAIN- UTD RECORDS</v>
          </cell>
        </row>
        <row r="175">
          <cell r="J175" t="str">
            <v>INET-OTHER-DEDICATED EQUIPMENT</v>
          </cell>
        </row>
        <row r="177">
          <cell r="J177" t="str">
            <v>INET-DT-50GB-2Mbps CIR</v>
          </cell>
        </row>
        <row r="178">
          <cell r="J178" t="str">
            <v>INET-DT-100GB-15Mbps-CIR</v>
          </cell>
        </row>
        <row r="179">
          <cell r="J179" t="str">
            <v>INET-DT-250GB-24Mbps-CIR</v>
          </cell>
        </row>
        <row r="180">
          <cell r="J180" t="str">
            <v>INET-DT-251TO1000GB-PERGB-45Mbps-CIR</v>
          </cell>
        </row>
        <row r="181">
          <cell r="J181" t="str">
            <v>INET-DT-1001TO2500GB-PERGB-100Mbps-CIR</v>
          </cell>
        </row>
        <row r="182">
          <cell r="J182" t="str">
            <v>INET-DT-2501TO5000GB-PERGB-100Mbps-CIR</v>
          </cell>
        </row>
        <row r="183">
          <cell r="J183" t="str">
            <v>INET-DT-5001TO10000GB-PERGB-100Mbps-CIR</v>
          </cell>
        </row>
        <row r="184">
          <cell r="J184" t="str">
            <v>INET-DT-10001GBTO-50000-PERGB-100Mbps-CIR</v>
          </cell>
        </row>
        <row r="185">
          <cell r="J185" t="str">
            <v>INET-DT-OVER50001GB-PERGB</v>
          </cell>
        </row>
        <row r="186">
          <cell r="J186" t="str">
            <v>INET-DT-OVERAGE-PERGB</v>
          </cell>
        </row>
        <row r="187">
          <cell r="J187" t="str">
            <v>INET-IBW-1:1-512 Kbps</v>
          </cell>
        </row>
        <row r="188">
          <cell r="J188" t="str">
            <v>INET-IBW-1:1-PERMBPS</v>
          </cell>
        </row>
        <row r="189">
          <cell r="J189" t="str">
            <v>INET-IBW-BURST-2-4MBPS</v>
          </cell>
        </row>
        <row r="190">
          <cell r="J190" t="str">
            <v>INET-IBW-BURST-4-8MBPS</v>
          </cell>
        </row>
        <row r="191">
          <cell r="J191" t="str">
            <v>INET-IBW-BURST-8-16MBPS</v>
          </cell>
        </row>
        <row r="192">
          <cell r="J192" t="str">
            <v>INET-IBW-BURST-16-32MBPS</v>
          </cell>
        </row>
        <row r="193">
          <cell r="J193" t="str">
            <v>INET-IBW-BURST-32-64MBPS</v>
          </cell>
        </row>
        <row r="194">
          <cell r="J194" t="str">
            <v>INET-IBW-BURST-64-128MBPS</v>
          </cell>
        </row>
        <row r="195">
          <cell r="J195" t="str">
            <v>INET-IBW-OVERAGE-PERMBPS-PM</v>
          </cell>
        </row>
        <row r="197">
          <cell r="J197" t="str">
            <v>INET-RVPN-SRC-512KbpsPort-10UserPack</v>
          </cell>
        </row>
        <row r="198">
          <cell r="J198" t="str">
            <v>INET-RVPN-SRC-512KbpsPort-25UserPack</v>
          </cell>
        </row>
        <row r="199">
          <cell r="J199" t="str">
            <v>INET-RVPN-SRC-2MbpsPort-50UserPack</v>
          </cell>
        </row>
        <row r="200">
          <cell r="J200" t="str">
            <v>INET-RVPN-SRC-2MbpsPort-100UserPack</v>
          </cell>
        </row>
        <row r="201">
          <cell r="J201" t="str">
            <v>INET-RVPN-SRC-4MbpsPort-250UserPack</v>
          </cell>
        </row>
        <row r="203">
          <cell r="J203" t="str">
            <v>INET-RVPN-SSC-256Kbps-MPLS</v>
          </cell>
        </row>
        <row r="204">
          <cell r="J204" t="str">
            <v>INET-RVPN-SSC-512Kbps-MPLS</v>
          </cell>
        </row>
        <row r="205">
          <cell r="J205" t="str">
            <v>INET-RVPN-SSC-1024Kbps-MPLS</v>
          </cell>
        </row>
        <row r="206">
          <cell r="J206" t="str">
            <v>INET-RVPN-SSC-2048Kbps-MPLS</v>
          </cell>
        </row>
        <row r="208">
          <cell r="J208" t="str">
            <v>IPTC-BKP-100GB-DT-PM-DD-WF-R14D-UTDLICENSE</v>
          </cell>
        </row>
        <row r="209">
          <cell r="J209" t="str">
            <v>IPTC-BKP-250GB-DT-PM-DD-WF-R14D-UTDLICENSE</v>
          </cell>
        </row>
        <row r="210">
          <cell r="J210" t="str">
            <v>IPTC-BKP-500GB-DT-PM-DD-WF-R14D-UTDLICENSE</v>
          </cell>
        </row>
        <row r="211">
          <cell r="J211" t="str">
            <v>IPTC-BKP-1000GB-DT-PM-UTDLICENSE</v>
          </cell>
        </row>
        <row r="212">
          <cell r="J212" t="str">
            <v>IPTC-BKP-1001TO2000GB-DT-PM-PGB-UTDLICENSE</v>
          </cell>
        </row>
        <row r="213">
          <cell r="J213" t="str">
            <v>IPTC-BKP-2001TO5000GB-DT-PM-PGB-UTDLICENSE</v>
          </cell>
        </row>
        <row r="214">
          <cell r="J214" t="str">
            <v>IPTC-BKP-5001TO10000GB-DT-PM-PGB-UTDLICENSE</v>
          </cell>
        </row>
        <row r="215">
          <cell r="J215" t="str">
            <v>IPTC-BKP-10001TO15000GB-DT-PM-PGB-UTDLICENSE</v>
          </cell>
        </row>
        <row r="216">
          <cell r="J216" t="str">
            <v>IPTC-BKP-OVERAGE-25GB-MULTIPLES-DT-PM</v>
          </cell>
        </row>
        <row r="218">
          <cell r="J218" t="str">
            <v>IPTC-BKP-EXRTN-1M-1500 GB-MULTIPLES-PERANNUM</v>
          </cell>
        </row>
        <row r="219">
          <cell r="J219" t="str">
            <v>IPTC-BKP-EXRTN-1Y-1500 GB-MULTIPLES-PERANNUM</v>
          </cell>
        </row>
        <row r="220">
          <cell r="J220" t="str">
            <v>IPTC-BKP-REMOTE SITE COPY-PERGB PER MONTH</v>
          </cell>
        </row>
        <row r="222">
          <cell r="J222" t="str">
            <v>IPTC-BKP-ENCRT-100GB-DT-PM-DD-WF-R14D-UTDLICENSE-PA</v>
          </cell>
        </row>
        <row r="223">
          <cell r="J223" t="str">
            <v>IPTC-BKP-ENCRT-2500GB-DT-PM-DD-WF-R14D-UTDLICENSE-PA</v>
          </cell>
        </row>
        <row r="224">
          <cell r="J224" t="str">
            <v>IPTC-BKP-ENCRT-500GB-DT-PM-DD-WF-R14D-UTDLICENSE-PA</v>
          </cell>
        </row>
        <row r="225">
          <cell r="J225" t="str">
            <v>IPTC-BKP-ENCRT-1000GB-DT-PM-UTDLICENSE-PA</v>
          </cell>
        </row>
        <row r="226">
          <cell r="J226" t="str">
            <v>IPTC-BKP-ENCRT-1001TO2000GB-DT-PM-PGB-UTDLICENSE-PA</v>
          </cell>
        </row>
        <row r="227">
          <cell r="J227" t="str">
            <v>IPTC-BKP-ENCRT-2001TO5000GB-DT-PM-PGB-UTDLICENSE-PA</v>
          </cell>
        </row>
        <row r="228">
          <cell r="J228" t="str">
            <v>IPTC-BKP-ENCRT-5001TO10000GB-DT-PM-PGB-UTDLICENSE-PA</v>
          </cell>
        </row>
        <row r="229">
          <cell r="J229" t="str">
            <v>IPTC-BKP-ENCRT-10001TO15000GB-DT-PM-PGB-UTDLICENSE-PA</v>
          </cell>
        </row>
        <row r="230">
          <cell r="J230" t="str">
            <v>IPTC-BKP-ENCRT-OVERAGE-25GB-MULTIPLES-DT-PM</v>
          </cell>
        </row>
        <row r="232">
          <cell r="J232" t="str">
            <v>IANLTCS-AIA-SHM-PER SERV</v>
          </cell>
        </row>
        <row r="233">
          <cell r="J233" t="str">
            <v>IANLTCS-AIA-OSR-PER OS</v>
          </cell>
        </row>
        <row r="234">
          <cell r="J234" t="str">
            <v>IANLTCS-AIA-DBR-PER DB</v>
          </cell>
        </row>
        <row r="235">
          <cell r="J235" t="str">
            <v>IANLTCS-AIA-WEB SERV-PER  APPS</v>
          </cell>
        </row>
        <row r="236">
          <cell r="J236" t="str">
            <v>IANLTCS-AIA-ADD-ON-REPORTS-PER25PACK</v>
          </cell>
        </row>
        <row r="238">
          <cell r="J238" t="str">
            <v>IANLTCS-AIA-EUE-STD-PER URL</v>
          </cell>
        </row>
        <row r="239">
          <cell r="J239" t="str">
            <v>IANLTCS-AIA-EUE-SSL-ADDON-PER SITE</v>
          </cell>
        </row>
        <row r="240">
          <cell r="J240" t="str">
            <v>IANLTCS-AIA-EUE-ADV DIAGNOSTIC-PER SITE</v>
          </cell>
        </row>
        <row r="241">
          <cell r="J241" t="str">
            <v>IANLTCS-AIA-ADV DIAGNOSTIC-WEBAPPS-PER SRV</v>
          </cell>
        </row>
        <row r="242">
          <cell r="J242" t="str">
            <v>IANLTCS-AIA-ADV DIAGNOSTIC-JAVA/.NET-PER SRV</v>
          </cell>
        </row>
        <row r="244">
          <cell r="J244" t="str">
            <v>IANLTCS-AIA-ADV DIAGNOSTIC-NETWORK-PER 2 NODES</v>
          </cell>
        </row>
        <row r="246">
          <cell r="J246" t="str">
            <v>IANLTCS-AIA-AMS-PER 'x' XF MEASUREMENT</v>
          </cell>
        </row>
        <row r="247">
          <cell r="J247" t="str">
            <v>IANLTCS-AIA-WLPT-PER X VIRTUAL USER HOUR</v>
          </cell>
        </row>
        <row r="249">
          <cell r="J249" t="str">
            <v>CI-PS-CONSULTING-L1-PERMANDAY</v>
          </cell>
        </row>
        <row r="250">
          <cell r="J250" t="str">
            <v>CI-PS-CONSULTING-L2-PERMANDAY</v>
          </cell>
        </row>
        <row r="251">
          <cell r="J251" t="str">
            <v>CI-PS-CONSULTING-L3-PERMANDAY</v>
          </cell>
        </row>
        <row r="252">
          <cell r="J252" t="str">
            <v>CI-PS-PROGMGMT-L1-PERMANDAY</v>
          </cell>
        </row>
        <row r="253">
          <cell r="J253" t="str">
            <v>CI-PS-PROGMGMT-L2-PERMANDAY</v>
          </cell>
        </row>
        <row r="254">
          <cell r="J254" t="str">
            <v>CI-PS-PROGMGMT-L3-PERMANDAY</v>
          </cell>
        </row>
        <row r="255">
          <cell r="J255" t="str">
            <v>CI-PS-FACILITYMGMT-L1-PERMANDAY</v>
          </cell>
        </row>
        <row r="256">
          <cell r="J256" t="str">
            <v>CI-PS-FACILITYMGMT-L2-PERMANDAY</v>
          </cell>
        </row>
        <row r="257">
          <cell r="J257" t="str">
            <v>CI-PS-FACILITYMGMT-L3-PERMANDAY</v>
          </cell>
        </row>
        <row r="258">
          <cell r="J258" t="str">
            <v>CI-PS-AUDIT-BASIC-PER MAN DAY</v>
          </cell>
        </row>
        <row r="259">
          <cell r="J259" t="str">
            <v>CI-PS-AUDIT-ADVANCED-PER MAN DAY</v>
          </cell>
        </row>
        <row r="261">
          <cell r="J261" t="str">
            <v>CI-MITS-ENGAGEMENT MGMNT-PER SETUP</v>
          </cell>
        </row>
        <row r="262">
          <cell r="J262" t="str">
            <v>CI-MITS-SMART-REMOTE SUPPORT-6RQST-PER QTR -PER SERVER -PA</v>
          </cell>
        </row>
        <row r="263">
          <cell r="J263" t="str">
            <v>CI-MITS-OS-WIN-PROFICIENT-1-OS</v>
          </cell>
        </row>
        <row r="264">
          <cell r="J264" t="str">
            <v>CI-MITS-OS-LNX-PROFICIENT-1-OS</v>
          </cell>
        </row>
        <row r="265">
          <cell r="J265" t="str">
            <v>CI-MITS-OS-SOLARIS-PROFICIENT-1-OS</v>
          </cell>
        </row>
        <row r="266">
          <cell r="J266" t="str">
            <v>CI-MITS-OS-AIX-PROFICIENT-1-OS</v>
          </cell>
        </row>
        <row r="267">
          <cell r="J267" t="str">
            <v>CI-MITS-OS-HP-UX-PROFICIENT-1-OS</v>
          </cell>
        </row>
        <row r="269">
          <cell r="J269" t="str">
            <v>CI-MITS-DB-MSSQL-PROFICIENT-1-DB</v>
          </cell>
        </row>
        <row r="270">
          <cell r="J270" t="str">
            <v>CI-MITS-DB-MYSQL-PROFICIENT-1-DB</v>
          </cell>
        </row>
        <row r="271">
          <cell r="J271" t="str">
            <v>CI-MITS-DB-ORACLE-PROFICIENT-1-DB</v>
          </cell>
        </row>
        <row r="273">
          <cell r="J273" t="str">
            <v>CI-MITS-VIRTUALIZATION-VMWARE-PROFICIENT-1-VS</v>
          </cell>
        </row>
        <row r="274">
          <cell r="J274" t="str">
            <v>CI-MITS-VIRTUALIZATION-XEN-PROFICIENT-1-VS</v>
          </cell>
        </row>
        <row r="275">
          <cell r="J275" t="str">
            <v>CI-MITS-VIRTUALIZATION-HYPERV-PROFICIENT-1-VS</v>
          </cell>
        </row>
        <row r="276">
          <cell r="J276" t="str">
            <v>CI-MITS-VIRTUALIZATION-RHEV-PROFICIENT-1-VS</v>
          </cell>
        </row>
        <row r="278">
          <cell r="J278" t="str">
            <v>CI-MITS-EMAIL-MSEX-PROFICIENT-1-ESRV</v>
          </cell>
        </row>
        <row r="279">
          <cell r="J279" t="str">
            <v>CI-MITS-EMAIL-QMAIL-PROFICIENT-1-ESRV</v>
          </cell>
        </row>
        <row r="280">
          <cell r="J280" t="str">
            <v>CI-MITS-EMAIL-POSTFIX-PROFICIENT-1-ESRV</v>
          </cell>
        </row>
        <row r="281">
          <cell r="J281" t="str">
            <v>CI-MITS-EMAIL-LOTUSNOTES-PROFICIENT-1-ESRV</v>
          </cell>
        </row>
        <row r="283">
          <cell r="J283" t="str">
            <v>CI-MITS-SEC-LE-FIREWALL-PROFICIENT-1-FIREWALL</v>
          </cell>
        </row>
        <row r="284">
          <cell r="J284" t="str">
            <v>CI-MITS-SEC-ME-FIREWALL-PROFICIENT-1-FIREWALL</v>
          </cell>
        </row>
        <row r="285">
          <cell r="J285" t="str">
            <v>CI-MITS-SEC-HE-FIREWALL-PROFICIENT-1-FIREWALL</v>
          </cell>
        </row>
        <row r="286">
          <cell r="J286" t="str">
            <v>CI-MITS-SEC-IPSIDS-PROFICIENT-1-IPSIDS</v>
          </cell>
        </row>
        <row r="287">
          <cell r="J287" t="str">
            <v>CI-MITS-SEC-FORTKNOX-PROFICIENT-1-SVR</v>
          </cell>
        </row>
        <row r="289">
          <cell r="J289" t="str">
            <v>CI-MITS-AM-WEBSERVER-PROFICIENT-1-APP</v>
          </cell>
        </row>
        <row r="290">
          <cell r="J290" t="str">
            <v>CI-MITS-AM-JBOSS-PROFICIENT-1-APP</v>
          </cell>
        </row>
        <row r="291">
          <cell r="J291" t="str">
            <v>CI-MITS-AM-IISSERVER-PROFICIENT-1-APP</v>
          </cell>
        </row>
        <row r="292">
          <cell r="J292" t="str">
            <v>CI-MITS-AM-MSFOREFRONT-PROFICIENT-1-APP</v>
          </cell>
        </row>
        <row r="293">
          <cell r="J293" t="str">
            <v>CI-MITS-AM-ACTIVEDIR-PROFICIENT-1-APP</v>
          </cell>
        </row>
        <row r="294">
          <cell r="J294" t="str">
            <v>CI-MITS-AM-DNS-PROFICIENT-1-APP</v>
          </cell>
        </row>
        <row r="296">
          <cell r="J296" t="str">
            <v>CI-MITS-AM-CITRIX-PROFICIENT-1-APP</v>
          </cell>
        </row>
        <row r="297">
          <cell r="J297" t="str">
            <v>CI-MITS-AM-WEBLOGIC-PROFICIENT-1-APP</v>
          </cell>
        </row>
        <row r="298">
          <cell r="J298" t="str">
            <v>CI-MITS-AM-WEBSPHERE-PROFICIENT-1-APP</v>
          </cell>
        </row>
        <row r="300">
          <cell r="J300" t="str">
            <v>CI-MITS-NW-HARDWARE-LB-APP-PROFICIENT-1-AP</v>
          </cell>
        </row>
        <row r="301">
          <cell r="J301" t="str">
            <v>CI-MITS-NW-HARDWARE-LB-LINK-PROFICIENT-1-LINK</v>
          </cell>
        </row>
        <row r="302">
          <cell r="J302" t="str">
            <v>CI-MITS-NW-LE-SWITCH-PROFICIENT-1-SWITCH</v>
          </cell>
        </row>
        <row r="303">
          <cell r="J303" t="str">
            <v>CI-MITS-NW-ME-SWITCH-PROFICIENT-1-SWITCH</v>
          </cell>
        </row>
        <row r="304">
          <cell r="J304" t="str">
            <v>CI-MITS-NW-HE-SWITCH-PROFICIENT-1-SWITCH</v>
          </cell>
        </row>
        <row r="305">
          <cell r="J305" t="str">
            <v>CI-MITS-NW-LE-ROUTER-PROFICIENT-1-ROUTER</v>
          </cell>
        </row>
        <row r="306">
          <cell r="J306" t="str">
            <v>CI-MITS-NW-ME-ROUTER-PROFICIENT-1-ROUTER</v>
          </cell>
        </row>
        <row r="307">
          <cell r="J307" t="str">
            <v>CI-MITS-NW-HE-ROUTER-PROFICIENT-1-ROUTER</v>
          </cell>
        </row>
        <row r="309">
          <cell r="J309" t="str">
            <v>DC-VAS-DFW-JUNIPER-SRX-240-PDEVICE</v>
          </cell>
        </row>
        <row r="310">
          <cell r="J310" t="str">
            <v>DC-VAS-DUTM-FORTINET-F50B-PDEVICE</v>
          </cell>
        </row>
        <row r="311">
          <cell r="J311" t="str">
            <v>DC-VAS-DNIPS-McAfee-2750-600Mbps-PDEVICE</v>
          </cell>
        </row>
        <row r="312">
          <cell r="J312" t="str">
            <v>DC-VAS-HIPS-McAfee-HIPS-WIN-LNX-PHOST</v>
          </cell>
        </row>
        <row r="314">
          <cell r="J314" t="str">
            <v>DC-VAS-COLO-PWR-PER100VA-PERU</v>
          </cell>
        </row>
        <row r="315">
          <cell r="J315" t="str">
            <v>DC-VAS-COLO-PWR-PERKVA-PERRACK</v>
          </cell>
        </row>
      </sheetData>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 val="Links"/>
      <sheetName val="Lead"/>
      <sheetName val="Base data Security Procedures"/>
      <sheetName val="MS NET"/>
      <sheetName val="12-Month Sales Forecast"/>
      <sheetName val="Labels"/>
      <sheetName val="Drop down data"/>
      <sheetName val="Data Domains"/>
      <sheetName val="TechRequirements"/>
    </sheetNames>
    <sheetDataSet>
      <sheetData sheetId="0"/>
      <sheetData sheetId="1">
        <row r="4">
          <cell r="AI4">
            <v>39692</v>
          </cell>
        </row>
      </sheetData>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s>
    <sheetDataSet>
      <sheetData sheetId="0"/>
      <sheetData sheetId="1"/>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 val="Links"/>
      <sheetName val="Lead"/>
      <sheetName val="Base data Security Procedures"/>
      <sheetName val="MS NET"/>
      <sheetName val="12-Month Sales Forecast"/>
      <sheetName val="Labels"/>
      <sheetName val="Drop down data"/>
      <sheetName val="Data Domains"/>
    </sheetNames>
    <sheetDataSet>
      <sheetData sheetId="0"/>
      <sheetData sheetId="1"/>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Jan Server"/>
      <sheetName val="Jan Network"/>
      <sheetName val="Jan Dtps &amp; Ltps"/>
      <sheetName val="Jan Printers"/>
      <sheetName val="Feb Server"/>
      <sheetName val="Feb Network"/>
      <sheetName val="Feb Dtps &amp; Ltps"/>
      <sheetName val="Feb Printers"/>
      <sheetName val="March Server"/>
      <sheetName val="March Network"/>
      <sheetName val="March Dtps &amp; Ltps"/>
      <sheetName val="March Printers"/>
      <sheetName val="Junk"/>
      <sheetName val="Standby &amp; Stock"/>
      <sheetName val="Apr Server"/>
      <sheetName val="Apr Network"/>
      <sheetName val="Apr Dtps &amp; Ltps"/>
      <sheetName val="Apr Printers"/>
      <sheetName val="May Server"/>
      <sheetName val="May Network"/>
      <sheetName val="May Dtps &amp; Ltps"/>
      <sheetName val="May Printers"/>
      <sheetName val="Jun Server"/>
      <sheetName val="Jun Network"/>
      <sheetName val="Jun Dtps &amp; Ltps"/>
      <sheetName val="Jun Printers"/>
      <sheetName val="Jul Server"/>
      <sheetName val="Jul Network"/>
      <sheetName val="Jul Dtps &amp; Ltps"/>
      <sheetName val="Jul Printers"/>
      <sheetName val="Aug Server"/>
      <sheetName val="Aug Network"/>
      <sheetName val="Aug Dtps &amp; Ltps"/>
      <sheetName val="Aug Printers"/>
      <sheetName val="Sep Server"/>
      <sheetName val="Sep Network"/>
      <sheetName val="Sep Dtps &amp; Ltps"/>
      <sheetName val="Sep Printers"/>
      <sheetName val="Oct Server"/>
      <sheetName val="Oct Network"/>
      <sheetName val="Oct Dtps &amp; Ltps"/>
      <sheetName val="Oct Printers"/>
      <sheetName val="Nov Server"/>
      <sheetName val="Nov Network"/>
      <sheetName val="Nov Dtps &amp; Ltps"/>
      <sheetName val="Nov Printers"/>
      <sheetName val="Dec Server"/>
      <sheetName val="Dec Network"/>
      <sheetName val="Dec Dtps &amp; Ltps"/>
      <sheetName val="Dec Printers"/>
      <sheetName val="Data"/>
      <sheetName val="Dec EHR Server"/>
      <sheetName val="Dec EHR Printer"/>
      <sheetName val="Dec EHR dtps &amp;Laps"/>
      <sheetName val="Jan Server 2012"/>
      <sheetName val="Jan Network 2012"/>
      <sheetName val="Jan Dtps&amp;Lpts 2012"/>
      <sheetName val="Jan Printers 2012"/>
      <sheetName val="Jan EHR Printer 2012"/>
      <sheetName val="Jan EHR dpts&amp;laps 2012"/>
      <sheetName val="Feb Mailbox 2012"/>
      <sheetName val="Feb EHR Server 2012"/>
      <sheetName val="Feb EHR Printer 2012"/>
      <sheetName val="Server 2012"/>
      <sheetName val="Routers &amp; Firewalls"/>
      <sheetName val="Network-Switch 2012"/>
      <sheetName val="March EHR Dpts&amp;Laps 2012"/>
      <sheetName val="March EHR Server 2012"/>
      <sheetName val="Printer 2012"/>
      <sheetName val="EHR Laptops &amp; Desktops"/>
      <sheetName val="EHR Printer 2012"/>
      <sheetName val="Laptops and Desktops"/>
      <sheetName val="PIVOT"/>
      <sheetName val="Dashboard"/>
      <sheetName val="LPTP_DSPT_Validation"/>
      <sheetName val="Drop down data"/>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A4" t="str">
            <v>Gurgaon</v>
          </cell>
        </row>
      </sheetData>
      <sheetData sheetId="51">
        <row r="4">
          <cell r="A4" t="str">
            <v>Gurgaon</v>
          </cell>
        </row>
        <row r="5">
          <cell r="A5" t="str">
            <v>Noida</v>
          </cell>
        </row>
        <row r="6">
          <cell r="A6" t="str">
            <v>Okhla</v>
          </cell>
        </row>
        <row r="7">
          <cell r="A7" t="str">
            <v>Panchsheel Park</v>
          </cell>
        </row>
        <row r="8">
          <cell r="A8" t="str">
            <v>Patparganj</v>
          </cell>
        </row>
        <row r="9">
          <cell r="A9" t="str">
            <v>Pitampura</v>
          </cell>
        </row>
        <row r="10">
          <cell r="A10" t="str">
            <v>Dell Noida</v>
          </cell>
        </row>
        <row r="11">
          <cell r="A11" t="str">
            <v>Saket</v>
          </cell>
        </row>
        <row r="12">
          <cell r="A12" t="str">
            <v>Saket DDF</v>
          </cell>
        </row>
        <row r="13">
          <cell r="A13" t="str">
            <v>Saket MSSH</v>
          </cell>
        </row>
        <row r="14">
          <cell r="A14" t="str">
            <v>SaketMCC</v>
          </cell>
        </row>
        <row r="15">
          <cell r="A15" t="str">
            <v>Mohali</v>
          </cell>
        </row>
        <row r="16">
          <cell r="A16" t="str">
            <v>Bhatinda</v>
          </cell>
        </row>
        <row r="17">
          <cell r="A17" t="str">
            <v>Dehradun</v>
          </cell>
        </row>
        <row r="18">
          <cell r="A18" t="str">
            <v>Shalimar Bagh</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and T&amp;C"/>
      <sheetName val="Int BOQ"/>
      <sheetName val="Master Data INT BOQ"/>
      <sheetName val="profitability analysis"/>
      <sheetName val="BOQ LC"/>
      <sheetName val="BOQ AVC"/>
      <sheetName val="BOQ EE"/>
      <sheetName val="Master data"/>
      <sheetName val="Toll Cabling"/>
      <sheetName val="Sealant"/>
      <sheetName val="Conduits"/>
      <sheetName val="Connectors"/>
      <sheetName val="Lugs"/>
      <sheetName val="Spares"/>
    </sheetNames>
    <sheetDataSet>
      <sheetData sheetId="0" refreshError="1"/>
      <sheetData sheetId="1">
        <row r="34">
          <cell r="F34">
            <v>123</v>
          </cell>
        </row>
      </sheetData>
      <sheetData sheetId="2">
        <row r="1">
          <cell r="A1" t="str">
            <v>ID</v>
          </cell>
          <cell r="B1" t="str">
            <v>Item</v>
          </cell>
          <cell r="C1" t="str">
            <v>Price</v>
          </cell>
        </row>
        <row r="2">
          <cell r="A2">
            <v>1</v>
          </cell>
          <cell r="B2" t="str">
            <v>TOLL SYSTEMS</v>
          </cell>
          <cell r="C2">
            <v>1000</v>
          </cell>
        </row>
        <row r="3">
          <cell r="A3">
            <v>2</v>
          </cell>
          <cell r="B3" t="str">
            <v>Toll</v>
          </cell>
          <cell r="C3">
            <v>1001</v>
          </cell>
        </row>
        <row r="4">
          <cell r="A4">
            <v>3</v>
          </cell>
          <cell r="B4" t="str">
            <v>INDEPENDENT AVC</v>
          </cell>
          <cell r="C4">
            <v>1002</v>
          </cell>
        </row>
        <row r="5">
          <cell r="A5">
            <v>4</v>
          </cell>
          <cell r="B5" t="str">
            <v>AVC Controller</v>
          </cell>
          <cell r="C5">
            <v>1003</v>
          </cell>
        </row>
        <row r="6">
          <cell r="A6">
            <v>5</v>
          </cell>
          <cell r="B6" t="str">
            <v>IR based AVC Profiler</v>
          </cell>
          <cell r="C6">
            <v>1004</v>
          </cell>
        </row>
        <row r="7">
          <cell r="A7">
            <v>6</v>
          </cell>
          <cell r="B7" t="str">
            <v>Loop Detector</v>
          </cell>
          <cell r="C7">
            <v>1005</v>
          </cell>
        </row>
        <row r="8">
          <cell r="A8">
            <v>7</v>
          </cell>
          <cell r="B8" t="str">
            <v>Height sensor</v>
          </cell>
          <cell r="C8">
            <v>1006</v>
          </cell>
        </row>
        <row r="9">
          <cell r="A9">
            <v>8</v>
          </cell>
          <cell r="B9" t="str">
            <v>LANE EQUIPMENT</v>
          </cell>
          <cell r="C9">
            <v>1007</v>
          </cell>
        </row>
        <row r="10">
          <cell r="A10">
            <v>9</v>
          </cell>
          <cell r="B10" t="str">
            <v>Customized keyboard with 142 keys and USB interface</v>
          </cell>
          <cell r="C10">
            <v>1008</v>
          </cell>
        </row>
        <row r="11">
          <cell r="A11">
            <v>10</v>
          </cell>
          <cell r="B11" t="str">
            <v>Key Kaps kit</v>
          </cell>
          <cell r="C11">
            <v>1009</v>
          </cell>
        </row>
        <row r="12">
          <cell r="A12">
            <v>11</v>
          </cell>
          <cell r="B12" t="str">
            <v>Stickers</v>
          </cell>
          <cell r="C12">
            <v>1010</v>
          </cell>
        </row>
        <row r="13">
          <cell r="A13">
            <v>12</v>
          </cell>
          <cell r="B13" t="str">
            <v>Monitor</v>
          </cell>
          <cell r="C13">
            <v>1011</v>
          </cell>
        </row>
        <row r="14">
          <cell r="A14">
            <v>13</v>
          </cell>
          <cell r="B14" t="str">
            <v>Traffic light</v>
          </cell>
          <cell r="C14">
            <v>1012</v>
          </cell>
        </row>
        <row r="15">
          <cell r="A15">
            <v>14</v>
          </cell>
          <cell r="B15" t="str">
            <v>Pole For traffic light</v>
          </cell>
          <cell r="C15">
            <v>1013</v>
          </cell>
        </row>
        <row r="16">
          <cell r="A16">
            <v>15</v>
          </cell>
          <cell r="B16" t="str">
            <v>User Fare Display (3 Lines, 12 Character)
With HINDi and English Fonts</v>
          </cell>
          <cell r="C16">
            <v>1014</v>
          </cell>
        </row>
        <row r="17">
          <cell r="A17">
            <v>16</v>
          </cell>
          <cell r="B17" t="str">
            <v xml:space="preserve">Pole for UFD </v>
          </cell>
          <cell r="C17">
            <v>1015</v>
          </cell>
        </row>
        <row r="18">
          <cell r="A18">
            <v>17</v>
          </cell>
          <cell r="B18" t="str">
            <v>OHLS (Over Head Lane Signal)</v>
          </cell>
          <cell r="C18">
            <v>1016</v>
          </cell>
        </row>
        <row r="19">
          <cell r="A19">
            <v>18</v>
          </cell>
          <cell r="B19" t="str">
            <v>Intercom Slave Unit</v>
          </cell>
          <cell r="C19">
            <v>1017</v>
          </cell>
        </row>
        <row r="20">
          <cell r="A20">
            <v>19</v>
          </cell>
          <cell r="B20" t="str">
            <v>Intercom Slave Unit</v>
          </cell>
          <cell r="C20">
            <v>1018</v>
          </cell>
        </row>
        <row r="21">
          <cell r="A21">
            <v>20</v>
          </cell>
          <cell r="B21" t="str">
            <v>Master Unit Intercom</v>
          </cell>
          <cell r="C21">
            <v>1019</v>
          </cell>
        </row>
        <row r="22">
          <cell r="A22">
            <v>21</v>
          </cell>
          <cell r="B22" t="str">
            <v>power supply for master</v>
          </cell>
          <cell r="C22">
            <v>1020</v>
          </cell>
        </row>
        <row r="23">
          <cell r="A23">
            <v>22</v>
          </cell>
          <cell r="B23" t="str">
            <v>Voice Logger</v>
          </cell>
          <cell r="C23">
            <v>1021</v>
          </cell>
        </row>
        <row r="24">
          <cell r="A24">
            <v>23</v>
          </cell>
          <cell r="B24" t="str">
            <v xml:space="preserve">Violator Siren </v>
          </cell>
          <cell r="C24">
            <v>1022</v>
          </cell>
        </row>
        <row r="25">
          <cell r="A25">
            <v>24</v>
          </cell>
          <cell r="B25" t="str">
            <v>Annunciator Panel</v>
          </cell>
          <cell r="C25">
            <v>1023</v>
          </cell>
        </row>
        <row r="26">
          <cell r="A26">
            <v>25</v>
          </cell>
          <cell r="B26" t="str">
            <v>Panic switch-Foot operated</v>
          </cell>
          <cell r="C26">
            <v>1024</v>
          </cell>
        </row>
        <row r="27">
          <cell r="A27">
            <v>26</v>
          </cell>
          <cell r="B27" t="str">
            <v>Amber light</v>
          </cell>
          <cell r="C27">
            <v>1025</v>
          </cell>
        </row>
        <row r="28">
          <cell r="A28">
            <v>27</v>
          </cell>
          <cell r="B28" t="str">
            <v>Receipt Printer</v>
          </cell>
          <cell r="C28">
            <v>1026</v>
          </cell>
        </row>
        <row r="29">
          <cell r="A29">
            <v>28</v>
          </cell>
          <cell r="B29" t="str">
            <v>ICS Camera</v>
          </cell>
          <cell r="C29">
            <v>1027</v>
          </cell>
        </row>
        <row r="30">
          <cell r="A30">
            <v>29</v>
          </cell>
          <cell r="B30" t="str">
            <v>Frame Grabber Card</v>
          </cell>
          <cell r="C30">
            <v>1028</v>
          </cell>
        </row>
        <row r="31">
          <cell r="A31">
            <v>30</v>
          </cell>
          <cell r="B31" t="str">
            <v>Pole for ICS Camera</v>
          </cell>
          <cell r="C31">
            <v>1029</v>
          </cell>
        </row>
        <row r="32">
          <cell r="A32">
            <v>31</v>
          </cell>
          <cell r="B32" t="str">
            <v>Extra Camera for Video</v>
          </cell>
          <cell r="C32">
            <v>1030</v>
          </cell>
        </row>
        <row r="33">
          <cell r="A33">
            <v>32</v>
          </cell>
          <cell r="B33" t="str">
            <v>LPIC  Camera</v>
          </cell>
          <cell r="C33">
            <v>1031</v>
          </cell>
        </row>
        <row r="34">
          <cell r="A34">
            <v>33</v>
          </cell>
          <cell r="B34" t="str">
            <v>Pole for LPIC Camera</v>
          </cell>
          <cell r="C34">
            <v>1032</v>
          </cell>
        </row>
        <row r="35">
          <cell r="A35">
            <v>34</v>
          </cell>
          <cell r="B35" t="str">
            <v>Loop Detector for LPIC</v>
          </cell>
          <cell r="C35">
            <v>1033</v>
          </cell>
        </row>
        <row r="36">
          <cell r="A36">
            <v>35</v>
          </cell>
          <cell r="B36" t="str">
            <v>Barrier Gate (0.9 sec)</v>
          </cell>
          <cell r="C36">
            <v>1034</v>
          </cell>
        </row>
        <row r="37">
          <cell r="A37">
            <v>36</v>
          </cell>
          <cell r="B37" t="str">
            <v>Barrier Gate (0.6 sec)</v>
          </cell>
          <cell r="C37">
            <v>1035</v>
          </cell>
        </row>
        <row r="38">
          <cell r="A38">
            <v>37</v>
          </cell>
          <cell r="B38" t="str">
            <v>Outdoor lane smart card reader</v>
          </cell>
          <cell r="C38">
            <v>1036</v>
          </cell>
        </row>
        <row r="39">
          <cell r="A39">
            <v>38</v>
          </cell>
          <cell r="B39" t="str">
            <v>Barcode Reader</v>
          </cell>
          <cell r="C39">
            <v>1037</v>
          </cell>
        </row>
        <row r="40">
          <cell r="A40">
            <v>39</v>
          </cell>
          <cell r="B40" t="str">
            <v>Manual Booth Controller</v>
          </cell>
          <cell r="C40">
            <v>1038</v>
          </cell>
        </row>
        <row r="41">
          <cell r="A41">
            <v>40</v>
          </cell>
          <cell r="B41" t="str">
            <v>Fog Light</v>
          </cell>
          <cell r="C41">
            <v>1039</v>
          </cell>
        </row>
        <row r="42">
          <cell r="A42">
            <v>41</v>
          </cell>
          <cell r="B42" t="str">
            <v>Fog Light controller</v>
          </cell>
          <cell r="C42">
            <v>1040</v>
          </cell>
        </row>
        <row r="43">
          <cell r="A43">
            <v>42</v>
          </cell>
          <cell r="B43" t="str">
            <v>Pole for Fog light</v>
          </cell>
          <cell r="C43">
            <v>1041</v>
          </cell>
        </row>
        <row r="44">
          <cell r="A44">
            <v>43</v>
          </cell>
          <cell r="B44" t="str">
            <v>Manual barriers</v>
          </cell>
          <cell r="C44">
            <v>1042</v>
          </cell>
        </row>
        <row r="45">
          <cell r="A45">
            <v>44</v>
          </cell>
          <cell r="B45" t="str">
            <v>Handheld RFID Reader</v>
          </cell>
          <cell r="C45">
            <v>1043</v>
          </cell>
        </row>
        <row r="46">
          <cell r="A46">
            <v>45</v>
          </cell>
          <cell r="B46" t="str">
            <v>Handheld RFID Reader Software</v>
          </cell>
          <cell r="C46">
            <v>1044</v>
          </cell>
        </row>
        <row r="47">
          <cell r="A47">
            <v>46</v>
          </cell>
          <cell r="B47" t="str">
            <v>PTZ CAMERA</v>
          </cell>
          <cell r="C47">
            <v>1045</v>
          </cell>
        </row>
        <row r="48">
          <cell r="A48">
            <v>47</v>
          </cell>
          <cell r="B48" t="str">
            <v>Plaza Surveilance Camera - PTZ</v>
          </cell>
          <cell r="C48">
            <v>1046</v>
          </cell>
        </row>
        <row r="49">
          <cell r="A49">
            <v>48</v>
          </cell>
          <cell r="B49" t="str">
            <v>Monitor 42"</v>
          </cell>
          <cell r="C49">
            <v>1047</v>
          </cell>
        </row>
        <row r="50">
          <cell r="A50">
            <v>49</v>
          </cell>
          <cell r="B50" t="str">
            <v>Control Keyboard/ Joystick</v>
          </cell>
          <cell r="C50">
            <v>1048</v>
          </cell>
        </row>
        <row r="51">
          <cell r="A51">
            <v>50</v>
          </cell>
          <cell r="B51" t="str">
            <v>Pole + Surge protector + Junction box</v>
          </cell>
          <cell r="C51">
            <v>1049</v>
          </cell>
        </row>
        <row r="52">
          <cell r="A52">
            <v>51</v>
          </cell>
          <cell r="B52" t="str">
            <v>BOOTH MONITORING</v>
          </cell>
          <cell r="C52">
            <v>1050</v>
          </cell>
        </row>
        <row r="53">
          <cell r="A53">
            <v>52</v>
          </cell>
          <cell r="B53" t="str">
            <v>Booth Surveilance Camera (Wireless)</v>
          </cell>
          <cell r="C53">
            <v>1051</v>
          </cell>
        </row>
        <row r="54">
          <cell r="A54">
            <v>53</v>
          </cell>
          <cell r="B54" t="str">
            <v xml:space="preserve">NVR (16 channel) </v>
          </cell>
          <cell r="C54">
            <v>1052</v>
          </cell>
        </row>
        <row r="55">
          <cell r="A55">
            <v>54</v>
          </cell>
          <cell r="B55" t="str">
            <v>HDD for NVR</v>
          </cell>
          <cell r="C55">
            <v>1053</v>
          </cell>
        </row>
        <row r="56">
          <cell r="A56">
            <v>55</v>
          </cell>
          <cell r="B56" t="str">
            <v>NVR License Software</v>
          </cell>
          <cell r="C56">
            <v>1054</v>
          </cell>
        </row>
        <row r="57">
          <cell r="A57">
            <v>56</v>
          </cell>
          <cell r="B57" t="str">
            <v>Workstation</v>
          </cell>
          <cell r="C57">
            <v>1055</v>
          </cell>
        </row>
        <row r="58">
          <cell r="A58">
            <v>57</v>
          </cell>
          <cell r="B58" t="str">
            <v>SERVERS</v>
          </cell>
          <cell r="C58">
            <v>1056</v>
          </cell>
        </row>
        <row r="59">
          <cell r="A59">
            <v>58</v>
          </cell>
          <cell r="B59" t="str">
            <v>Toll Plaza Server</v>
          </cell>
          <cell r="C59">
            <v>1057</v>
          </cell>
        </row>
        <row r="60">
          <cell r="A60">
            <v>59</v>
          </cell>
          <cell r="B60" t="str">
            <v>ETC server-Optional</v>
          </cell>
          <cell r="C60">
            <v>1058</v>
          </cell>
        </row>
        <row r="61">
          <cell r="A61">
            <v>60</v>
          </cell>
          <cell r="B61" t="str">
            <v>Central Server</v>
          </cell>
          <cell r="C61">
            <v>1059</v>
          </cell>
        </row>
        <row r="62">
          <cell r="A62">
            <v>61</v>
          </cell>
          <cell r="B62" t="str">
            <v>42 U Rack</v>
          </cell>
          <cell r="C62">
            <v>1060</v>
          </cell>
        </row>
        <row r="63">
          <cell r="A63">
            <v>62</v>
          </cell>
          <cell r="B63" t="str">
            <v>Tape back up drive</v>
          </cell>
          <cell r="C63">
            <v>1061</v>
          </cell>
        </row>
        <row r="64">
          <cell r="A64">
            <v>63</v>
          </cell>
          <cell r="B64" t="str">
            <v>Tape Cartridge</v>
          </cell>
          <cell r="C64">
            <v>1062</v>
          </cell>
        </row>
        <row r="65">
          <cell r="A65">
            <v>64</v>
          </cell>
          <cell r="B65" t="str">
            <v>WORKSTATION</v>
          </cell>
          <cell r="C65">
            <v>1063</v>
          </cell>
        </row>
        <row r="66">
          <cell r="A66">
            <v>65</v>
          </cell>
          <cell r="B66" t="str">
            <v>LSDU</v>
          </cell>
          <cell r="C66">
            <v>1064</v>
          </cell>
        </row>
        <row r="67">
          <cell r="A67">
            <v>66</v>
          </cell>
          <cell r="B67" t="str">
            <v>Transaction Review/Audit</v>
          </cell>
          <cell r="C67">
            <v>1065</v>
          </cell>
        </row>
        <row r="68">
          <cell r="A68">
            <v>67</v>
          </cell>
          <cell r="B68" t="str">
            <v>Cash up</v>
          </cell>
          <cell r="C68">
            <v>1066</v>
          </cell>
        </row>
        <row r="69">
          <cell r="A69">
            <v>68</v>
          </cell>
          <cell r="B69" t="str">
            <v>POS</v>
          </cell>
          <cell r="C69">
            <v>1067</v>
          </cell>
        </row>
        <row r="70">
          <cell r="A70">
            <v>69</v>
          </cell>
          <cell r="B70" t="str">
            <v>Audit</v>
          </cell>
          <cell r="C70">
            <v>1068</v>
          </cell>
        </row>
        <row r="71">
          <cell r="A71">
            <v>70</v>
          </cell>
          <cell r="B71" t="str">
            <v>Admin workstation/MIS</v>
          </cell>
          <cell r="C71">
            <v>1069</v>
          </cell>
        </row>
        <row r="72">
          <cell r="A72">
            <v>71</v>
          </cell>
          <cell r="B72" t="str">
            <v>Validation work station</v>
          </cell>
          <cell r="C72">
            <v>1070</v>
          </cell>
        </row>
        <row r="73">
          <cell r="A73">
            <v>72</v>
          </cell>
          <cell r="B73" t="str">
            <v>PRINTER</v>
          </cell>
          <cell r="C73">
            <v>1071</v>
          </cell>
        </row>
        <row r="74">
          <cell r="A74">
            <v>73</v>
          </cell>
          <cell r="B74" t="str">
            <v>Laser Printer for POS</v>
          </cell>
          <cell r="C74">
            <v>1072</v>
          </cell>
        </row>
        <row r="75">
          <cell r="A75">
            <v>74</v>
          </cell>
          <cell r="B75" t="str">
            <v>Laser Printer for cashup</v>
          </cell>
          <cell r="C75">
            <v>1073</v>
          </cell>
        </row>
        <row r="76">
          <cell r="A76">
            <v>75</v>
          </cell>
          <cell r="B76" t="str">
            <v>laser printer for Admin</v>
          </cell>
          <cell r="C76">
            <v>1074</v>
          </cell>
        </row>
        <row r="77">
          <cell r="A77">
            <v>76</v>
          </cell>
          <cell r="B77" t="str">
            <v>CONTROL ROOM EQUIPMENT</v>
          </cell>
          <cell r="C77">
            <v>1075</v>
          </cell>
        </row>
        <row r="78">
          <cell r="A78">
            <v>77</v>
          </cell>
          <cell r="B78" t="str">
            <v>Scanner</v>
          </cell>
          <cell r="C78">
            <v>1076</v>
          </cell>
        </row>
        <row r="79">
          <cell r="A79">
            <v>78</v>
          </cell>
          <cell r="B79" t="str">
            <v>Antivirus</v>
          </cell>
          <cell r="C79">
            <v>1077</v>
          </cell>
        </row>
        <row r="80">
          <cell r="A80">
            <v>79</v>
          </cell>
          <cell r="B80" t="str">
            <v>Smart card reader (Internal)/ POS reader</v>
          </cell>
          <cell r="C80">
            <v>1078</v>
          </cell>
        </row>
        <row r="81">
          <cell r="A81">
            <v>80</v>
          </cell>
          <cell r="B81" t="str">
            <v>Smart cards</v>
          </cell>
          <cell r="C81">
            <v>1079</v>
          </cell>
        </row>
        <row r="82">
          <cell r="A82">
            <v>81</v>
          </cell>
          <cell r="B82" t="str">
            <v>Building /Tunnel camera- Dome type</v>
          </cell>
          <cell r="C82">
            <v>1080</v>
          </cell>
        </row>
        <row r="83">
          <cell r="A83">
            <v>82</v>
          </cell>
          <cell r="B83" t="str">
            <v>Lane Network Switch with 2 SFP Port</v>
          </cell>
          <cell r="C83">
            <v>1081</v>
          </cell>
        </row>
        <row r="84">
          <cell r="A84">
            <v>83</v>
          </cell>
          <cell r="B84" t="str">
            <v>SFP Modules</v>
          </cell>
          <cell r="C84">
            <v>1082</v>
          </cell>
        </row>
        <row r="85">
          <cell r="A85">
            <v>84</v>
          </cell>
          <cell r="B85" t="str">
            <v>LC-LC Patch Panel (6-port)</v>
          </cell>
          <cell r="C85">
            <v>1083</v>
          </cell>
        </row>
        <row r="86">
          <cell r="A86">
            <v>85</v>
          </cell>
          <cell r="B86" t="str">
            <v>Ethernet Patch Panel (24-port)</v>
          </cell>
          <cell r="C86">
            <v>1084</v>
          </cell>
        </row>
        <row r="87">
          <cell r="A87">
            <v>86</v>
          </cell>
          <cell r="B87" t="str">
            <v>LC-LC Patch Cords (OFC)</v>
          </cell>
          <cell r="C87">
            <v>1085</v>
          </cell>
        </row>
        <row r="88">
          <cell r="A88">
            <v>87</v>
          </cell>
          <cell r="B88" t="str">
            <v xml:space="preserve">Cat-6 Patch Cords </v>
          </cell>
          <cell r="C88">
            <v>1086</v>
          </cell>
        </row>
        <row r="89">
          <cell r="A89">
            <v>88</v>
          </cell>
          <cell r="B89" t="str">
            <v>Cat-6 Ios</v>
          </cell>
          <cell r="C89">
            <v>1087</v>
          </cell>
        </row>
        <row r="90">
          <cell r="A90">
            <v>89</v>
          </cell>
          <cell r="B90" t="str">
            <v>LAN</v>
          </cell>
          <cell r="C90">
            <v>1088</v>
          </cell>
        </row>
        <row r="91">
          <cell r="A91">
            <v>90</v>
          </cell>
          <cell r="B91" t="str">
            <v>Lane Network Switch with 2 SFP Port</v>
          </cell>
          <cell r="C91">
            <v>1089</v>
          </cell>
        </row>
        <row r="92">
          <cell r="A92">
            <v>91</v>
          </cell>
          <cell r="B92" t="str">
            <v>Lane Network Switch without SFP ports</v>
          </cell>
          <cell r="C92">
            <v>1090</v>
          </cell>
        </row>
        <row r="93">
          <cell r="A93">
            <v>92</v>
          </cell>
          <cell r="B93" t="str">
            <v>SFP Modules</v>
          </cell>
          <cell r="C93">
            <v>1091</v>
          </cell>
        </row>
        <row r="94">
          <cell r="A94">
            <v>93</v>
          </cell>
          <cell r="B94" t="str">
            <v>LC-LC Patch Panel (6-port)</v>
          </cell>
          <cell r="C94">
            <v>1092</v>
          </cell>
        </row>
        <row r="95">
          <cell r="A95">
            <v>94</v>
          </cell>
          <cell r="B95" t="str">
            <v>Ethernet Patch Panel (32-port, 1RU)</v>
          </cell>
          <cell r="C95">
            <v>1093</v>
          </cell>
        </row>
        <row r="96">
          <cell r="A96">
            <v>95</v>
          </cell>
          <cell r="B96" t="str">
            <v>LC-LC Patch Cords (OFC)</v>
          </cell>
          <cell r="C96">
            <v>1094</v>
          </cell>
        </row>
        <row r="97">
          <cell r="A97">
            <v>96</v>
          </cell>
          <cell r="B97" t="str">
            <v xml:space="preserve">Cat-6 Patch Cords </v>
          </cell>
          <cell r="C97">
            <v>1095</v>
          </cell>
        </row>
        <row r="98">
          <cell r="A98">
            <v>97</v>
          </cell>
          <cell r="B98" t="str">
            <v>9U rack</v>
          </cell>
          <cell r="C98">
            <v>1096</v>
          </cell>
        </row>
        <row r="99">
          <cell r="A99">
            <v>98</v>
          </cell>
          <cell r="B99" t="str">
            <v>OFC (6C, Single mode unarmoured with connection accessories)</v>
          </cell>
          <cell r="C99">
            <v>1097</v>
          </cell>
        </row>
        <row r="100">
          <cell r="A100">
            <v>99</v>
          </cell>
          <cell r="B100" t="str">
            <v>SOFTWARE</v>
          </cell>
          <cell r="C100">
            <v>1098</v>
          </cell>
        </row>
        <row r="101">
          <cell r="A101">
            <v>100</v>
          </cell>
          <cell r="B101" t="str">
            <v>Lane software</v>
          </cell>
          <cell r="C101">
            <v>1099</v>
          </cell>
        </row>
        <row r="102">
          <cell r="A102">
            <v>101</v>
          </cell>
          <cell r="B102" t="str">
            <v>ETC lane software</v>
          </cell>
          <cell r="C102">
            <v>1100</v>
          </cell>
        </row>
        <row r="103">
          <cell r="A103">
            <v>102</v>
          </cell>
          <cell r="B103" t="str">
            <v>Cashup software</v>
          </cell>
          <cell r="C103">
            <v>1101</v>
          </cell>
        </row>
        <row r="104">
          <cell r="A104">
            <v>103</v>
          </cell>
          <cell r="B104" t="str">
            <v>Transcation Review Module</v>
          </cell>
          <cell r="C104">
            <v>1102</v>
          </cell>
        </row>
        <row r="105">
          <cell r="A105">
            <v>104</v>
          </cell>
          <cell r="B105" t="str">
            <v>LSDU software</v>
          </cell>
          <cell r="C105">
            <v>1103</v>
          </cell>
        </row>
        <row r="106">
          <cell r="A106">
            <v>105</v>
          </cell>
          <cell r="B106" t="str">
            <v>Admin Software</v>
          </cell>
          <cell r="C106">
            <v>1104</v>
          </cell>
        </row>
        <row r="107">
          <cell r="A107">
            <v>106</v>
          </cell>
          <cell r="B107" t="str">
            <v>Reporting Module</v>
          </cell>
          <cell r="C107">
            <v>1105</v>
          </cell>
        </row>
        <row r="108">
          <cell r="A108">
            <v>107</v>
          </cell>
          <cell r="B108" t="str">
            <v>HHT module</v>
          </cell>
          <cell r="C108">
            <v>1106</v>
          </cell>
        </row>
        <row r="109">
          <cell r="A109">
            <v>108</v>
          </cell>
          <cell r="B109" t="str">
            <v>POS software</v>
          </cell>
          <cell r="C109">
            <v>1107</v>
          </cell>
        </row>
        <row r="110">
          <cell r="A110">
            <v>109</v>
          </cell>
          <cell r="B110" t="str">
            <v>MS Office</v>
          </cell>
          <cell r="C110">
            <v>1108</v>
          </cell>
        </row>
        <row r="111">
          <cell r="A111">
            <v>110</v>
          </cell>
          <cell r="B111" t="str">
            <v>MS 2012 for workstation</v>
          </cell>
          <cell r="C111">
            <v>1109</v>
          </cell>
        </row>
        <row r="112">
          <cell r="A112">
            <v>111</v>
          </cell>
          <cell r="B112" t="str">
            <v>Web recharge/ CCH</v>
          </cell>
          <cell r="C112">
            <v>1110</v>
          </cell>
        </row>
        <row r="113">
          <cell r="A113">
            <v>112</v>
          </cell>
          <cell r="B113" t="str">
            <v>Remote monitoring (HO)/ Audit at HO</v>
          </cell>
          <cell r="C113">
            <v>1111</v>
          </cell>
        </row>
        <row r="114">
          <cell r="A114">
            <v>113</v>
          </cell>
          <cell r="B114" t="str">
            <v>Database</v>
          </cell>
          <cell r="C114">
            <v>1112</v>
          </cell>
        </row>
        <row r="115">
          <cell r="A115">
            <v>114</v>
          </cell>
          <cell r="B115" t="str">
            <v>WINDOWS SERVER</v>
          </cell>
          <cell r="C115">
            <v>1113</v>
          </cell>
        </row>
        <row r="116">
          <cell r="A116">
            <v>115</v>
          </cell>
          <cell r="B116" t="str">
            <v>MS 2012 for plaza servers</v>
          </cell>
          <cell r="C116">
            <v>1114</v>
          </cell>
        </row>
        <row r="117">
          <cell r="A117">
            <v>116</v>
          </cell>
          <cell r="B117" t="str">
            <v>Firewall</v>
          </cell>
          <cell r="C117">
            <v>1115</v>
          </cell>
        </row>
        <row r="118">
          <cell r="A118">
            <v>117</v>
          </cell>
          <cell r="B118" t="str">
            <v>15KVA redundant</v>
          </cell>
          <cell r="C118">
            <v>1116</v>
          </cell>
        </row>
        <row r="119">
          <cell r="A119">
            <v>118</v>
          </cell>
          <cell r="B119" t="str">
            <v>6 KVA central UPS with 30 mins. backup for lanes</v>
          </cell>
          <cell r="C119">
            <v>1117</v>
          </cell>
        </row>
        <row r="120">
          <cell r="A120">
            <v>119</v>
          </cell>
          <cell r="B120" t="str">
            <v>ETC (RFID)</v>
          </cell>
          <cell r="C120">
            <v>1118</v>
          </cell>
        </row>
        <row r="121">
          <cell r="A121">
            <v>120</v>
          </cell>
          <cell r="B121" t="str">
            <v>ETC Reader+Antenna</v>
          </cell>
          <cell r="C121">
            <v>1119</v>
          </cell>
        </row>
        <row r="122">
          <cell r="A122">
            <v>121</v>
          </cell>
          <cell r="B122" t="str">
            <v>Cantilever for Entry ETC Antennae</v>
          </cell>
          <cell r="C122">
            <v>1120</v>
          </cell>
        </row>
        <row r="123">
          <cell r="A123">
            <v>122</v>
          </cell>
          <cell r="B123" t="str">
            <v>Foundation for Cantilever</v>
          </cell>
          <cell r="C123">
            <v>1121</v>
          </cell>
        </row>
        <row r="124">
          <cell r="A124">
            <v>123</v>
          </cell>
          <cell r="B124" t="str">
            <v>Vehicle Seperator</v>
          </cell>
          <cell r="C124">
            <v>1122</v>
          </cell>
        </row>
        <row r="125">
          <cell r="A125">
            <v>124</v>
          </cell>
          <cell r="B125" t="str">
            <v>Loop Detector For Vehicle Seperator</v>
          </cell>
          <cell r="C125">
            <v>1123</v>
          </cell>
        </row>
        <row r="126">
          <cell r="A126">
            <v>125</v>
          </cell>
          <cell r="B126" t="str">
            <v>Vehcile Guidance Signals with 1.5mtr pole</v>
          </cell>
          <cell r="C126">
            <v>1124</v>
          </cell>
        </row>
        <row r="127">
          <cell r="A127">
            <v>126</v>
          </cell>
          <cell r="B127" t="str">
            <v>Loop Detector for Vehicle Guidance Signal</v>
          </cell>
          <cell r="C127">
            <v>1125</v>
          </cell>
        </row>
        <row r="128">
          <cell r="A128">
            <v>127</v>
          </cell>
          <cell r="B128" t="str">
            <v>Vehicle Guidance Signals</v>
          </cell>
          <cell r="C128">
            <v>1126</v>
          </cell>
        </row>
        <row r="129">
          <cell r="A129">
            <v>128</v>
          </cell>
          <cell r="B129" t="str">
            <v>Pole for VGS</v>
          </cell>
          <cell r="C129">
            <v>1127</v>
          </cell>
        </row>
        <row r="130">
          <cell r="A130">
            <v>129</v>
          </cell>
          <cell r="B130" t="str">
            <v>Electronic Enclosure</v>
          </cell>
          <cell r="C130">
            <v>1128</v>
          </cell>
        </row>
        <row r="131">
          <cell r="A131">
            <v>130</v>
          </cell>
          <cell r="B131" t="str">
            <v>ETC POS reader</v>
          </cell>
          <cell r="C131">
            <v>1129</v>
          </cell>
        </row>
        <row r="132">
          <cell r="A132">
            <v>131</v>
          </cell>
          <cell r="B132" t="str">
            <v>ETC Tags</v>
          </cell>
          <cell r="C132">
            <v>1130</v>
          </cell>
        </row>
        <row r="133">
          <cell r="A133">
            <v>132</v>
          </cell>
          <cell r="B133" t="str">
            <v>SUB TOTAL - A</v>
          </cell>
          <cell r="C133">
            <v>1131</v>
          </cell>
        </row>
        <row r="134">
          <cell r="A134">
            <v>133</v>
          </cell>
          <cell r="B134" t="str">
            <v>SERVICES</v>
          </cell>
          <cell r="C134">
            <v>1132</v>
          </cell>
        </row>
        <row r="135">
          <cell r="A135">
            <v>134</v>
          </cell>
          <cell r="B135" t="str">
            <v>Design and Documentation</v>
          </cell>
          <cell r="C135">
            <v>1133</v>
          </cell>
        </row>
        <row r="136">
          <cell r="A136">
            <v>135</v>
          </cell>
          <cell r="B136" t="str">
            <v>Trainning to Plaza personnel</v>
          </cell>
          <cell r="C136">
            <v>1134</v>
          </cell>
        </row>
        <row r="137">
          <cell r="A137">
            <v>136</v>
          </cell>
          <cell r="B137" t="str">
            <v>Installation &amp; Commisioning &amp; Project Managment</v>
          </cell>
          <cell r="C137">
            <v>1135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OB Components"/>
      <sheetName val="Capacity Inputs"/>
      <sheetName val="SizingSummary_Work"/>
      <sheetName val="SizingSummary_Assumptions"/>
      <sheetName val="Transactions Per Flow"/>
      <sheetName val="ModelActivation_Portin_PrePay"/>
      <sheetName val="PreactivationModel"/>
      <sheetName val="MCD"/>
      <sheetName val="OverallThroughput"/>
      <sheetName val="ProcessingMetrics"/>
      <sheetName val="UserProfile"/>
      <sheetName val="Processor_Load_Estimates_JBPM"/>
      <sheetName val="Leap_HW_Summary"/>
      <sheetName val="BillingHWEstimates"/>
      <sheetName val="CRM-UI"/>
      <sheetName val="Calls-Agents-Calc"/>
      <sheetName val="CRM-Tibbilling-CRMS-Services"/>
      <sheetName val="Selfcare-invoiceusageandall"/>
      <sheetName val="Selfcare-UI"/>
      <sheetName val="Batch jobs"/>
      <sheetName val="OBRM-1.2M accounts-reference"/>
      <sheetName val="BillingCapacityInputs"/>
      <sheetName val="Summary - Storage"/>
      <sheetName val="Postpaid- storage-cdr"/>
      <sheetName val="Prepaid-storage-cdr-billsnap"/>
      <sheetName val="storage-crm-om-billpdfs"/>
      <sheetName val="Space by schema reference"/>
      <sheetName val="ETL"/>
      <sheetName val="NetworkLayout"/>
      <sheetName val="Constants"/>
      <sheetName val="BO"/>
      <sheetName val="SanRequirements_old"/>
      <sheetName val="Formulae"/>
      <sheetName val="ContactCenter"/>
      <sheetName val="Speed"/>
      <sheetName val="Activation Screens"/>
      <sheetName val="Post Sales Screens"/>
      <sheetName val="BOM-Physical  PrimarysiteNotuse"/>
      <sheetName val="SizingSummary_VMMapping_notused"/>
      <sheetName val="hw ref"/>
      <sheetName val="Sizing Summary- Physical-notuse"/>
      <sheetName val="ProcessorLoading_Tcare_notused"/>
    </sheetNames>
    <sheetDataSet>
      <sheetData sheetId="0"/>
      <sheetData sheetId="1"/>
      <sheetData sheetId="2">
        <row r="29">
          <cell r="B29">
            <v>5461.54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OB Components"/>
      <sheetName val="Capacity Inputs"/>
      <sheetName val="SizingSummary_Work"/>
      <sheetName val="SizingSummary_Assumptions"/>
      <sheetName val="Transactions Per Flow"/>
      <sheetName val="ModelActivation_Portin_PrePay"/>
      <sheetName val="PreactivationModel"/>
      <sheetName val="MCD"/>
      <sheetName val="OverallThroughput"/>
      <sheetName val="ProcessingMetrics"/>
      <sheetName val="UserProfile"/>
      <sheetName val="Processor_Load_Estimates_JBPM"/>
      <sheetName val="Leap_HW_Summary"/>
      <sheetName val="BillingHWEstimates"/>
      <sheetName val="CRM-UI"/>
      <sheetName val="Calls-Agents-Calc"/>
      <sheetName val="CRM-Tibbilling-CRMS-Services"/>
      <sheetName val="Selfcare-invoiceusageandall"/>
      <sheetName val="Selfcare-UI"/>
      <sheetName val="Batch jobs"/>
      <sheetName val="OBRM-1.2M accounts-reference"/>
      <sheetName val="BillingCapacityInputs"/>
      <sheetName val="Summary - Storage"/>
      <sheetName val="Postpaid- storage-cdr"/>
      <sheetName val="Prepaid-storage-cdr-billsnap"/>
      <sheetName val="storage-crm-om-billpdfs"/>
      <sheetName val="Space by schema reference"/>
      <sheetName val="ETL"/>
      <sheetName val="NetworkLayout"/>
      <sheetName val="Constants"/>
      <sheetName val="BO"/>
      <sheetName val="SanRequirements_old"/>
      <sheetName val="Formulae"/>
      <sheetName val="ContactCenter"/>
      <sheetName val="Speed"/>
      <sheetName val="Activation Screens"/>
      <sheetName val="Post Sales Screens"/>
      <sheetName val="BOM-Physical  PrimarysiteNotuse"/>
      <sheetName val="SizingSummary_VMMapping_notused"/>
      <sheetName val="hw ref"/>
      <sheetName val="Sizing Summary- Physical-notuse"/>
      <sheetName val="ProcessorLoading_Tcare_notused"/>
    </sheetNames>
    <sheetDataSet>
      <sheetData sheetId="0"/>
      <sheetData sheetId="1"/>
      <sheetData sheetId="2">
        <row r="29">
          <cell r="B29">
            <v>5461.54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ersonnel (2)"/>
      <sheetName val="2Energy"/>
      <sheetName val="Civil(2)"/>
      <sheetName val="siteoff(4)"/>
      <sheetName val="spares&amp;maint(5)"/>
      <sheetName val="Sch C (2)"/>
      <sheetName val="Sch C"/>
      <sheetName val="7 Other Costs"/>
      <sheetName val="Kalkulationsbogen"/>
      <sheetName val="New_Wabagsheet_REV"/>
      <sheetName val="Summary"/>
      <sheetName val="spares(5 backup)"/>
      <sheetName val="prev(7)"/>
      <sheetName val="VB-chemicals(8)"/>
      <sheetName val="gasengine"/>
      <sheetName val="VB- sludge(11)"/>
      <sheetName val="Sch E"/>
      <sheetName val="Legal Risk Analysis"/>
      <sheetName val="MixBed"/>
      <sheetName val="Process"/>
      <sheetName val="#REF!"/>
      <sheetName val="2.9. Zwischenpuffer Risiko"/>
      <sheetName val="(10) Other Costs5"/>
      <sheetName val="HT-INTROD"/>
      <sheetName val="TehranBilanz"/>
      <sheetName val="Data"/>
      <sheetName val="WIND1"/>
      <sheetName val="local load"/>
      <sheetName val="Total"/>
      <sheetName val="Macro1"/>
      <sheetName val="SATHUMID"/>
      <sheetName val="COLUMN"/>
      <sheetName val="STAFFSCHED "/>
      <sheetName val="conc-foot-gradeslab"/>
      <sheetName val="Main-Material"/>
      <sheetName val="HASSAN"/>
      <sheetName val="pt-cw"/>
      <sheetName val="P.I(BOU)"/>
      <sheetName val="P.I(DIA)"/>
      <sheetName val="pr_cal"/>
      <sheetName val="Units"/>
      <sheetName val="VB-294-O&amp;M COST"/>
      <sheetName val="LCS SCHEDULE "/>
      <sheetName val="pr.cal"/>
      <sheetName val="F.I(BYPASS)"/>
      <sheetName val="Cul_detail"/>
      <sheetName val="Side wall dsn Formula"/>
      <sheetName val="Pile cap"/>
      <sheetName val="BOQ_Direct_selling cost"/>
      <sheetName val="Boq"/>
      <sheetName val="Sheet2"/>
      <sheetName val="Motor Data"/>
      <sheetName val="Config"/>
      <sheetName val="steam outlet"/>
      <sheetName val="Sheet1"/>
      <sheetName val="RA-markate"/>
      <sheetName val="Abstract Sheet"/>
      <sheetName val="p&amp;m"/>
      <sheetName val="TS-TC"/>
      <sheetName val="cubes_M20"/>
      <sheetName val="ssr-rates"/>
      <sheetName val="Design"/>
      <sheetName val="Input &amp; Calculations"/>
      <sheetName val="Introduction"/>
      <sheetName val="ELECT"/>
      <sheetName val="VK"/>
      <sheetName val="Dsgn_Crt"/>
      <sheetName val="Coversheet"/>
      <sheetName val="sand"/>
      <sheetName val="stone"/>
      <sheetName val="Input "/>
      <sheetName val="index"/>
      <sheetName val="Loading"/>
      <sheetName val="Specification"/>
      <sheetName val="BALAN1"/>
      <sheetName val="BOQ-Tower"/>
      <sheetName val="Rate analysis"/>
      <sheetName val="OLD IC"/>
      <sheetName val="IO LIST"/>
      <sheetName val="STG"/>
      <sheetName val="Desgn(zone I)"/>
      <sheetName val="E1"/>
      <sheetName val="Lucas3"/>
      <sheetName val="1Personnel_(2)"/>
      <sheetName val="Sch_C_(2)"/>
      <sheetName val="Sch_C"/>
      <sheetName val="7_Other_Costs"/>
      <sheetName val="spares(5_backup)"/>
      <sheetName val="VB-_sludge(11)"/>
      <sheetName val="Sch_E"/>
      <sheetName val="Legal_Risk_Analysis"/>
      <sheetName val="2_9__Zwischenpuffer_Risiko"/>
      <sheetName val="(10)_Other_Costs5"/>
      <sheetName val="local_load"/>
      <sheetName val="STAFFSCHED_"/>
      <sheetName val="Pile_cap"/>
      <sheetName val="BOQ_Direct_selling_cost"/>
      <sheetName val="P_I(BOU)"/>
      <sheetName val="P_I(DIA)"/>
      <sheetName val="VB-294-O&amp;M_COST"/>
      <sheetName val="LCS_SCHEDULE_"/>
      <sheetName val="pr_cal1"/>
      <sheetName val="F_I(BYPASS)"/>
      <sheetName val="Side_wall_dsn_Formula"/>
      <sheetName val="1Personnel_(2)1"/>
      <sheetName val="Sch_C_(2)1"/>
      <sheetName val="Sch_C1"/>
      <sheetName val="7_Other_Costs1"/>
      <sheetName val="spares(5_backup)1"/>
      <sheetName val="VB-_sludge(11)1"/>
      <sheetName val="Sch_E1"/>
      <sheetName val="Legal_Risk_Analysis1"/>
      <sheetName val="2_9__Zwischenpuffer_Risiko1"/>
      <sheetName val="(10)_Other_Costs51"/>
      <sheetName val="local_load1"/>
      <sheetName val="STAFFSCHED_1"/>
      <sheetName val="Pile_cap1"/>
      <sheetName val="BOQ_Direct_selling_cost1"/>
      <sheetName val="P_I(BOU)1"/>
      <sheetName val="P_I(DIA)1"/>
      <sheetName val="VB-294-O&amp;M_COST1"/>
      <sheetName val="LCS_SCHEDULE_1"/>
      <sheetName val="pr_cal2"/>
      <sheetName val="F_I(BYPASS)1"/>
      <sheetName val="Side_wall_dsn_Formula1"/>
      <sheetName val="Abstract_Sheet"/>
      <sheetName val="1Personnel_(2)2"/>
      <sheetName val="Sch_C_(2)2"/>
      <sheetName val="Sch_C2"/>
      <sheetName val="7_Other_Costs2"/>
      <sheetName val="spares(5_backup)2"/>
      <sheetName val="VB-_sludge(11)2"/>
      <sheetName val="Sch_E2"/>
      <sheetName val="Legal_Risk_Analysis2"/>
      <sheetName val="2_9__Zwischenpuffer_Risiko2"/>
      <sheetName val="(10)_Other_Costs52"/>
      <sheetName val="local_load2"/>
      <sheetName val="STAFFSCHED_2"/>
      <sheetName val="Pile_cap2"/>
      <sheetName val="BOQ_Direct_selling_cost2"/>
      <sheetName val="P_I(BOU)2"/>
      <sheetName val="P_I(DIA)2"/>
      <sheetName val="VB-294-O&amp;M_COST2"/>
      <sheetName val="LCS_SCHEDULE_2"/>
      <sheetName val="pr_cal3"/>
      <sheetName val="F_I(BYPASS)2"/>
      <sheetName val="Side_wall_dsn_Formula2"/>
      <sheetName val="1Personnel_(2)3"/>
      <sheetName val="Sch_C_(2)3"/>
      <sheetName val="Sch_C3"/>
      <sheetName val="7_Other_Costs3"/>
      <sheetName val="spares(5_backup)3"/>
      <sheetName val="VB-_sludge(11)3"/>
      <sheetName val="Sch_E3"/>
      <sheetName val="Legal_Risk_Analysis3"/>
      <sheetName val="2_9__Zwischenpuffer_Risiko3"/>
      <sheetName val="(10)_Other_Costs53"/>
      <sheetName val="local_load3"/>
      <sheetName val="STAFFSCHED_3"/>
      <sheetName val="Pile_cap3"/>
      <sheetName val="BOQ_Direct_selling_cost3"/>
      <sheetName val="P_I(BOU)3"/>
      <sheetName val="P_I(DIA)3"/>
      <sheetName val="VB-294-O&amp;M_COST3"/>
      <sheetName val="LCS_SCHEDULE_3"/>
      <sheetName val="pr_cal4"/>
      <sheetName val="F_I(BYPASS)3"/>
      <sheetName val="Side_wall_dsn_Formula3"/>
      <sheetName val="Abstract_Sheet1"/>
      <sheetName val="1Personnel_(2)4"/>
      <sheetName val="Sch_C_(2)4"/>
      <sheetName val="Sch_C4"/>
      <sheetName val="7_Other_Costs4"/>
      <sheetName val="spares(5_backup)4"/>
      <sheetName val="VB-_sludge(11)4"/>
      <sheetName val="Sch_E4"/>
      <sheetName val="Legal_Risk_Analysis4"/>
      <sheetName val="2_9__Zwischenpuffer_Risiko4"/>
      <sheetName val="(10)_Other_Costs54"/>
      <sheetName val="local_load4"/>
      <sheetName val="STAFFSCHED_4"/>
      <sheetName val="Pile_cap4"/>
      <sheetName val="BOQ_Direct_selling_cost4"/>
      <sheetName val="P_I(BOU)4"/>
      <sheetName val="P_I(DIA)4"/>
      <sheetName val="VB-294-O&amp;M_COST4"/>
      <sheetName val="LCS_SCHEDULE_4"/>
      <sheetName val="pr_cal5"/>
      <sheetName val="F_I(BYPASS)4"/>
      <sheetName val="Side_wall_dsn_Formula4"/>
      <sheetName val="Abstract_Sheet2"/>
      <sheetName val="1Personnel_(2)5"/>
      <sheetName val="Sch_C_(2)5"/>
      <sheetName val="Sch_C5"/>
      <sheetName val="7_Other_Costs5"/>
      <sheetName val="spares(5_backup)5"/>
      <sheetName val="VB-_sludge(11)5"/>
      <sheetName val="Sch_E5"/>
      <sheetName val="Legal_Risk_Analysis5"/>
      <sheetName val="2_9__Zwischenpuffer_Risiko5"/>
      <sheetName val="(10)_Other_Costs55"/>
      <sheetName val="local_load5"/>
      <sheetName val="STAFFSCHED_5"/>
      <sheetName val="Pile_cap5"/>
      <sheetName val="BOQ_Direct_selling_cost5"/>
      <sheetName val="P_I(BOU)5"/>
      <sheetName val="P_I(DIA)5"/>
      <sheetName val="VB-294-O&amp;M_COST5"/>
      <sheetName val="LCS_SCHEDULE_5"/>
      <sheetName val="pr_cal6"/>
      <sheetName val="F_I(BYPASS)5"/>
      <sheetName val="Side_wall_dsn_Formula5"/>
      <sheetName val="Abstract_Sheet3"/>
      <sheetName val="1Personnel_(2)6"/>
      <sheetName val="Sch_C_(2)6"/>
      <sheetName val="Sch_C6"/>
      <sheetName val="7_Other_Costs6"/>
      <sheetName val="spares(5_backup)6"/>
      <sheetName val="VB-_sludge(11)6"/>
      <sheetName val="Sch_E6"/>
      <sheetName val="Legal_Risk_Analysis6"/>
      <sheetName val="2_9__Zwischenpuffer_Risiko6"/>
      <sheetName val="(10)_Other_Costs56"/>
      <sheetName val="local_load6"/>
      <sheetName val="STAFFSCHED_6"/>
      <sheetName val="Pile_cap6"/>
      <sheetName val="BOQ_Direct_selling_cost6"/>
      <sheetName val="P_I(BOU)6"/>
      <sheetName val="P_I(DIA)6"/>
      <sheetName val="VB-294-O&amp;M_COST6"/>
      <sheetName val="LCS_SCHEDULE_6"/>
      <sheetName val="pr_cal7"/>
      <sheetName val="F_I(BYPASS)6"/>
      <sheetName val="Side_wall_dsn_Formula6"/>
      <sheetName val="Abstract_Sheet4"/>
      <sheetName val="1Personnel_(2)7"/>
      <sheetName val="Sch_C_(2)7"/>
      <sheetName val="Sch_C7"/>
      <sheetName val="7_Other_Costs7"/>
      <sheetName val="spares(5_backup)7"/>
      <sheetName val="VB-_sludge(11)7"/>
      <sheetName val="Sch_E7"/>
      <sheetName val="Legal_Risk_Analysis7"/>
      <sheetName val="2_9__Zwischenpuffer_Risiko7"/>
      <sheetName val="(10)_Other_Costs57"/>
      <sheetName val="local_load7"/>
      <sheetName val="STAFFSCHED_7"/>
      <sheetName val="Pile_cap7"/>
      <sheetName val="BOQ_Direct_selling_cost7"/>
      <sheetName val="P_I(BOU)7"/>
      <sheetName val="P_I(DIA)7"/>
      <sheetName val="VB-294-O&amp;M_COST7"/>
      <sheetName val="LCS_SCHEDULE_7"/>
      <sheetName val="pr_cal8"/>
      <sheetName val="F_I(BYPASS)7"/>
      <sheetName val="Side_wall_dsn_Formula7"/>
      <sheetName val="Abstract_Sheet5"/>
      <sheetName val="Rate_analysis"/>
      <sheetName val="OLD_IC"/>
      <sheetName val="IO_LIST"/>
      <sheetName val="Desgn(zone_I)"/>
      <sheetName val="Input_&amp;_Calculations"/>
      <sheetName val="1Personnel_(2)8"/>
      <sheetName val="Sch_C_(2)8"/>
      <sheetName val="Sch_C8"/>
      <sheetName val="7_Other_Costs8"/>
      <sheetName val="spares(5_backup)8"/>
      <sheetName val="VB-_sludge(11)8"/>
      <sheetName val="Sch_E8"/>
      <sheetName val="Legal_Risk_Analysis8"/>
      <sheetName val="2_9__Zwischenpuffer_Risiko8"/>
      <sheetName val="(10)_Other_Costs58"/>
      <sheetName val="local_load8"/>
      <sheetName val="STAFFSCHED_8"/>
      <sheetName val="Pile_cap8"/>
      <sheetName val="BOQ_Direct_selling_cost8"/>
      <sheetName val="P_I(BOU)8"/>
      <sheetName val="P_I(DIA)8"/>
      <sheetName val="VB-294-O&amp;M_COST8"/>
      <sheetName val="LCS_SCHEDULE_8"/>
      <sheetName val="pr_cal9"/>
      <sheetName val="F_I(BYPASS)8"/>
      <sheetName val="Side_wall_dsn_Formula8"/>
      <sheetName val="Abstract_Sheet6"/>
      <sheetName val="Rate_analysis1"/>
      <sheetName val="OLD_IC1"/>
      <sheetName val="IO_LIST1"/>
      <sheetName val="Desgn(zone_I)1"/>
      <sheetName val="Input_&amp;_Calculations1"/>
      <sheetName val="1Personnel_(2)10"/>
      <sheetName val="Sch_C_(2)10"/>
      <sheetName val="Sch_C10"/>
      <sheetName val="7_Other_Costs10"/>
      <sheetName val="spares(5_backup)10"/>
      <sheetName val="VB-_sludge(11)10"/>
      <sheetName val="Sch_E10"/>
      <sheetName val="Legal_Risk_Analysis10"/>
      <sheetName val="2_9__Zwischenpuffer_Risiko10"/>
      <sheetName val="(10)_Other_Costs510"/>
      <sheetName val="local_load10"/>
      <sheetName val="STAFFSCHED_10"/>
      <sheetName val="Pile_cap10"/>
      <sheetName val="BOQ_Direct_selling_cost10"/>
      <sheetName val="P_I(BOU)10"/>
      <sheetName val="P_I(DIA)10"/>
      <sheetName val="VB-294-O&amp;M_COST10"/>
      <sheetName val="LCS_SCHEDULE_10"/>
      <sheetName val="pr_cal11"/>
      <sheetName val="F_I(BYPASS)10"/>
      <sheetName val="Side_wall_dsn_Formula10"/>
      <sheetName val="Abstract_Sheet8"/>
      <sheetName val="Rate_analysis3"/>
      <sheetName val="OLD_IC3"/>
      <sheetName val="IO_LIST3"/>
      <sheetName val="Desgn(zone_I)3"/>
      <sheetName val="Input_&amp;_Calculations3"/>
      <sheetName val="1Personnel_(2)9"/>
      <sheetName val="Sch_C_(2)9"/>
      <sheetName val="Sch_C9"/>
      <sheetName val="7_Other_Costs9"/>
      <sheetName val="spares(5_backup)9"/>
      <sheetName val="VB-_sludge(11)9"/>
      <sheetName val="Sch_E9"/>
      <sheetName val="Legal_Risk_Analysis9"/>
      <sheetName val="2_9__Zwischenpuffer_Risiko9"/>
      <sheetName val="(10)_Other_Costs59"/>
      <sheetName val="local_load9"/>
      <sheetName val="STAFFSCHED_9"/>
      <sheetName val="Pile_cap9"/>
      <sheetName val="BOQ_Direct_selling_cost9"/>
      <sheetName val="P_I(BOU)9"/>
      <sheetName val="P_I(DIA)9"/>
      <sheetName val="VB-294-O&amp;M_COST9"/>
      <sheetName val="LCS_SCHEDULE_9"/>
      <sheetName val="pr_cal10"/>
      <sheetName val="F_I(BYPASS)9"/>
      <sheetName val="Side_wall_dsn_Formula9"/>
      <sheetName val="Abstract_Sheet7"/>
      <sheetName val="Rate_analysis2"/>
      <sheetName val="OLD_IC2"/>
      <sheetName val="IO_LIST2"/>
      <sheetName val="Desgn(zone_I)2"/>
      <sheetName val="Input_&amp;_Calculations2"/>
      <sheetName val="General Aspects"/>
      <sheetName val="Financial Summary"/>
      <sheetName val="r"/>
      <sheetName val="Lead"/>
      <sheetName val="INPUT"/>
      <sheetName val="dummy"/>
      <sheetName val="Leg 1-1"/>
      <sheetName val="reaction-table"/>
      <sheetName val="PRECAST lightconc-II"/>
      <sheetName val="Sheet4"/>
      <sheetName val="Einstufig_A131neu ,BSB"/>
      <sheetName val="Misc"/>
      <sheetName val="Settings"/>
      <sheetName val="Road Detail Est."/>
      <sheetName val="Road data"/>
      <sheetName val="Cove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APDRP Punjab Primary"/>
      <sheetName val="Master Part List 7-1-09"/>
      <sheetName val="Data"/>
      <sheetName val="Master"/>
      <sheetName val="Motor Data"/>
    </sheetNames>
    <sheetDataSet>
      <sheetData sheetId="0" refreshError="1">
        <row r="19">
          <cell r="M19">
            <v>1</v>
          </cell>
        </row>
        <row r="20">
          <cell r="M20">
            <v>2</v>
          </cell>
        </row>
        <row r="21">
          <cell r="M21">
            <v>3</v>
          </cell>
        </row>
        <row r="22">
          <cell r="E22" t="str">
            <v>900050-000</v>
          </cell>
          <cell r="M22">
            <v>4</v>
          </cell>
        </row>
        <row r="23">
          <cell r="E23" t="str">
            <v>900060-000</v>
          </cell>
          <cell r="M23">
            <v>5</v>
          </cell>
        </row>
        <row r="24">
          <cell r="M24">
            <v>6</v>
          </cell>
        </row>
        <row r="25">
          <cell r="M25">
            <v>7</v>
          </cell>
        </row>
        <row r="26">
          <cell r="M26">
            <v>8</v>
          </cell>
        </row>
        <row r="27">
          <cell r="M27">
            <v>9</v>
          </cell>
        </row>
        <row r="28">
          <cell r="M28">
            <v>10</v>
          </cell>
        </row>
        <row r="29">
          <cell r="M29">
            <v>11</v>
          </cell>
        </row>
        <row r="30">
          <cell r="M30">
            <v>12</v>
          </cell>
        </row>
      </sheetData>
      <sheetData sheetId="1"/>
      <sheetData sheetId="2"/>
      <sheetData sheetId="3" refreshError="1"/>
      <sheetData sheetId="4" refreshError="1"/>
      <sheetData sheetId="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DRP Punjab Primary"/>
      <sheetName val="Master Part List 7-1-09"/>
      <sheetName val="Reference"/>
      <sheetName val="Data"/>
      <sheetName val="Master"/>
    </sheetNames>
    <sheetDataSet>
      <sheetData sheetId="0"/>
      <sheetData sheetId="1"/>
      <sheetData sheetId="2" refreshError="1">
        <row r="19">
          <cell r="M19">
            <v>1</v>
          </cell>
        </row>
        <row r="20">
          <cell r="M20">
            <v>2</v>
          </cell>
        </row>
        <row r="21">
          <cell r="M21">
            <v>3</v>
          </cell>
        </row>
        <row r="22">
          <cell r="E22" t="str">
            <v>900050-000</v>
          </cell>
          <cell r="M22">
            <v>4</v>
          </cell>
        </row>
        <row r="23">
          <cell r="E23" t="str">
            <v>900060-000</v>
          </cell>
          <cell r="M23">
            <v>5</v>
          </cell>
        </row>
        <row r="24">
          <cell r="M24">
            <v>6</v>
          </cell>
        </row>
        <row r="25">
          <cell r="M25">
            <v>7</v>
          </cell>
        </row>
        <row r="26">
          <cell r="M26">
            <v>8</v>
          </cell>
        </row>
        <row r="27">
          <cell r="M27">
            <v>9</v>
          </cell>
        </row>
        <row r="28">
          <cell r="M28">
            <v>10</v>
          </cell>
        </row>
        <row r="29">
          <cell r="M29">
            <v>11</v>
          </cell>
        </row>
        <row r="30">
          <cell r="M30">
            <v>12</v>
          </cell>
        </row>
      </sheetData>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dex"/>
      <sheetName val="Document revision"/>
      <sheetName val="Milestone &amp; WBS"/>
      <sheetName val="SLA"/>
      <sheetName val="Project Summary"/>
      <sheetName val="Financial Plan And Actual Perf"/>
      <sheetName val="An-II (Tot Margin)"/>
      <sheetName val="An-III (Itemwise Margin)"/>
      <sheetName val="An-V (COG)  "/>
      <sheetName val="An-IV (Cash Flow)"/>
      <sheetName val="PA System Details "/>
      <sheetName val="PA Revised"/>
      <sheetName val="FMS Details "/>
      <sheetName val="An- Va SI Sheet Assumptions"/>
      <sheetName val="SI Task Plan"/>
      <sheetName val="Proj Unbudgetted Cost"/>
      <sheetName val="Config"/>
      <sheetName val="MTO"/>
      <sheetName val="Power"/>
      <sheetName val="Motor Data"/>
      <sheetName val="Stackers 1 &amp; 2 LV"/>
      <sheetName val="Base data Security Procedures"/>
      <sheetName val="xSeries255"/>
      <sheetName val="Links"/>
      <sheetName val="Lead"/>
      <sheetName val="acs(1)"/>
      <sheetName val="fas-c(4)"/>
      <sheetName val="cctv(old)"/>
      <sheetName val="Summary"/>
      <sheetName val="DC-HA"/>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SaveLoad"/>
      <sheetName val="SaveLoad2"/>
      <sheetName val="TempRoadmap"/>
      <sheetName val="War Room"/>
      <sheetName val="Country"/>
      <sheetName val="Updates"/>
      <sheetName val="Menu"/>
      <sheetName val="Reference"/>
      <sheetName val="acs(1)"/>
      <sheetName val="Base data Security Procedures"/>
      <sheetName val="fas-c(4)"/>
      <sheetName val="cctv(old)"/>
      <sheetName val="Config"/>
    </sheetNames>
    <sheetDataSet>
      <sheetData sheetId="0" refreshError="1">
        <row r="54">
          <cell r="B54" t="str">
            <v>Not In Parts Database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lemention cost BOQ"/>
      <sheetName val="Cost Summary"/>
      <sheetName val="Master data"/>
      <sheetName val="FAT &amp; SAT cal"/>
      <sheetName val="Final BOQ"/>
      <sheetName val="Spares"/>
      <sheetName val="CABLES"/>
      <sheetName val="UPS cal"/>
      <sheetName val="Toll-Itemwise costing"/>
      <sheetName val="Considerations &amp; notes"/>
      <sheetName val="AVC costing"/>
      <sheetName val="LC costing"/>
      <sheetName val="Toll-Loop Sealant calculation"/>
      <sheetName val="ms net"/>
      <sheetName val="Base data Security Procedures"/>
      <sheetName val="Formulas"/>
    </sheetNames>
    <sheetDataSet>
      <sheetData sheetId="0"/>
      <sheetData sheetId="1">
        <row r="47">
          <cell r="A47" t="str">
            <v>Supply</v>
          </cell>
        </row>
      </sheetData>
      <sheetData sheetId="2">
        <row r="47">
          <cell r="A47" t="str">
            <v>Supply</v>
          </cell>
          <cell r="B47">
            <v>0</v>
          </cell>
        </row>
        <row r="48">
          <cell r="A48" t="str">
            <v>Service</v>
          </cell>
          <cell r="B48">
            <v>0</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scription"/>
      <sheetName val="Project Information"/>
      <sheetName val="VA TECH-Risk Analysis-O&amp;M"/>
      <sheetName val="Supplement to RA-O&amp;M"/>
      <sheetName val="Legal Risk Analysis"/>
      <sheetName val="Minimum Requirements"/>
      <sheetName val="Zuschläge"/>
      <sheetName val="VA TECH-Risikoanalyse"/>
      <sheetName val="Beiblatt zur RA"/>
      <sheetName val="VA TECH-Risikoanalyse-O&amp;M"/>
      <sheetName val="Beiblatt zur RA-O&amp;M"/>
      <sheetName val="7 Other Costs"/>
      <sheetName val="ELECT"/>
      <sheetName val="#REF!"/>
      <sheetName val="Process"/>
      <sheetName val="(10) Other Costs5"/>
      <sheetName val="Sheet2"/>
      <sheetName val="HT-INTROD"/>
      <sheetName val="MH_sd_de"/>
      <sheetName val="INPUT"/>
      <sheetName val="MixBed"/>
      <sheetName val="COLUMN"/>
      <sheetName val="STAFFSCHED "/>
      <sheetName val="detls"/>
      <sheetName val="A1a-2"/>
      <sheetName val="P.I(BOU)"/>
      <sheetName val="P.I(DIA)"/>
      <sheetName val="pr_cal"/>
      <sheetName val="Macro1"/>
      <sheetName val="Lookup"/>
      <sheetName val="steam outlet"/>
      <sheetName val="Sheet1"/>
      <sheetName val="conc-foot-gradeslab"/>
      <sheetName val="10. &amp; 11. Rate Code &amp; BQ"/>
      <sheetName val="sept-plan"/>
      <sheetName val="BOQ"/>
      <sheetName val="Manpower"/>
      <sheetName val="Motor Data"/>
      <sheetName val="Resul Bio (15)"/>
      <sheetName val="Project_Description"/>
      <sheetName val="Project_Information"/>
      <sheetName val="VA_TECH-Risk_Analysis-O&amp;M"/>
      <sheetName val="Supplement_to_RA-O&amp;M"/>
      <sheetName val="Legal_Risk_Analysis"/>
      <sheetName val="Minimum_Requirements"/>
      <sheetName val="VA_TECH-Risikoanalyse"/>
      <sheetName val="Beiblatt_zur_RA"/>
      <sheetName val="VA_TECH-Risikoanalyse-O&amp;M"/>
      <sheetName val="Beiblatt_zur_RA-O&amp;M"/>
      <sheetName val="7_Other_Costs"/>
      <sheetName val="(10)_Other_Costs5"/>
      <sheetName val="STAFFSCHED_"/>
      <sheetName val="Resul_Bio_(15)"/>
      <sheetName val="TehranBilanz"/>
      <sheetName val="Data"/>
      <sheetName val="Input &amp; Calculations"/>
      <sheetName val="Specification"/>
      <sheetName val="LCS SCHEDULE "/>
      <sheetName val="sand"/>
      <sheetName val="stone"/>
      <sheetName val="dBase"/>
      <sheetName val="concrete"/>
      <sheetName val="TS-TC"/>
      <sheetName val="Labour &amp; Plant"/>
      <sheetName val="RA-markate"/>
      <sheetName val="Summary"/>
      <sheetName val="Project_Description1"/>
      <sheetName val="Project_Information1"/>
      <sheetName val="VA_TECH-Risk_Analysis-O&amp;M1"/>
      <sheetName val="Supplement_to_RA-O&amp;M1"/>
      <sheetName val="Legal_Risk_Analysis1"/>
      <sheetName val="Minimum_Requirements1"/>
      <sheetName val="VA_TECH-Risikoanalyse1"/>
      <sheetName val="Beiblatt_zur_RA1"/>
      <sheetName val="VA_TECH-Risikoanalyse-O&amp;M1"/>
      <sheetName val="Beiblatt_zur_RA-O&amp;M1"/>
      <sheetName val="7_Other_Costs1"/>
      <sheetName val="(10)_Other_Costs51"/>
      <sheetName val="STAFFSCHED_1"/>
      <sheetName val="Resul_Bio_(15)1"/>
      <sheetName val="P_I(BOU)"/>
      <sheetName val="P_I(DIA)"/>
      <sheetName val="Project_Description2"/>
      <sheetName val="Project_Information2"/>
      <sheetName val="VA_TECH-Risk_Analysis-O&amp;M2"/>
      <sheetName val="Supplement_to_RA-O&amp;M2"/>
      <sheetName val="Legal_Risk_Analysis2"/>
      <sheetName val="Minimum_Requirements2"/>
      <sheetName val="VA_TECH-Risikoanalyse2"/>
      <sheetName val="Beiblatt_zur_RA2"/>
      <sheetName val="VA_TECH-Risikoanalyse-O&amp;M2"/>
      <sheetName val="Beiblatt_zur_RA-O&amp;M2"/>
      <sheetName val="7_Other_Costs2"/>
      <sheetName val="(10)_Other_Costs52"/>
      <sheetName val="STAFFSCHED_2"/>
      <sheetName val="Resul_Bio_(15)2"/>
      <sheetName val="P_I(BOU)1"/>
      <sheetName val="P_I(DIA)1"/>
      <sheetName val="Project_Description3"/>
      <sheetName val="Project_Information3"/>
      <sheetName val="VA_TECH-Risk_Analysis-O&amp;M3"/>
      <sheetName val="Supplement_to_RA-O&amp;M3"/>
      <sheetName val="Legal_Risk_Analysis3"/>
      <sheetName val="Minimum_Requirements3"/>
      <sheetName val="VA_TECH-Risikoanalyse3"/>
      <sheetName val="Beiblatt_zur_RA3"/>
      <sheetName val="VA_TECH-Risikoanalyse-O&amp;M3"/>
      <sheetName val="Beiblatt_zur_RA-O&amp;M3"/>
      <sheetName val="7_Other_Costs3"/>
      <sheetName val="(10)_Other_Costs53"/>
      <sheetName val="STAFFSCHED_3"/>
      <sheetName val="Resul_Bio_(15)3"/>
      <sheetName val="P_I(BOU)2"/>
      <sheetName val="P_I(DIA)2"/>
      <sheetName val="Project_Description4"/>
      <sheetName val="Project_Information4"/>
      <sheetName val="VA_TECH-Risk_Analysis-O&amp;M4"/>
      <sheetName val="Supplement_to_RA-O&amp;M4"/>
      <sheetName val="Legal_Risk_Analysis4"/>
      <sheetName val="Minimum_Requirements4"/>
      <sheetName val="VA_TECH-Risikoanalyse4"/>
      <sheetName val="Beiblatt_zur_RA4"/>
      <sheetName val="VA_TECH-Risikoanalyse-O&amp;M4"/>
      <sheetName val="Beiblatt_zur_RA-O&amp;M4"/>
      <sheetName val="7_Other_Costs4"/>
      <sheetName val="(10)_Other_Costs54"/>
      <sheetName val="STAFFSCHED_4"/>
      <sheetName val="Resul_Bio_(15)4"/>
      <sheetName val="P_I(BOU)3"/>
      <sheetName val="P_I(DIA)3"/>
      <sheetName val="Project_Description5"/>
      <sheetName val="Project_Information5"/>
      <sheetName val="VA_TECH-Risk_Analysis-O&amp;M5"/>
      <sheetName val="Supplement_to_RA-O&amp;M5"/>
      <sheetName val="Legal_Risk_Analysis5"/>
      <sheetName val="Minimum_Requirements5"/>
      <sheetName val="VA_TECH-Risikoanalyse5"/>
      <sheetName val="Beiblatt_zur_RA5"/>
      <sheetName val="VA_TECH-Risikoanalyse-O&amp;M5"/>
      <sheetName val="Beiblatt_zur_RA-O&amp;M5"/>
      <sheetName val="7_Other_Costs5"/>
      <sheetName val="(10)_Other_Costs55"/>
      <sheetName val="STAFFSCHED_5"/>
      <sheetName val="Resul_Bio_(15)5"/>
      <sheetName val="P_I(BOU)4"/>
      <sheetName val="P_I(DIA)4"/>
      <sheetName val="Project_Description6"/>
      <sheetName val="Project_Information6"/>
      <sheetName val="VA_TECH-Risk_Analysis-O&amp;M6"/>
      <sheetName val="Supplement_to_RA-O&amp;M6"/>
      <sheetName val="Legal_Risk_Analysis6"/>
      <sheetName val="Minimum_Requirements6"/>
      <sheetName val="VA_TECH-Risikoanalyse6"/>
      <sheetName val="Beiblatt_zur_RA6"/>
      <sheetName val="VA_TECH-Risikoanalyse-O&amp;M6"/>
      <sheetName val="Beiblatt_zur_RA-O&amp;M6"/>
      <sheetName val="7_Other_Costs6"/>
      <sheetName val="(10)_Other_Costs56"/>
      <sheetName val="STAFFSCHED_6"/>
      <sheetName val="Resul_Bio_(15)6"/>
      <sheetName val="P_I(BOU)5"/>
      <sheetName val="P_I(DIA)5"/>
      <sheetName val="Project_Description7"/>
      <sheetName val="Project_Information7"/>
      <sheetName val="VA_TECH-Risk_Analysis-O&amp;M7"/>
      <sheetName val="Supplement_to_RA-O&amp;M7"/>
      <sheetName val="Legal_Risk_Analysis7"/>
      <sheetName val="Minimum_Requirements7"/>
      <sheetName val="VA_TECH-Risikoanalyse7"/>
      <sheetName val="Beiblatt_zur_RA7"/>
      <sheetName val="VA_TECH-Risikoanalyse-O&amp;M7"/>
      <sheetName val="Beiblatt_zur_RA-O&amp;M7"/>
      <sheetName val="7_Other_Costs7"/>
      <sheetName val="(10)_Other_Costs57"/>
      <sheetName val="STAFFSCHED_7"/>
      <sheetName val="Resul_Bio_(15)7"/>
      <sheetName val="P_I(BOU)6"/>
      <sheetName val="P_I(DIA)6"/>
      <sheetName val="Labour_&amp;_Plant"/>
      <sheetName val="LCS_SCHEDULE_"/>
      <sheetName val="10__&amp;_11__Rate_Code_&amp;_BQ"/>
      <sheetName val="Project_Description8"/>
      <sheetName val="Project_Information8"/>
      <sheetName val="VA_TECH-Risk_Analysis-O&amp;M8"/>
      <sheetName val="Supplement_to_RA-O&amp;M8"/>
      <sheetName val="Legal_Risk_Analysis8"/>
      <sheetName val="Minimum_Requirements8"/>
      <sheetName val="VA_TECH-Risikoanalyse8"/>
      <sheetName val="Beiblatt_zur_RA8"/>
      <sheetName val="VA_TECH-Risikoanalyse-O&amp;M8"/>
      <sheetName val="Beiblatt_zur_RA-O&amp;M8"/>
      <sheetName val="7_Other_Costs8"/>
      <sheetName val="(10)_Other_Costs58"/>
      <sheetName val="STAFFSCHED_8"/>
      <sheetName val="Resul_Bio_(15)8"/>
      <sheetName val="P_I(BOU)7"/>
      <sheetName val="P_I(DIA)7"/>
      <sheetName val="Labour_&amp;_Plant1"/>
      <sheetName val="LCS_SCHEDULE_1"/>
      <sheetName val="10__&amp;_11__Rate_Code_&amp;_BQ1"/>
      <sheetName val="Project_Description9"/>
      <sheetName val="Project_Information9"/>
      <sheetName val="VA_TECH-Risk_Analysis-O&amp;M9"/>
      <sheetName val="Supplement_to_RA-O&amp;M9"/>
      <sheetName val="Legal_Risk_Analysis9"/>
      <sheetName val="Minimum_Requirements9"/>
      <sheetName val="VA_TECH-Risikoanalyse9"/>
      <sheetName val="Beiblatt_zur_RA9"/>
      <sheetName val="VA_TECH-Risikoanalyse-O&amp;M9"/>
      <sheetName val="Beiblatt_zur_RA-O&amp;M9"/>
      <sheetName val="7_Other_Costs9"/>
      <sheetName val="(10)_Other_Costs59"/>
      <sheetName val="STAFFSCHED_9"/>
      <sheetName val="Resul_Bio_(15)9"/>
      <sheetName val="P_I(BOU)8"/>
      <sheetName val="P_I(DIA)8"/>
      <sheetName val="Labour_&amp;_Plant2"/>
      <sheetName val="LCS_SCHEDULE_2"/>
      <sheetName val="10__&amp;_11__Rate_Code_&amp;_BQ2"/>
      <sheetName val="Project_Description11"/>
      <sheetName val="Project_Information11"/>
      <sheetName val="VA_TECH-Risk_Analysis-O&amp;M11"/>
      <sheetName val="Supplement_to_RA-O&amp;M11"/>
      <sheetName val="Legal_Risk_Analysis11"/>
      <sheetName val="Minimum_Requirements11"/>
      <sheetName val="VA_TECH-Risikoanalyse11"/>
      <sheetName val="Beiblatt_zur_RA11"/>
      <sheetName val="VA_TECH-Risikoanalyse-O&amp;M11"/>
      <sheetName val="Beiblatt_zur_RA-O&amp;M11"/>
      <sheetName val="7_Other_Costs11"/>
      <sheetName val="(10)_Other_Costs511"/>
      <sheetName val="STAFFSCHED_11"/>
      <sheetName val="Resul_Bio_(15)11"/>
      <sheetName val="P_I(BOU)10"/>
      <sheetName val="P_I(DIA)10"/>
      <sheetName val="Labour_&amp;_Plant4"/>
      <sheetName val="LCS_SCHEDULE_4"/>
      <sheetName val="10__&amp;_11__Rate_Code_&amp;_BQ4"/>
      <sheetName val="Project_Description10"/>
      <sheetName val="Project_Information10"/>
      <sheetName val="VA_TECH-Risk_Analysis-O&amp;M10"/>
      <sheetName val="Supplement_to_RA-O&amp;M10"/>
      <sheetName val="Legal_Risk_Analysis10"/>
      <sheetName val="Minimum_Requirements10"/>
      <sheetName val="VA_TECH-Risikoanalyse10"/>
      <sheetName val="Beiblatt_zur_RA10"/>
      <sheetName val="VA_TECH-Risikoanalyse-O&amp;M10"/>
      <sheetName val="Beiblatt_zur_RA-O&amp;M10"/>
      <sheetName val="7_Other_Costs10"/>
      <sheetName val="(10)_Other_Costs510"/>
      <sheetName val="STAFFSCHED_10"/>
      <sheetName val="Resul_Bio_(15)10"/>
      <sheetName val="P_I(BOU)9"/>
      <sheetName val="P_I(DIA)9"/>
      <sheetName val="Labour_&amp;_Plant3"/>
      <sheetName val="LCS_SCHEDULE_3"/>
      <sheetName val="10__&amp;_11__Rate_Code_&amp;_BQ3"/>
      <sheetName val="Bid Calculation O&amp;M  (beta-vers"/>
      <sheetName val="Labor abs-NMR"/>
      <sheetName val="Lucas3"/>
      <sheetName val="purpose&amp;input"/>
      <sheetName val="Break up Sheet"/>
      <sheetName val="Pile cap"/>
      <sheetName val="F.1"/>
      <sheetName val="Debt"/>
      <sheetName val="select items_PMW"/>
      <sheetName val="Anex-1 Con Load"/>
      <sheetName val="PIpe Pushing"/>
      <sheetName val="BALAN1"/>
      <sheetName val="PRECAST lightconc-II"/>
      <sheetName val="General Aspects"/>
      <sheetName val="Financial Summary"/>
      <sheetName val="OLD IC"/>
      <sheetName val="Misc"/>
      <sheetName val="dummy"/>
      <sheetName val="reaction-tabl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14">
          <cell r="F14" t="str">
            <v>EXW</v>
          </cell>
        </row>
        <row r="15">
          <cell r="F15" t="str">
            <v>Embedded</v>
          </cell>
        </row>
        <row r="16">
          <cell r="F16" t="str">
            <v>Mumbai_India</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14">
          <cell r="F14" t="str">
            <v>EXW</v>
          </cell>
        </row>
        <row r="15">
          <cell r="F15" t="str">
            <v>Embedded</v>
          </cell>
        </row>
        <row r="16">
          <cell r="F16" t="str">
            <v>Mumbai_India</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 val="Other_Input"/>
      <sheetName val="Cover sheet"/>
      <sheetName val="PRICE BID"/>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 val="Other_Input"/>
      <sheetName val="Cover shee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Délég Dérog"/>
      <sheetName val="Menu"/>
      <sheetName val="Catégories"/>
      <sheetName val="Catégories CSSI"/>
      <sheetName val="Catégories IC"/>
      <sheetName val="Mode emploi"/>
      <sheetName val="Historique modifications"/>
      <sheetName val="Catégories CS CANADA"/>
      <sheetName val="Catégories ECSAT"/>
      <sheetName val="Catégories CS Romania"/>
      <sheetName val="Catégories Intrans"/>
      <sheetName val="Catégories CAM"/>
      <sheetName val="Pricing"/>
      <sheetName val="Historique Offre"/>
      <sheetName val="Structure du projet"/>
      <sheetName val="Plan charge CS valorise"/>
      <sheetName val="Charge"/>
      <sheetName val="Plan charge"/>
      <sheetName val="Facturation et BFR"/>
      <sheetName val="Listes"/>
      <sheetName val="Détermination PV"/>
      <sheetName val="Synthèse"/>
      <sheetName val="PM &amp; SW &amp; ID risks"/>
      <sheetName val="PV Arya to CS"/>
      <sheetName val="CS-Arya PV eqt compar"/>
      <sheetName val="RECAP BOQ &amp; costs TOTAL"/>
      <sheetName val="BOQ client selon PC"/>
      <sheetName val="Grille notation risques"/>
      <sheetName val="Fiche BFR Ferme"/>
      <sheetName val="Fiche BFR Ferme &amp; Options"/>
      <sheetName val="Synthèse Assistante de ges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Huawei solutions for SAP HANA-2"/>
      <sheetName val="Huawei solutions for SAP HANA_3"/>
      <sheetName val="Huawei solutions for SAP HANA_2"/>
      <sheetName val="2288H V5"/>
      <sheetName val="Huawei solutions for SAP HANA_1"/>
      <sheetName val="Huawei solutions for SAP HANA_4"/>
      <sheetName val="Technical Support Service"/>
      <sheetName val="Installation Service"/>
      <sheetName val="tmp"/>
    </sheetNames>
    <sheetDataSet>
      <sheetData sheetId="0" refreshError="1"/>
      <sheetData sheetId="1" refreshError="1"/>
      <sheetData sheetId="2" refreshError="1"/>
      <sheetData sheetId="3" refreshError="1">
        <row r="11">
          <cell r="F11" t="str">
            <v>USD</v>
          </cell>
        </row>
        <row r="14">
          <cell r="F14" t="str">
            <v>FOB</v>
          </cell>
        </row>
        <row r="15">
          <cell r="F15" t="str">
            <v>Explicit</v>
          </cell>
        </row>
        <row r="16">
          <cell r="F16" t="str">
            <v>Hongkong_China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Huawei solutions for SAP HANA-2"/>
      <sheetName val="Huawei solutions for SAP HANA_3"/>
      <sheetName val="Huawei solutions for SAP HANA_2"/>
      <sheetName val="2288H V5"/>
      <sheetName val="Huawei solutions for SAP HANA_1"/>
      <sheetName val="Huawei solutions for SAP HANA_4"/>
      <sheetName val="Technical Support Service"/>
      <sheetName val="Installation Service"/>
      <sheetName val="tmp"/>
    </sheetNames>
    <sheetDataSet>
      <sheetData sheetId="0" refreshError="1"/>
      <sheetData sheetId="1" refreshError="1"/>
      <sheetData sheetId="2" refreshError="1"/>
      <sheetData sheetId="3" refreshError="1">
        <row r="11">
          <cell r="F11" t="str">
            <v>USD</v>
          </cell>
        </row>
        <row r="14">
          <cell r="F14" t="str">
            <v>FOB</v>
          </cell>
        </row>
        <row r="15">
          <cell r="F15" t="str">
            <v>Explicit</v>
          </cell>
        </row>
        <row r="16">
          <cell r="F16" t="str">
            <v>Hongkong_China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_data"/>
      <sheetName val="Cable-data"/>
      <sheetName val="XLPE. ALLUMINIUM) (2)"/>
      <sheetName val="XLPE. ALLUMINIUM)"/>
      <sheetName val="XLPE COPPER"/>
      <sheetName val="PVC ALLUMINIUM"/>
      <sheetName val="PVC COPPER"/>
      <sheetName val="IO LIST"/>
      <sheetName val="Sheet1"/>
      <sheetName val="R20_R30_work"/>
      <sheetName val="Formulas"/>
      <sheetName val="PRSH"/>
      <sheetName val="Factors "/>
      <sheetName val="RCC,Ret. Wall"/>
      <sheetName val="96수출"/>
      <sheetName val="CABLE DATA"/>
      <sheetName val="PCS"/>
      <sheetName val="Field Values"/>
      <sheetName val="horizontal"/>
      <sheetName val="Rate Card"/>
      <sheetName val="Variation Statement"/>
      <sheetName val="Costing"/>
      <sheetName val="XLPE__ALLUMINIUM)_(2)"/>
      <sheetName val="XLPE__ALLUMINIUM)"/>
      <sheetName val="XLPE_COPPER"/>
      <sheetName val="PVC_ALLUMINIUM"/>
      <sheetName val="PVC_COPPER"/>
      <sheetName val="Labels"/>
      <sheetName val="Query Results ALL"/>
      <sheetName val="RCC,Ret__Wall"/>
      <sheetName val="Factors_"/>
      <sheetName val="XLPE__ALLUMINIUM)_(2)1"/>
      <sheetName val="XLPE__ALLUMINIUM)1"/>
      <sheetName val="XLPE_COPPER1"/>
      <sheetName val="PVC_ALLUMINIUM1"/>
      <sheetName val="PVC_COPPER1"/>
      <sheetName val="RCC,Ret__Wall1"/>
      <sheetName val="Factors_1"/>
      <sheetName val="IO_LIST"/>
      <sheetName val="RCC_Ret_ Wall"/>
      <sheetName val="RA-markate"/>
      <sheetName val="Approved MTD Proj #'s"/>
      <sheetName val="Headings"/>
      <sheetName val="10. &amp; 11. Rate Code &amp; BQ"/>
      <sheetName val="Footings"/>
      <sheetName val="Sheet2"/>
      <sheetName val="Originating Station"/>
      <sheetName val="Particulars"/>
      <sheetName val="EMC BOM"/>
      <sheetName val="Lists"/>
      <sheetName val="Charge"/>
      <sheetName val="Structure du projet"/>
    </sheetNames>
    <sheetDataSet>
      <sheetData sheetId="0"/>
      <sheetData sheetId="1" refreshError="1">
        <row r="33">
          <cell r="A33">
            <v>2.5</v>
          </cell>
          <cell r="B33">
            <v>0</v>
          </cell>
          <cell r="C33">
            <v>0</v>
          </cell>
          <cell r="D33">
            <v>0</v>
          </cell>
          <cell r="E33">
            <v>2.5</v>
          </cell>
          <cell r="F33" t="str">
            <v>-</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DATA"/>
      <sheetName val="      "/>
      <sheetName val="VD FOR LIGHTING"/>
      <sheetName val="Sheet1"/>
      <sheetName val="Cable-data"/>
      <sheetName val="R20_R30_work"/>
      <sheetName val="Formulas"/>
      <sheetName val="Rates_PVC"/>
      <sheetName val="PRSH"/>
      <sheetName val="BOQ "/>
      <sheetName val="Flooring"/>
      <sheetName val="ELEC_BOQ"/>
      <sheetName val="______"/>
      <sheetName val="VD_FOR_LIGHTING"/>
      <sheetName val="CABLE_DATA"/>
      <sheetName val="______1"/>
      <sheetName val="VD_FOR_LIGHTING1"/>
      <sheetName val="CABLE_DATA1"/>
      <sheetName val="Basement Budget"/>
      <sheetName val="Sheet2"/>
      <sheetName val="horizontal"/>
      <sheetName val="Footings"/>
      <sheetName val="Originating Station"/>
    </sheetNames>
    <sheetDataSet>
      <sheetData sheetId="0"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Config"/>
      <sheetName val="Introduction"/>
      <sheetName val="Currency &amp; Conversions"/>
      <sheetName val="ms net"/>
      <sheetName val="Base data Security Procedures"/>
    </sheetNames>
    <sheetDataSet>
      <sheetData sheetId="0"/>
      <sheetData sheetId="1"/>
      <sheetData sheetId="2"/>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Lists"/>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 val="Discount"/>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ow r="4">
          <cell r="I4" t="str">
            <v>Program Manager / Director</v>
          </cell>
        </row>
      </sheetData>
      <sheetData sheetId="23"/>
      <sheetData sheetId="24"/>
      <sheetData sheetId="25"/>
      <sheetData sheetId="26"/>
      <sheetData sheetId="27"/>
      <sheetData sheetId="28">
        <row r="4">
          <cell r="I4" t="str">
            <v>Program Manager / Director</v>
          </cell>
        </row>
      </sheetData>
      <sheetData sheetId="29">
        <row r="4">
          <cell r="I4" t="str">
            <v>Program Manager / Director</v>
          </cell>
        </row>
      </sheetData>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ow r="4">
          <cell r="I4" t="str">
            <v>Program Manager / Director</v>
          </cell>
        </row>
      </sheetData>
      <sheetData sheetId="22"/>
      <sheetData sheetId="23"/>
      <sheetData sheetId="24"/>
      <sheetData sheetId="25"/>
      <sheetData sheetId="26"/>
      <sheetData sheetId="27">
        <row r="4">
          <cell r="I4" t="str">
            <v>Program Manager / Director</v>
          </cell>
        </row>
      </sheetData>
      <sheetData sheetId="28">
        <row r="4">
          <cell r="I4" t="str">
            <v>Program Manager / Director</v>
          </cell>
        </row>
      </sheetData>
      <sheetData sheetId="29"/>
      <sheetData sheetId="30"/>
      <sheetData sheetId="31"/>
      <sheetData sheetId="32"/>
      <sheetData sheetId="33"/>
      <sheetData sheetId="34"/>
      <sheetData sheetId="35"/>
      <sheetData sheetId="36"/>
      <sheetData sheetId="37"/>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 val="Lists"/>
      <sheetName val="Discount"/>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ow r="4">
          <cell r="I4" t="str">
            <v>Program Manager / Director</v>
          </cell>
        </row>
      </sheetData>
      <sheetData sheetId="22"/>
      <sheetData sheetId="23"/>
      <sheetData sheetId="24"/>
      <sheetData sheetId="25"/>
      <sheetData sheetId="26"/>
      <sheetData sheetId="27">
        <row r="4">
          <cell r="I4" t="str">
            <v>Program Manager / Director</v>
          </cell>
        </row>
      </sheetData>
      <sheetData sheetId="28">
        <row r="4">
          <cell r="I4" t="str">
            <v>Program Manager / Director</v>
          </cell>
        </row>
      </sheetData>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System Overview"/>
      <sheetName val="Dropdown"/>
      <sheetName val="ms net"/>
      <sheetName val="Drop down data"/>
    </sheetNames>
    <sheetDataSet>
      <sheetData sheetId="0"/>
      <sheetData sheetId="1" refreshError="1">
        <row r="4">
          <cell r="A4" t="str">
            <v>PRD</v>
          </cell>
        </row>
        <row r="5">
          <cell r="A5" t="str">
            <v>QAS</v>
          </cell>
        </row>
        <row r="6">
          <cell r="A6" t="str">
            <v>DEV</v>
          </cell>
        </row>
        <row r="7">
          <cell r="A7" t="str">
            <v>SBX</v>
          </cell>
        </row>
        <row r="8">
          <cell r="A8" t="str">
            <v>TRN</v>
          </cell>
        </row>
        <row r="9">
          <cell r="A9" t="str">
            <v>HA/DR</v>
          </cell>
        </row>
      </sheetData>
      <sheetData sheetId="2" refreshError="1"/>
      <sheetData sheetId="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System Overview"/>
      <sheetName val="Dropdown"/>
      <sheetName val="ms net"/>
      <sheetName val="Drop down data"/>
    </sheetNames>
    <sheetDataSet>
      <sheetData sheetId="0"/>
      <sheetData sheetId="1" refreshError="1">
        <row r="4">
          <cell r="A4" t="str">
            <v>PRD</v>
          </cell>
        </row>
        <row r="5">
          <cell r="A5" t="str">
            <v>QAS</v>
          </cell>
        </row>
        <row r="6">
          <cell r="A6" t="str">
            <v>DEV</v>
          </cell>
        </row>
        <row r="7">
          <cell r="A7" t="str">
            <v>SBX</v>
          </cell>
        </row>
        <row r="8">
          <cell r="A8" t="str">
            <v>TRN</v>
          </cell>
        </row>
        <row r="9">
          <cell r="A9" t="str">
            <v>HA/DR</v>
          </cell>
        </row>
      </sheetData>
      <sheetData sheetId="2" refreshError="1"/>
      <sheetData sheetId="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New_Wabagsheet_REV"/>
      <sheetName val="7 Other Costs"/>
      <sheetName val="ELECT"/>
      <sheetName val="COLUMN"/>
      <sheetName val="HDPE-pipe-rates"/>
      <sheetName val="pvc-pipe-rates"/>
      <sheetName val="TehranBilanz"/>
      <sheetName val="Data"/>
      <sheetName val="#REF!"/>
      <sheetName val="(10) Other Costs5"/>
      <sheetName val="CGL"/>
      <sheetName val="Process"/>
      <sheetName val="RANGE"/>
      <sheetName val="LOCAL RATES"/>
      <sheetName val="Main-Material"/>
      <sheetName val="Qty-Opt1"/>
      <sheetName val="P+M  -Reverse Drum"/>
      <sheetName val="Pipe_spl_rate"/>
      <sheetName val="_x0000_OLUMN"/>
      <sheetName val="BOQ"/>
      <sheetName val="A1a-2"/>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LOCAL_RATES"/>
      <sheetName val="13. Steel - Ratio"/>
      <sheetName val="SATHUMID"/>
      <sheetName val="Civil Boq"/>
      <sheetName val="MH_sd_de"/>
      <sheetName val="INPUT"/>
      <sheetName val="P.I(BOU)"/>
      <sheetName val="P.I(DIA)"/>
      <sheetName val="pr_cal"/>
      <sheetName val="Units"/>
      <sheetName val="FRA_DJB O&amp;M24.12.02"/>
      <sheetName val="LCS SCHEDULE "/>
      <sheetName val="pr.cal"/>
      <sheetName val="Motor Data"/>
      <sheetName val="Sheet2"/>
      <sheetName val="PIpe Pushing"/>
      <sheetName val="Manpower"/>
      <sheetName val="Macro1"/>
      <sheetName val="sept-plan"/>
      <sheetName val="Pile cap"/>
      <sheetName val="Summary"/>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LOCAL_RATES1"/>
      <sheetName val="13__Steel_-_Ratio"/>
      <sheetName val="P_I(BOU)"/>
      <sheetName val="P_I(DIA)"/>
      <sheetName val="FRA_DJB_O&amp;M24_12_02"/>
      <sheetName val="LCS_SCHEDULE_"/>
      <sheetName val="pr_cal1"/>
      <sheetName val="Civil_Boq"/>
      <sheetName val="P+M__-Reverse_Drum"/>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LOCAL_RATES2"/>
      <sheetName val="13__Steel_-_Ratio1"/>
      <sheetName val="P_I(BOU)1"/>
      <sheetName val="P_I(DIA)1"/>
      <sheetName val="FRA_DJB_O&amp;M24_12_021"/>
      <sheetName val="LCS_SCHEDULE_1"/>
      <sheetName val="pr_cal2"/>
      <sheetName val="Civil_Boq1"/>
      <sheetName val="P+M__-Reverse_Drum1"/>
      <sheetName val="Pile_cap"/>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LOCAL_RATES3"/>
      <sheetName val="13__Steel_-_Ratio2"/>
      <sheetName val="P_I(BOU)2"/>
      <sheetName val="P_I(DIA)2"/>
      <sheetName val="FRA_DJB_O&amp;M24_12_022"/>
      <sheetName val="LCS_SCHEDULE_2"/>
      <sheetName val="pr_cal3"/>
      <sheetName val="Civil_Boq2"/>
      <sheetName val="P+M__-Reverse_Drum2"/>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13__Steel_-_Ratio3"/>
      <sheetName val="P_I(BOU)3"/>
      <sheetName val="P_I(DIA)3"/>
      <sheetName val="FRA_DJB_O&amp;M24_12_023"/>
      <sheetName val="LCS_SCHEDULE_3"/>
      <sheetName val="pr_cal4"/>
      <sheetName val="Civil_Boq3"/>
      <sheetName val="P+M__-Reverse_Drum3"/>
      <sheetName val="Pile_cap1"/>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Pile_cap2"/>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Pile_cap3"/>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RA-markate"/>
      <sheetName val="Lucas3"/>
      <sheetName val="BALAN1"/>
      <sheetName val="?OLUMN"/>
      <sheetName val="HT-INTROD"/>
      <sheetName val="Material"/>
      <sheetName val="Footing"/>
      <sheetName val=" WORKING"/>
      <sheetName val="Abstract Sheet"/>
      <sheetName val="leads"/>
      <sheetName val="Cal"/>
      <sheetName val="작성방법"/>
      <sheetName val="v"/>
      <sheetName val="scour depth"/>
      <sheetName val="Data_Ref_Lists"/>
      <sheetName val="leads (2)"/>
      <sheetName val="DsnConcept"/>
      <sheetName val="Inhalt"/>
      <sheetName val="Salary"/>
      <sheetName val=""/>
      <sheetName val="_x005f_x0000_OLUMN"/>
      <sheetName val="_x005f_x005f_x005f_x0000_OLUMN"/>
      <sheetName val="_x005f_x005f_x005f_x005f_x005f_x005f_x005f_x0000_OLUM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 val="Dropdown"/>
      <sheetName val="Summary"/>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mmy"/>
      <sheetName val="Data"/>
    </sheetNames>
    <sheetDataSet>
      <sheetData sheetId="0"/>
      <sheetData sheetId="1" refreshError="1"/>
      <sheetData sheetId="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ntents"/>
      <sheetName val="Design Basis"/>
      <sheetName val="Load -Cal"/>
      <sheetName val="Column"/>
      <sheetName val="Beam "/>
      <sheetName val="Footing"/>
      <sheetName val="Legal Risk Analysis"/>
    </sheetNames>
    <sheetDataSet>
      <sheetData sheetId="0" refreshError="1"/>
      <sheetData sheetId="1"/>
      <sheetData sheetId="2" refreshError="1"/>
      <sheetData sheetId="3" refreshError="1"/>
      <sheetData sheetId="4" refreshError="1"/>
      <sheetData sheetId="5" refreshError="1"/>
      <sheetData sheetId="6">
        <row r="26">
          <cell r="F26">
            <v>100</v>
          </cell>
        </row>
      </sheetData>
      <sheetData sheetId="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7 Other Costs"/>
      <sheetName val="Qty-Opt1"/>
      <sheetName val="P+M  -Reverse Drum"/>
      <sheetName val="TehranBilanz"/>
      <sheetName val="Data"/>
      <sheetName val="#REF!"/>
      <sheetName val="ELECT"/>
      <sheetName val="(10) Other Costs5"/>
      <sheetName val="Material"/>
      <sheetName val="CGL"/>
      <sheetName val="Boq"/>
      <sheetName val="13. Steel - Ratio"/>
      <sheetName val="Pipe_spl_rate"/>
      <sheetName val="SATHUMID"/>
      <sheetName val="Civil Boq"/>
      <sheetName val="P4"/>
      <sheetName val="Footing"/>
      <sheetName val="#BEZUG"/>
      <sheetName val="Global_foreign"/>
      <sheetName val="Cal"/>
      <sheetName val="New_Wabagsheet_REV"/>
      <sheetName val="COLUMN"/>
      <sheetName val=" WORKING"/>
      <sheetName val="Abstract Sheet"/>
      <sheetName val="Pile cap"/>
      <sheetName val="leads"/>
      <sheetName val="작성방법"/>
      <sheetName val="v"/>
      <sheetName val="scour depth"/>
      <sheetName val="Data_Ref_Lists"/>
      <sheetName val="DsnConcept"/>
      <sheetName val="INPUT"/>
      <sheetName val="Inhalt"/>
      <sheetName val="Salary"/>
      <sheetName val="std.wt."/>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mom. distrn."/>
      <sheetName val="reaction-table"/>
      <sheetName val="moments-table(tri)"/>
      <sheetName val="moments-table(rect-base)"/>
      <sheetName val="IS3370-table"/>
      <sheetName val="Legal Risk Analysis"/>
      <sheetName val="Footing"/>
      <sheetName val="#BEZUG"/>
    </sheetNames>
    <sheetDataSet>
      <sheetData sheetId="0"/>
      <sheetData sheetId="1"/>
      <sheetData sheetId="2"/>
      <sheetData sheetId="3">
        <row r="17">
          <cell r="A17">
            <v>0.125</v>
          </cell>
        </row>
      </sheetData>
      <sheetData sheetId="4"/>
      <sheetData sheetId="5"/>
      <sheetData sheetId="6" refreshError="1"/>
      <sheetData sheetId="7" refreshError="1"/>
      <sheetData sheetId="8"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BLES"/>
      <sheetName val="LC"/>
      <sheetName val="Master data"/>
      <sheetName val="Profitability analysis"/>
      <sheetName val="Toll Final BOQ"/>
      <sheetName val="Spares - 1 year"/>
      <sheetName val="Toll-Itemwise costing"/>
      <sheetName val="Toll-Loop Sealant calculation"/>
    </sheetNames>
    <sheetDataSet>
      <sheetData sheetId="0"/>
      <sheetData sheetId="1"/>
      <sheetData sheetId="2"/>
      <sheetData sheetId="3">
        <row r="60">
          <cell r="B60">
            <v>0.09</v>
          </cell>
        </row>
      </sheetData>
      <sheetData sheetId="4"/>
      <sheetData sheetId="5"/>
      <sheetData sheetId="6"/>
      <sheetData sheetId="7"/>
      <sheetData sheetId="8"/>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 val="Foot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 val="staff acco."/>
      <sheetName val="cost"/>
      <sheetName val="storage"/>
      <sheetName val="Capacity Inputs"/>
      <sheetName val="Summary"/>
      <sheetName val="Master"/>
      <sheetName val="XREF"/>
      <sheetName val="Drop down 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Boq"/>
      <sheetName val="Calculations"/>
      <sheetName val="List"/>
      <sheetName val="Pre-cast"/>
      <sheetName val="E1"/>
      <sheetName val="Civil_Boq"/>
      <sheetName val="ANALYSIS"/>
      <sheetName val="PIpe Pushing"/>
      <sheetName val="Pile cap"/>
      <sheetName val="SPT vs PHI"/>
      <sheetName val="std.wt."/>
      <sheetName val="moments-table(tri)"/>
      <sheetName val="Material "/>
      <sheetName val="RA-markate"/>
      <sheetName val="General Summary"/>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149"/>
      <sheetName val="Design"/>
      <sheetName val="conc-foot-gradeslab"/>
      <sheetName val="Abstract Sheet"/>
      <sheetName val="switch"/>
      <sheetName val="V.O.4 - PCC Qty"/>
      <sheetName val="floor slab-RS2"/>
      <sheetName val="THK"/>
      <sheetName val="BOQ_Direct_selling cost"/>
      <sheetName val="dummy"/>
      <sheetName val="COLUMN"/>
      <sheetName val="PRECAST lightconc-II"/>
      <sheetName val="sept-plan"/>
      <sheetName val="Legal Risk Analysis"/>
      <sheetName val="Break up Sheet"/>
      <sheetName val="Notes"/>
      <sheetName val="Staff Forecast spread"/>
      <sheetName val="Field Values"/>
      <sheetName val="Civil_Boq1"/>
      <sheetName val="SPT_vs_PHI"/>
      <sheetName val="std_wt_"/>
      <sheetName val="Pile_cap"/>
      <sheetName val="Material_"/>
      <sheetName val="Chandrawal_-1"/>
      <sheetName val="Guide_VAT_ED_Credit"/>
      <sheetName val="AMC_&amp;_O&amp;M"/>
      <sheetName val="JTS_Costing"/>
      <sheetName val="BOQ fire proofing"/>
      <sheetName val="+X &amp; -X DIR PRE"/>
      <sheetName val="d-safe specs"/>
      <sheetName val="1.01 (a)"/>
      <sheetName val="RES-PLANNING"/>
      <sheetName val="Pay_Sep06"/>
      <sheetName val="Sheet4"/>
      <sheetName val="Main-Material"/>
      <sheetName val="girder"/>
      <sheetName val="13. Steel - Ratio"/>
      <sheetName val="Footings"/>
      <sheetName val="WPR-IV"/>
      <sheetName val="Labour productivity"/>
      <sheetName val="Input"/>
      <sheetName val="x-items"/>
      <sheetName val="BOQ_Direct_selling_cost"/>
      <sheetName val="Staff_Forecast_spread"/>
      <sheetName val="floor_slab-RS2"/>
      <sheetName val="PRECAST_lightconc-II"/>
      <sheetName val="PIpe_Pushing"/>
      <sheetName val="d-safe_specs"/>
      <sheetName val="Labour_productivity"/>
      <sheetName val="BOQ (2)"/>
      <sheetName val="RECAPITULATION"/>
      <sheetName val="GBW"/>
      <sheetName val="TBAL9697 -group wise  sdpl"/>
      <sheetName val="AOR"/>
      <sheetName val="Costing"/>
      <sheetName val="RCC,Ret. Wall"/>
      <sheetName val="Balance sheet"/>
      <sheetName val="shuttering"/>
      <sheetName val="FORM7"/>
      <sheetName val="2.1 受電設備棟"/>
      <sheetName val="2.2 受・防火水槽"/>
      <sheetName val="2.3 排水処理設備棟"/>
      <sheetName val="2.4 倉庫棟"/>
      <sheetName val="2.5 守衛棟"/>
      <sheetName val="TASKRSRC (2)"/>
      <sheetName val="TARGET"/>
      <sheetName val="BASELINE"/>
      <sheetName val="MainSheet"/>
      <sheetName val="DETAIL SHEET"/>
      <sheetName val="spool"/>
      <sheetName val="Supplier"/>
      <sheetName val="CABLE DATA"/>
      <sheetName val="INPUT SHEET"/>
      <sheetName val="Extra Item"/>
      <sheetName val="Fill this out first..."/>
      <sheetName val="Lead"/>
      <sheetName val="Labour &amp; Plant"/>
      <sheetName val="Project Budget Worksheet"/>
      <sheetName val="organi synthesis lab"/>
      <sheetName val="UNIT2"/>
      <sheetName val="BOQ -II ph 2"/>
      <sheetName val="PointNo.5"/>
      <sheetName val="Fin Sum"/>
      <sheetName val="Detail"/>
      <sheetName val="Sheet1"/>
      <sheetName val="T1037 Entire School"/>
      <sheetName val="d-safe DELUXE"/>
      <sheetName val="RMZ Summary"/>
      <sheetName val="Employee List"/>
      <sheetName val="p&amp;m"/>
      <sheetName val="Plant Cost"/>
      <sheetName val="Purlin(7m)"/>
      <sheetName val="IS3370"/>
      <sheetName val="IS456"/>
      <sheetName val="Table10"/>
      <sheetName val="Table11"/>
      <sheetName val="Table12"/>
      <sheetName val="Table9"/>
      <sheetName val="P&amp;L-BDMC"/>
      <sheetName val="1st and 4th flight"/>
      <sheetName val="Vehicles"/>
      <sheetName val="VCH-SLC"/>
      <sheetName val="except wiring"/>
      <sheetName val="3cd Annexure"/>
      <sheetName val="10. &amp; 11. Rate Code &amp; BQ"/>
      <sheetName val="STAFFSCHED "/>
      <sheetName val="dBase"/>
      <sheetName val="PRECAST lightconc_II"/>
      <sheetName val="Voucher"/>
      <sheetName val="Basement Budget"/>
      <sheetName val="IO LIST"/>
      <sheetName val="LABOUR"/>
      <sheetName val="Aseet1998"/>
      <sheetName val="PC Master List"/>
      <sheetName val="Storage"/>
      <sheetName val="foot"/>
      <sheetName val="3-3(750)"/>
      <sheetName val="Calc1"/>
      <sheetName val="cubes_M20"/>
      <sheetName val="WWR"/>
      <sheetName val="Equipment"/>
      <sheetName val="ORDER BOOKING"/>
      <sheetName val="Macro1"/>
      <sheetName val="labour coeff"/>
      <sheetName val="Cal"/>
      <sheetName val="Data"/>
      <sheetName val="Boiler&amp;TG"/>
      <sheetName val="Construction"/>
      <sheetName val="Scope Reconciliation"/>
      <sheetName val="Names&amp;Cases"/>
      <sheetName val="Rate analysis"/>
      <sheetName val="main"/>
      <sheetName val="COST"/>
      <sheetName val="Site Dev BOQ"/>
      <sheetName val="Non-Factory"/>
      <sheetName val="Summary_Bank"/>
      <sheetName val="Fee Rate Summary"/>
      <sheetName val="beam-reinft"/>
      <sheetName val="Site wise NADs"/>
      <sheetName val="Sheet3"/>
      <sheetName val="Sheet2"/>
      <sheetName val="LANGUAGE"/>
      <sheetName val="Cover sheet"/>
      <sheetName val=" "/>
      <sheetName val="purpose&amp;input"/>
      <sheetName val="M.S."/>
      <sheetName val="INPUT_SHEET"/>
      <sheetName val="tower"/>
      <sheetName val="analysis-superstructure"/>
      <sheetName val="loadcal"/>
      <sheetName val="Current Bill MB ref"/>
      <sheetName val="NT LBH"/>
      <sheetName val="Desgn(zone I)"/>
      <sheetName val="Electrical"/>
      <sheetName val="Build-up"/>
      <sheetName val="AK-Offertstammblatt"/>
      <sheetName val="@Risk Inputs"/>
      <sheetName val="Calc"/>
      <sheetName val="Depreciation Calc"/>
      <sheetName val="b.s.-p.l.-sch."/>
      <sheetName val="Factors"/>
      <sheetName val="master"/>
      <sheetName val="Calc_ISC"/>
      <sheetName val="Tender Summary"/>
      <sheetName val="BOQ_SERENO"/>
      <sheetName val="T&amp;M"/>
      <sheetName val="Intro."/>
      <sheetName val="lookups"/>
      <sheetName val="Project Details.."/>
      <sheetName val="Top Line - WWW"/>
      <sheetName val="Wire"/>
      <sheetName val="Publicbuilding"/>
      <sheetName val="Mat_Cost"/>
      <sheetName val="Staff Acco."/>
      <sheetName val="Activity Costing Breakup"/>
      <sheetName val="Unit Rate(CIS)"/>
      <sheetName val="Conc Analysis"/>
      <sheetName val="Basic "/>
      <sheetName val="Back-UP IRA (CIS)"/>
      <sheetName val="Precast IRA"/>
      <sheetName val="Precast IRA Backup"/>
      <sheetName val="Precast RA"/>
      <sheetName val="HEAD"/>
      <sheetName val="Invoice"/>
      <sheetName val="POI_MASTER_1"/>
      <sheetName val="nglrpt042964858"/>
      <sheetName val="Trial Bal"/>
      <sheetName val="DG3285"/>
      <sheetName val="BOQ Distribution"/>
      <sheetName val="Block A - BOQ"/>
      <sheetName val="Cul_detail"/>
      <sheetName val="UNIT WT LIST"/>
      <sheetName val="Sheet7"/>
      <sheetName val="S0"/>
      <sheetName val="radar"/>
      <sheetName val="E &amp; R"/>
      <sheetName val="Abstract - Single Line"/>
      <sheetName val="CGL"/>
      <sheetName val="#BEZUG"/>
      <sheetName val="office"/>
      <sheetName val="Lab"/>
      <sheetName val="Material&amp;equipment"/>
      <sheetName val="rev 01"/>
      <sheetName val="3"/>
      <sheetName val="Corbel"/>
      <sheetName val="CIF COST ITEM"/>
      <sheetName val="Measur"/>
      <sheetName val="RA_EIL"/>
      <sheetName val="RA_MKT_QUOTE"/>
      <sheetName val="Summary year Plan"/>
      <sheetName val="Performance Report"/>
      <sheetName val="Generic Sum"/>
      <sheetName val="Micro"/>
      <sheetName val="Macro"/>
      <sheetName val="Scaff-Rose"/>
      <sheetName val="1_Project_Profile"/>
      <sheetName val="SC revtrgt"/>
      <sheetName val="目录"/>
      <sheetName val="Detailed Summary (5)"/>
      <sheetName val="Final Summary"/>
      <sheetName val="Chandrawal_-11"/>
      <sheetName val="Guide_VAT_ED_Credit1"/>
      <sheetName val="AMC_&amp;_O&amp;M1"/>
      <sheetName val="JTS_Costing1"/>
      <sheetName val="SPT_vs_PHI1"/>
      <sheetName val="std_wt_1"/>
      <sheetName val="Material_1"/>
      <sheetName val="Pile_cap1"/>
      <sheetName val="d-safe_specs1"/>
      <sheetName val="CABLE_DATA"/>
      <sheetName val="BOQ "/>
      <sheetName val="Flooring"/>
      <sheetName val="ELEC_BOQ"/>
      <sheetName val="Mat &amp; Lab Rate"/>
      <sheetName val="BS Schdl- 1 &amp; 2"/>
      <sheetName val="L3"/>
      <sheetName val="st"/>
      <sheetName val="Risk &amp; Opportunities"/>
      <sheetName val="Cd"/>
      <sheetName val="Cs"/>
      <sheetName val="CPIPE"/>
      <sheetName val="CPIPE 1"/>
      <sheetName val="Sheet 1"/>
      <sheetName val="CLform"/>
      <sheetName val="final abstract"/>
      <sheetName val="CFForecast detail"/>
      <sheetName val="Assmpns"/>
      <sheetName val="월선수금"/>
      <sheetName val="OHT_Abs"/>
      <sheetName val="Cashflow projection"/>
      <sheetName val="inWords"/>
      <sheetName val="M.R.List (2)"/>
      <sheetName val="General_Summary"/>
      <sheetName val="BOQ_fire_proofing"/>
      <sheetName val="Civil_Boq2"/>
      <sheetName val="General_Summary1"/>
      <sheetName val="BOQ_fire_proofing1"/>
      <sheetName val="GUT"/>
      <sheetName val="calcul"/>
      <sheetName val="Variables"/>
      <sheetName val=" WORKING"/>
      <sheetName val="FORM-W3"/>
      <sheetName val="Column Bracket"/>
      <sheetName val="Data-Month"/>
      <sheetName val="Assumptions"/>
      <sheetName val="Global factors"/>
      <sheetName val="Section Catalogue"/>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seT"/>
      <sheetName val="RateAnalysis"/>
      <sheetName val="RFP002"/>
      <sheetName val="Material Rate"/>
      <sheetName val="BOQ_Direct_selling_cost1"/>
      <sheetName val="Staff_Forecast_spread1"/>
      <sheetName val="floor_slab-RS21"/>
      <sheetName val="+X_&amp;_-X_DIR_PRE"/>
      <sheetName val="PIpe_Pushing1"/>
      <sheetName val="Break_up_Sheet"/>
      <sheetName val="PRECAST_lightconc-II1"/>
      <sheetName val="Labour_productivity1"/>
      <sheetName val="13__Steel_-_Ratio"/>
      <sheetName val="2_1_受電設備棟"/>
      <sheetName val="2_2_受・防火水槽"/>
      <sheetName val="2_3_排水処理設備棟"/>
      <sheetName val="2_4_倉庫棟"/>
      <sheetName val="2_5_守衛棟"/>
      <sheetName val="Abstract_Sheet"/>
      <sheetName val="Plant_Cost"/>
      <sheetName val="DETAIL_SHEET"/>
      <sheetName val="INPUT_SHEET1"/>
      <sheetName val="Extra_Item"/>
      <sheetName val="Fill_this_out_first___"/>
      <sheetName val="Labour_&amp;_Plant"/>
      <sheetName val="Project_Budget_Worksheet"/>
      <sheetName val="TASKRSRC_(2)"/>
      <sheetName val="organi_synthesis_lab"/>
      <sheetName val="Legal_Risk_Analysis"/>
      <sheetName val="V_O_4_-_PCC_Qty"/>
      <sheetName val="Field_Values"/>
      <sheetName val="TBAL9697_-group_wise__sdpl"/>
      <sheetName val="BOQ_-II_ph_2"/>
      <sheetName val="PointNo_5"/>
      <sheetName val="1_01_(a)"/>
      <sheetName val="d-safe_DELUXE"/>
      <sheetName val="Site_wise_NADs"/>
      <sheetName val="T1037_Entire_School"/>
      <sheetName val="PC_Master_List"/>
      <sheetName val="Balance_sheet"/>
      <sheetName val="SC_revtrgt"/>
      <sheetName val="Fin_Sum"/>
      <sheetName val="RCC,Ret__Wall"/>
      <sheetName val="_"/>
      <sheetName val="RMZ_Summary"/>
      <sheetName val="Employee_List"/>
      <sheetName val="STAFFSCHED_"/>
      <sheetName val="PRECAST_lightconc_II"/>
      <sheetName val="Basement_Budget"/>
      <sheetName val="IO_LIST"/>
      <sheetName val="ORDER_BOOKING"/>
      <sheetName val="except_wiring"/>
      <sheetName val="3cd_Annexure"/>
      <sheetName val="BOQ_(2)"/>
      <sheetName val="Site_Dev_BOQ"/>
      <sheetName val="1st_and_4th_flight"/>
      <sheetName val="Cover_sheet"/>
      <sheetName val="labour_coeff"/>
      <sheetName val="Fee_Rate_Summary"/>
      <sheetName val="Rate_analysis"/>
      <sheetName val="Tender_Summary"/>
      <sheetName val="10__&amp;_11__Rate_Code_&amp;_BQ"/>
      <sheetName val="Scope_Reconciliation"/>
      <sheetName val="Current_Bill_MB_ref"/>
      <sheetName val="NT_LBH"/>
      <sheetName val="Activity_Costing_Breakup"/>
      <sheetName val="Unit_Rate(CIS)"/>
      <sheetName val="Conc_Analysis"/>
      <sheetName val="Basic_"/>
      <sheetName val="Back-UP_IRA_(CIS)"/>
      <sheetName val="Precast_IRA"/>
      <sheetName val="Precast_IRA_Backup"/>
      <sheetName val="Precast_RA"/>
      <sheetName val="Summary_year_Plan"/>
      <sheetName val="Desgn(zone_I)"/>
      <sheetName val="Project_Details__"/>
      <sheetName val="Top_Line_-_WWW"/>
      <sheetName val="Depreciation_Calc"/>
      <sheetName val="Staff_Acco_"/>
      <sheetName val="Trial_Bal"/>
      <sheetName val="Detailed_Summary_(5)"/>
      <sheetName val="Block_A_-_BOQ"/>
      <sheetName val="b_s_-p_l_-sch_"/>
      <sheetName val="M_S_"/>
      <sheetName val="Final_Summary"/>
      <sheetName val="Civil_Boq3"/>
      <sheetName val="SPT_vs_PHI2"/>
      <sheetName val="std_wt_2"/>
      <sheetName val="Material_2"/>
      <sheetName val="Chandrawal_-12"/>
      <sheetName val="Guide_VAT_ED_Credit2"/>
      <sheetName val="AMC_&amp;_O&amp;M2"/>
      <sheetName val="JTS_Costing2"/>
      <sheetName val="Pile_cap2"/>
      <sheetName val="BOQ_Direct_selling_cost2"/>
      <sheetName val="Staff_Forecast_spread2"/>
      <sheetName val="floor_slab-RS22"/>
      <sheetName val="+X_&amp;_-X_DIR_PRE1"/>
      <sheetName val="PIpe_Pushing2"/>
      <sheetName val="Break_up_Sheet1"/>
      <sheetName val="PRECAST_lightconc-II2"/>
      <sheetName val="d-safe_specs2"/>
      <sheetName val="Labour_productivity2"/>
      <sheetName val="13__Steel_-_Ratio1"/>
      <sheetName val="2_1_受電設備棟1"/>
      <sheetName val="2_2_受・防火水槽1"/>
      <sheetName val="2_3_排水処理設備棟1"/>
      <sheetName val="2_4_倉庫棟1"/>
      <sheetName val="2_5_守衛棟1"/>
      <sheetName val="Abstract_Sheet1"/>
      <sheetName val="Plant_Cost1"/>
      <sheetName val="DETAIL_SHEET1"/>
      <sheetName val="CABLE_DATA1"/>
      <sheetName val="INPUT_SHEET2"/>
      <sheetName val="Extra_Item1"/>
      <sheetName val="Fill_this_out_first___1"/>
      <sheetName val="Labour_&amp;_Plant1"/>
      <sheetName val="Project_Budget_Worksheet1"/>
      <sheetName val="TASKRSRC_(2)1"/>
      <sheetName val="organi_synthesis_lab1"/>
      <sheetName val="Legal_Risk_Analysis1"/>
      <sheetName val="V_O_4_-_PCC_Qty1"/>
      <sheetName val="Field_Values1"/>
      <sheetName val="TBAL9697_-group_wise__sdpl1"/>
      <sheetName val="BOQ_-II_ph_21"/>
      <sheetName val="PointNo_51"/>
      <sheetName val="1_01_(a)1"/>
      <sheetName val="d-safe_DELUXE1"/>
      <sheetName val="Site_wise_NADs1"/>
      <sheetName val="T1037_Entire_School1"/>
      <sheetName val="PC_Master_List1"/>
      <sheetName val="Balance_sheet1"/>
      <sheetName val="SC_revtrgt1"/>
      <sheetName val="Fin_Sum1"/>
      <sheetName val="RCC,Ret__Wall1"/>
      <sheetName val="_1"/>
      <sheetName val="RMZ_Summary1"/>
      <sheetName val="Employee_List1"/>
      <sheetName val="STAFFSCHED_1"/>
      <sheetName val="PRECAST_lightconc_II1"/>
      <sheetName val="Basement_Budget1"/>
      <sheetName val="IO_LIST1"/>
      <sheetName val="ORDER_BOOKING1"/>
      <sheetName val="except_wiring1"/>
      <sheetName val="3cd_Annexure1"/>
      <sheetName val="BOQ_(2)1"/>
      <sheetName val="Site_Dev_BOQ1"/>
      <sheetName val="1st_and_4th_flight1"/>
      <sheetName val="Cover_sheet1"/>
      <sheetName val="labour_coeff1"/>
      <sheetName val="Fee_Rate_Summary1"/>
      <sheetName val="Rate_analysis1"/>
      <sheetName val="Tender_Summary1"/>
      <sheetName val="10__&amp;_11__Rate_Code_&amp;_BQ1"/>
      <sheetName val="Scope_Reconciliation1"/>
      <sheetName val="Current_Bill_MB_ref1"/>
      <sheetName val="NT_LBH1"/>
      <sheetName val="Activity_Costing_Breakup1"/>
      <sheetName val="Unit_Rate(CIS)1"/>
      <sheetName val="Conc_Analysis1"/>
      <sheetName val="Basic_1"/>
      <sheetName val="Back-UP_IRA_(CIS)1"/>
      <sheetName val="Precast_IRA1"/>
      <sheetName val="Precast_IRA_Backup1"/>
      <sheetName val="Precast_RA1"/>
      <sheetName val="Summary_year_Plan1"/>
      <sheetName val="Desgn(zone_I)1"/>
      <sheetName val="Project_Details__1"/>
      <sheetName val="Top_Line_-_WWW1"/>
      <sheetName val="Depreciation_Calc1"/>
      <sheetName val="Staff_Acco_1"/>
      <sheetName val="Trial_Bal1"/>
      <sheetName val="Detailed_Summary_(5)1"/>
      <sheetName val="Block_A_-_BOQ1"/>
      <sheetName val="b_s_-p_l_-sch_1"/>
      <sheetName val="M_S_1"/>
      <sheetName val="Final_Summary1"/>
      <sheetName val="RANGE"/>
      <sheetName val="Register"/>
      <sheetName val="환율"/>
      <sheetName val="Sub-str."/>
      <sheetName val="Approved MTD Proj #'s"/>
      <sheetName val="Variation Statement"/>
      <sheetName val="sq ftg detail"/>
      <sheetName val="lookup"/>
      <sheetName val="Database"/>
      <sheetName val="AR"/>
      <sheetName val="Final Bill of Material"/>
      <sheetName val="wordsdata"/>
      <sheetName val="Sqn_Abs _G_1"/>
      <sheetName val="Inter unit set off"/>
      <sheetName val="mem-property"/>
      <sheetName val="Cor_01Br6_8"/>
      <sheetName val="India F&amp;S Template"/>
      <sheetName val="Controls"/>
      <sheetName val="Analy_7-10"/>
      <sheetName val="BOQ-Part1"/>
      <sheetName val="@Risk_Inputs"/>
      <sheetName val="final_abstract"/>
      <sheetName val="BS_Schdl-_1_&amp;_2"/>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Intro_"/>
      <sheetName val="BOQ_Distribution"/>
      <sheetName val="sq_ftg_detail"/>
      <sheetName val="Sheet_1"/>
      <sheetName val="9. Package split - Cost "/>
      <sheetName val="SPT_vs_PHI3"/>
      <sheetName val="std_wt_3"/>
      <sheetName val="Material_3"/>
      <sheetName val="Chandrawal_-13"/>
      <sheetName val="Guide_VAT_ED_Credit3"/>
      <sheetName val="AMC_&amp;_O&amp;M3"/>
      <sheetName val="JTS_Costing3"/>
      <sheetName val="Pile_cap3"/>
      <sheetName val="d-safe_specs3"/>
      <sheetName val="CABLE_DATA2"/>
      <sheetName val="@Risk_Inputs1"/>
      <sheetName val="final_abstract1"/>
      <sheetName val="BS_Schdl-_1_&amp;_21"/>
      <sheetName val="PM_Action_1"/>
      <sheetName val="PE_Status1"/>
      <sheetName val="Major_Events_1"/>
      <sheetName val="EARTHING"/>
      <sheetName val="Footing"/>
      <sheetName val="Annex-1"/>
      <sheetName val="STRIP Sizing"/>
      <sheetName val="IEC-865"/>
      <sheetName val="A"/>
      <sheetName val="3. Subcon Recon"/>
      <sheetName val="EDWise"/>
      <sheetName val="#REF!"/>
      <sheetName val="Crtitical_Issues1"/>
      <sheetName val="KH-Q1,Q2,01"/>
      <sheetName val="Fault_Statistics1"/>
      <sheetName val="ELECT"/>
      <sheetName val="7 Other Costs"/>
      <sheetName val="DB_ET200(R. A)"/>
      <sheetName val="石炭性状"/>
      <sheetName val="가격분석@1100(990104)"/>
      <sheetName val="Escalation"/>
      <sheetName val="NCCALC11"/>
      <sheetName val="공정율 기초 Data"/>
      <sheetName val="제출계산서"/>
      <sheetName val="공사내역"/>
      <sheetName val=" Pricing_110512.xlsx"/>
      <sheetName val="당초"/>
      <sheetName val="SIZING"/>
      <sheetName val="Testing"/>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civil"/>
      <sheetName val="Control"/>
      <sheetName val="R.A"/>
      <sheetName val="Basis"/>
      <sheetName val="Rev. 00 - 20.07.04"/>
      <sheetName val="sq_ftg_detail1"/>
      <sheetName val="Sheet_11"/>
      <sheetName val="Civil_Boq4"/>
      <sheetName val="SPT_vs_PHI4"/>
      <sheetName val="std_wt_4"/>
      <sheetName val="Material_4"/>
      <sheetName val="Chandrawal_-14"/>
      <sheetName val="Guide_VAT_ED_Credit4"/>
      <sheetName val="AMC_&amp;_O&amp;M4"/>
      <sheetName val="JTS_Costing4"/>
      <sheetName val="Pile_cap4"/>
      <sheetName val="BOQ_Direct_selling_cost3"/>
      <sheetName val="Staff_Forecast_spread3"/>
      <sheetName val="floor_slab-RS23"/>
      <sheetName val="General_Summary2"/>
      <sheetName val="+X_&amp;_-X_DIR_PRE2"/>
      <sheetName val="PIpe_Pushing3"/>
      <sheetName val="d-safe_specs4"/>
      <sheetName val="Break_up_Sheet2"/>
      <sheetName val="13__Steel_-_Ratio2"/>
      <sheetName val="PRECAST_lightconc-II3"/>
      <sheetName val="Labour_productivity3"/>
      <sheetName val="TASKRSRC_(2)2"/>
      <sheetName val="CABLE_DATA3"/>
      <sheetName val="INPUT_SHEET3"/>
      <sheetName val="Extra_Item2"/>
      <sheetName val="Fill_this_out_first___2"/>
      <sheetName val="Labour_&amp;_Plant2"/>
      <sheetName val="Project_Budget_Worksheet2"/>
      <sheetName val="Abstract_Sheet2"/>
      <sheetName val="Legal_Risk_Analysis2"/>
      <sheetName val="V_O_4_-_PCC_Qty2"/>
      <sheetName val="Field_Values2"/>
      <sheetName val="TBAL9697_-group_wise__sdpl2"/>
      <sheetName val="BOQ_-II_ph_22"/>
      <sheetName val="DETAIL_SHEET2"/>
      <sheetName val="organi_synthesis_lab2"/>
      <sheetName val="Fin_Sum2"/>
      <sheetName val="2_1_受電設備棟2"/>
      <sheetName val="2_2_受・防火水槽2"/>
      <sheetName val="2_3_排水処理設備棟2"/>
      <sheetName val="2_4_倉庫棟2"/>
      <sheetName val="2_5_守衛棟2"/>
      <sheetName val="PointNo_52"/>
      <sheetName val="1_01_(a)2"/>
      <sheetName val="T1037_Entire_School2"/>
      <sheetName val="RMZ_Summary2"/>
      <sheetName val="d-safe_DELUXE2"/>
      <sheetName val="Employee_List2"/>
      <sheetName val="Balance_sheet2"/>
      <sheetName val="BOQ_fire_proofing2"/>
      <sheetName val="RCC,Ret__Wall2"/>
      <sheetName val="Plant_Cost2"/>
      <sheetName val="STAFFSCHED_2"/>
      <sheetName val="PRECAST_lightconc_II2"/>
      <sheetName val="Basement_Budget2"/>
      <sheetName val="IO_LIST2"/>
      <sheetName val="PC_Master_List2"/>
      <sheetName val="ORDER_BOOKING2"/>
      <sheetName val="except_wiring2"/>
      <sheetName val="3cd_Annexure2"/>
      <sheetName val="labour_coeff2"/>
      <sheetName val="10__&amp;_11__Rate_Code_&amp;_BQ2"/>
      <sheetName val="Scope_Reconciliation2"/>
      <sheetName val="_2"/>
      <sheetName val="BOQ_(2)2"/>
      <sheetName val="Site_Dev_BOQ2"/>
      <sheetName val="Current_Bill_MB_ref2"/>
      <sheetName val="NT_LBH2"/>
      <sheetName val="Desgn(zone_I)2"/>
      <sheetName val="1st_and_4th_flight2"/>
      <sheetName val="Cover_sheet2"/>
      <sheetName val="Site_wise_NADs2"/>
      <sheetName val="Tender_Summary2"/>
      <sheetName val="Depreciation_Calc2"/>
      <sheetName val="Project_Details__2"/>
      <sheetName val="Top_Line_-_WWW2"/>
      <sheetName val="Activity_Costing_Breakup2"/>
      <sheetName val="Unit_Rate(CIS)2"/>
      <sheetName val="Conc_Analysis2"/>
      <sheetName val="Basic_2"/>
      <sheetName val="Back-UP_IRA_(CIS)2"/>
      <sheetName val="Precast_IRA2"/>
      <sheetName val="Precast_IRA_Backup2"/>
      <sheetName val="Precast_RA2"/>
      <sheetName val="Staff_Acco_2"/>
      <sheetName val="Block_A_-_BOQ2"/>
      <sheetName val="b_s_-p_l_-sch_2"/>
      <sheetName val="M_S_2"/>
      <sheetName val="Rate_analysis2"/>
      <sheetName val="Fee_Rate_Summary2"/>
      <sheetName val="@Risk_Inputs2"/>
      <sheetName val="final_abstract2"/>
      <sheetName val="BS_Schdl-_1_&amp;_22"/>
      <sheetName val="Summary_year_Plan2"/>
      <sheetName val="SC_revtrgt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Trial_Bal2"/>
      <sheetName val="Detailed_Summary_(5)2"/>
      <sheetName val="Final_Summary2"/>
      <sheetName val="sq_ftg_detail2"/>
      <sheetName val="Sheet_12"/>
      <sheetName val="Civil_Boq5"/>
      <sheetName val="SPT_vs_PHI5"/>
      <sheetName val="std_wt_5"/>
      <sheetName val="Material_5"/>
      <sheetName val="Chandrawal_-15"/>
      <sheetName val="Guide_VAT_ED_Credit5"/>
      <sheetName val="AMC_&amp;_O&amp;M5"/>
      <sheetName val="JTS_Costing5"/>
      <sheetName val="Pile_cap5"/>
      <sheetName val="BOQ_Direct_selling_cost4"/>
      <sheetName val="Staff_Forecast_spread4"/>
      <sheetName val="floor_slab-RS24"/>
      <sheetName val="General_Summary3"/>
      <sheetName val="+X_&amp;_-X_DIR_PRE3"/>
      <sheetName val="PIpe_Pushing4"/>
      <sheetName val="d-safe_specs5"/>
      <sheetName val="Break_up_Sheet3"/>
      <sheetName val="13__Steel_-_Ratio3"/>
      <sheetName val="PRECAST_lightconc-II4"/>
      <sheetName val="Labour_productivity4"/>
      <sheetName val="TASKRSRC_(2)3"/>
      <sheetName val="CABLE_DATA4"/>
      <sheetName val="INPUT_SHEET4"/>
      <sheetName val="Extra_Item3"/>
      <sheetName val="Fill_this_out_first___3"/>
      <sheetName val="Labour_&amp;_Plant3"/>
      <sheetName val="Project_Budget_Worksheet3"/>
      <sheetName val="Abstract_Sheet3"/>
      <sheetName val="Legal_Risk_Analysis3"/>
      <sheetName val="V_O_4_-_PCC_Qty3"/>
      <sheetName val="Field_Values3"/>
      <sheetName val="TBAL9697_-group_wise__sdpl3"/>
      <sheetName val="BOQ_-II_ph_23"/>
      <sheetName val="DETAIL_SHEET3"/>
      <sheetName val="organi_synthesis_lab3"/>
      <sheetName val="Fin_Sum3"/>
      <sheetName val="2_1_受電設備棟3"/>
      <sheetName val="2_2_受・防火水槽3"/>
      <sheetName val="2_3_排水処理設備棟3"/>
      <sheetName val="2_4_倉庫棟3"/>
      <sheetName val="2_5_守衛棟3"/>
      <sheetName val="PointNo_53"/>
      <sheetName val="1_01_(a)3"/>
      <sheetName val="T1037_Entire_School3"/>
      <sheetName val="RMZ_Summary3"/>
      <sheetName val="d-safe_DELUXE3"/>
      <sheetName val="Employee_List3"/>
      <sheetName val="Balance_sheet3"/>
      <sheetName val="BOQ_fire_proofing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Rate_analysis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keyword"/>
      <sheetName val="Abstract"/>
      <sheetName val="Tie Beams "/>
      <sheetName val="Inhalt"/>
      <sheetName val="sand"/>
      <sheetName val="stone"/>
      <sheetName val="index"/>
      <sheetName val="Coefficients"/>
      <sheetName val="TABLE2"/>
      <sheetName val="손익현황"/>
      <sheetName val="현황CODE"/>
      <sheetName val="SP&amp;ST 제출가"/>
      <sheetName val="BQ"/>
      <sheetName val="POWER"/>
      <sheetName val="COMP WALL"/>
      <sheetName val="Back_Cal_for OMC"/>
      <sheetName val="Rising Main"/>
      <sheetName val="Rob. elektr."/>
      <sheetName val="SILICATE"/>
      <sheetName val="leads"/>
      <sheetName val="Manpower"/>
      <sheetName val="30-3"/>
      <sheetName val="r"/>
      <sheetName val="MRATES"/>
      <sheetName val="LOCAL RATES"/>
      <sheetName val="1-Pop Proj"/>
      <sheetName val="Input &amp; Calculations"/>
      <sheetName val="STEEL STRUCTURE"/>
      <sheetName val="PurchGroup"/>
      <sheetName val="SSR _ NSSR Market final"/>
      <sheetName val="Civil_Boq6"/>
      <sheetName val="SPT_vs_PHI6"/>
      <sheetName val="std_wt_6"/>
      <sheetName val="Material_6"/>
      <sheetName val="Chandrawal_-16"/>
      <sheetName val="Guide_VAT_ED_Credit6"/>
      <sheetName val="AMC_&amp;_O&amp;M6"/>
      <sheetName val="JTS_Costing6"/>
      <sheetName val="Pile_cap6"/>
      <sheetName val="BOQ_Direct_selling_cost5"/>
      <sheetName val="Staff_Forecast_spread5"/>
      <sheetName val="floor_slab-RS25"/>
      <sheetName val="General_Summary4"/>
      <sheetName val="+X_&amp;_-X_DIR_PRE4"/>
      <sheetName val="PIpe_Pushing5"/>
      <sheetName val="d-safe_specs6"/>
      <sheetName val="Break_up_Sheet4"/>
      <sheetName val="13__Steel_-_Ratio4"/>
      <sheetName val="PRECAST_lightconc-II5"/>
      <sheetName val="Labour_productivity5"/>
      <sheetName val="TASKRSRC_(2)4"/>
      <sheetName val="CABLE_DATA5"/>
      <sheetName val="INPUT_SHEET5"/>
      <sheetName val="Extra_Item4"/>
      <sheetName val="Fill_this_out_first___4"/>
      <sheetName val="Labour_&amp;_Plant4"/>
      <sheetName val="Project_Budget_Worksheet4"/>
      <sheetName val="Abstract_Sheet4"/>
      <sheetName val="Legal_Risk_Analysis4"/>
      <sheetName val="V_O_4_-_PCC_Qty4"/>
      <sheetName val="Field_Values4"/>
      <sheetName val="TBAL9697_-group_wise__sdpl4"/>
      <sheetName val="BOQ_-II_ph_24"/>
      <sheetName val="DETAIL_SHEET4"/>
      <sheetName val="organi_synthesis_lab4"/>
      <sheetName val="Fin_Sum4"/>
      <sheetName val="2_1_受電設備棟4"/>
      <sheetName val="2_2_受・防火水槽4"/>
      <sheetName val="2_3_排水処理設備棟4"/>
      <sheetName val="2_4_倉庫棟4"/>
      <sheetName val="2_5_守衛棟4"/>
      <sheetName val="PointNo_54"/>
      <sheetName val="1_01_(a)4"/>
      <sheetName val="T1037_Entire_School4"/>
      <sheetName val="RMZ_Summary4"/>
      <sheetName val="d-safe_DELUXE4"/>
      <sheetName val="Employee_List4"/>
      <sheetName val="Balance_sheet4"/>
      <sheetName val="BOQ_fire_proofing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Rate_analysis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M_R_List_(2)"/>
      <sheetName val="Final_Bill_of_Material"/>
      <sheetName val="Civil_Boq7"/>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General_Summary5"/>
      <sheetName val="+X_&amp;_-X_DIR_PRE5"/>
      <sheetName val="PIpe_Pushing6"/>
      <sheetName val="d-safe_specs7"/>
      <sheetName val="Break_up_Sheet5"/>
      <sheetName val="13__Steel_-_Ratio5"/>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Abstract_Sheet5"/>
      <sheetName val="Legal_Risk_Analysis5"/>
      <sheetName val="V_O_4_-_PCC_Qty5"/>
      <sheetName val="Field_Values5"/>
      <sheetName val="TBAL9697_-group_wise__sdpl5"/>
      <sheetName val="BOQ_-II_ph_25"/>
      <sheetName val="DETAIL_SHEET5"/>
      <sheetName val="organi_synthesis_lab5"/>
      <sheetName val="Fin_Sum5"/>
      <sheetName val="2_1_受電設備棟5"/>
      <sheetName val="2_2_受・防火水槽5"/>
      <sheetName val="2_3_排水処理設備棟5"/>
      <sheetName val="2_4_倉庫棟5"/>
      <sheetName val="2_5_守衛棟5"/>
      <sheetName val="PointNo_55"/>
      <sheetName val="1_01_(a)5"/>
      <sheetName val="T1037_Entire_School5"/>
      <sheetName val="RMZ_Summary5"/>
      <sheetName val="d-safe_DELUXE5"/>
      <sheetName val="Employee_List5"/>
      <sheetName val="Balance_sheet5"/>
      <sheetName val="BOQ_fire_proofing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Rate_analysis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OVER HEADS"/>
      <sheetName val="Indices"/>
      <sheetName val="Basic Resources"/>
      <sheetName val="Sheet5"/>
      <sheetName val="Rate An"/>
      <sheetName val="Liste Depense"/>
      <sheetName val="00 GEN"/>
      <sheetName val="Direct cost shed A-2 "/>
      <sheetName val="Pay Rec"/>
      <sheetName val="Certificate"/>
      <sheetName val="Advice"/>
      <sheetName val="Int(Ho con &amp; LH)"/>
      <sheetName val="Mahendra hills"/>
      <sheetName val="concrete"/>
      <sheetName val="beam-reinft-IIInd floor"/>
      <sheetName val="ENCL9"/>
      <sheetName val="Code"/>
      <sheetName val="HOC"/>
      <sheetName val="PCS DATA"/>
      <sheetName val="gen"/>
      <sheetName val="Equip Codes"/>
      <sheetName val="Working"/>
      <sheetName val="v"/>
      <sheetName val="rdamdata"/>
      <sheetName val="ssr-rates"/>
      <sheetName val="parametry"/>
      <sheetName val="Blok (5 - 5A)"/>
      <sheetName val="Blok (6)"/>
      <sheetName val="Blok (7)"/>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sheetData sheetId="1212" refreshError="1"/>
      <sheetData sheetId="1213" refreshError="1"/>
      <sheetData sheetId="1214" refreshError="1"/>
      <sheetData sheetId="1215"/>
      <sheetData sheetId="1216" refreshError="1"/>
      <sheetData sheetId="1217" refreshError="1"/>
      <sheetData sheetId="121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d-safe DELUXE"/>
      <sheetName val="SPT vs PHI"/>
      <sheetName val="Final Bill of Material"/>
      <sheetName val="계정"/>
      <sheetName val="Storage"/>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Inputs &amp; Assumptions(DC)"/>
      <sheetName val="Inter unit set off"/>
      <sheetName val="Lists &amp; Lookups"/>
      <sheetName val="Legal Risk Analysis"/>
      <sheetName val="moments-table(tri)"/>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tbason15.4"/>
      <sheetName val="Trialbal"/>
      <sheetName val="Sheet1"/>
      <sheetName val="BS"/>
      <sheetName val="PL"/>
      <sheetName val="Cash flow"/>
      <sheetName val="Sch1"/>
      <sheetName val="Sch 2"/>
      <sheetName val="Sch 3,4,5"/>
      <sheetName val="Sch 6"/>
      <sheetName val="Sch 7"/>
      <sheetName val="Sch8,9&amp;10"/>
      <sheetName val="sch11"/>
      <sheetName val=" Tax provision "/>
      <sheetName val="EPS"/>
      <sheetName val="Abstract "/>
      <sheetName val="Grouping P&amp;L"/>
      <sheetName val="Grouping BS"/>
      <sheetName val="Cost breakup"/>
      <sheetName val="Assets &amp; Liab"/>
      <sheetName val="TB050204Final"/>
      <sheetName val="Abstract"/>
      <sheetName val="sch3&amp;9grp"/>
      <sheetName val="sch3&amp;9gr"/>
      <sheetName val="sch7grp"/>
      <sheetName val="sch10grp"/>
      <sheetName val="sch11grp"/>
      <sheetName val="sch12grup"/>
      <sheetName val="Sch14grp"/>
      <sheetName val="staffsch14grp"/>
      <sheetName val="sch15grp"/>
      <sheetName val="FA GRP"/>
      <sheetName val="CF final"/>
      <sheetName val="Inter unit set off"/>
      <sheetName val="d-safe specs"/>
      <sheetName val="Cost sheet - Summary "/>
    </sheetNames>
    <sheetDataSet>
      <sheetData sheetId="0" refreshError="1"/>
      <sheetData sheetId="1" refreshError="1"/>
      <sheetData sheetId="2" refreshError="1"/>
      <sheetData sheetId="3" refreshError="1"/>
      <sheetData sheetId="4" refreshError="1"/>
      <sheetData sheetId="5" refreshError="1">
        <row r="11">
          <cell r="L11">
            <v>5705431.1299999999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refreshError="1"/>
      <sheetData sheetId="1">
        <row r="21">
          <cell r="H21" t="b">
            <v>1</v>
          </cell>
        </row>
      </sheetData>
      <sheetData sheetId="2" refreshError="1"/>
      <sheetData sheetId="3">
        <row r="16">
          <cell r="H16" t="str">
            <v>Ubuntu 20.04</v>
          </cell>
        </row>
        <row r="203">
          <cell r="H203">
            <v>4</v>
          </cell>
        </row>
        <row r="204">
          <cell r="H204">
            <v>8</v>
          </cell>
        </row>
        <row r="205">
          <cell r="H205">
            <v>129</v>
          </cell>
        </row>
        <row r="206">
          <cell r="H206" t="str">
            <v>-</v>
          </cell>
        </row>
        <row r="207">
          <cell r="H207" t="str">
            <v>-</v>
          </cell>
        </row>
      </sheetData>
      <sheetData sheetId="4" refreshError="1"/>
      <sheetData sheetId="5"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refreshError="1"/>
      <sheetData sheetId="1">
        <row r="21">
          <cell r="H21" t="b">
            <v>1</v>
          </cell>
        </row>
      </sheetData>
      <sheetData sheetId="2" refreshError="1"/>
      <sheetData sheetId="3">
        <row r="16">
          <cell r="H16" t="str">
            <v>Ubuntu 20.04</v>
          </cell>
        </row>
        <row r="203">
          <cell r="H203">
            <v>4</v>
          </cell>
        </row>
        <row r="204">
          <cell r="H204">
            <v>8</v>
          </cell>
        </row>
        <row r="205">
          <cell r="H205">
            <v>129</v>
          </cell>
        </row>
        <row r="206">
          <cell r="H206" t="str">
            <v>-</v>
          </cell>
        </row>
        <row r="207">
          <cell r="H207" t="str">
            <v>-</v>
          </cell>
        </row>
      </sheetData>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LServers"/>
      <sheetName val="EMLWorkstations"/>
      <sheetName val="EMLLaptops"/>
      <sheetName val="Unit Rates"/>
      <sheetName val="Summary Sheet"/>
      <sheetName val="Factors"/>
      <sheetName val="Desktop MA"/>
      <sheetName val="EML Routers"/>
      <sheetName val="EML LTO &amp; SAN"/>
      <sheetName val="EML Switches"/>
      <sheetName val="EMLHub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 val="lcs schedule "/>
      <sheetName val="Data"/>
    </sheetNames>
    <sheetDataSet>
      <sheetData sheetId="0"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1"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2"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s"/>
      <sheetName val="Summary Sheet"/>
      <sheetName val="Factors"/>
      <sheetName val="Desktop MA"/>
      <sheetName val="EML Routers"/>
      <sheetName val="EML LTO &amp; SAN"/>
      <sheetName val="EML Switches"/>
      <sheetName val="EMLHubs"/>
      <sheetName val="EMLServers"/>
      <sheetName val="EMLWorkstations"/>
      <sheetName val="EMLLaptop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s>
    <sheetDataSet>
      <sheetData sheetId="0"/>
      <sheetData sheetId="1"/>
      <sheetData sheetId="2"/>
      <sheetData sheetId="3"/>
      <sheetData sheetId="4"/>
      <sheetData sheetId="5"/>
      <sheetData sheetId="6"/>
      <sheetData sheetId="7"/>
      <sheetData sheetId="8"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9"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10"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Master data"/>
    </sheetNames>
    <sheetDataSet>
      <sheetData sheetId="0"/>
      <sheetData sheetId="1">
        <row r="14">
          <cell r="G14">
            <v>3.7079999999999997</v>
          </cell>
        </row>
      </sheetData>
      <sheetData sheetId="2"/>
      <sheetData sheetId="3"/>
      <sheetData sheetId="4"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zing Assumptions"/>
      <sheetName val="Volume for Storage Sizing"/>
      <sheetName val="CPU Computation"/>
      <sheetName val="Server Sizing"/>
      <sheetName val="Bw Sizing"/>
      <sheetName val="BoM"/>
      <sheetName val="Config"/>
    </sheetNames>
    <sheetDataSet>
      <sheetData sheetId="0">
        <row r="7">
          <cell r="C7">
            <v>500</v>
          </cell>
        </row>
      </sheetData>
      <sheetData sheetId="1"/>
      <sheetData sheetId="2"/>
      <sheetData sheetId="3"/>
      <sheetData sheetId="4"/>
      <sheetData sheetId="5"/>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zing Assumptions"/>
      <sheetName val="Volume for Storage Sizing"/>
      <sheetName val="CPU Computation"/>
      <sheetName val="Server Sizing"/>
      <sheetName val="Bw Sizing"/>
      <sheetName val="BoM"/>
      <sheetName val="Config"/>
    </sheetNames>
    <sheetDataSet>
      <sheetData sheetId="0">
        <row r="7">
          <cell r="C7">
            <v>500</v>
          </cell>
        </row>
      </sheetData>
      <sheetData sheetId="1"/>
      <sheetData sheetId="2"/>
      <sheetData sheetId="3"/>
      <sheetData sheetId="4"/>
      <sheetData sheetId="5"/>
      <sheetData sheetId="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 val="Cost sheet - Summary "/>
    </sheetNames>
    <sheetDataSet>
      <sheetData sheetId="0"/>
      <sheetData sheetId="1" refreshError="1"/>
      <sheetData sheetId="2" refreshError="1"/>
      <sheetData sheetId="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 val="cctv_est1"/>
      <sheetName val="validations"/>
      <sheetName val="Master data"/>
      <sheetName val="Motor Data"/>
      <sheetName val="Config"/>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ology Assessment"/>
      <sheetName val="Instructions"/>
      <sheetName val="File Change Control"/>
      <sheetName val="Summary BIA Assessment"/>
      <sheetName val="BIRRA Summary"/>
      <sheetName val="BIA Data Collection"/>
      <sheetName val="Facility Assessment"/>
      <sheetName val="Application Assessment"/>
      <sheetName val="Process Assessment"/>
      <sheetName val="BI Resource Recovery Analysis"/>
      <sheetName val="Rating Key"/>
      <sheetName val="Processes Selected"/>
      <sheetName val="Ref"/>
      <sheetName val="design"/>
      <sheetName val="Reference"/>
    </sheetNames>
    <sheetDataSet>
      <sheetData sheetId="0" refreshError="1">
        <row r="47">
          <cell r="F47" t="str">
            <v>&lt; 50% can respond</v>
          </cell>
          <cell r="G47">
            <v>3</v>
          </cell>
        </row>
        <row r="48">
          <cell r="F48" t="str">
            <v>&lt; 50% trained</v>
          </cell>
          <cell r="G48">
            <v>3</v>
          </cell>
        </row>
        <row r="49">
          <cell r="F49" t="str">
            <v>&gt; 1 year</v>
          </cell>
          <cell r="G49">
            <v>3</v>
          </cell>
        </row>
        <row r="50">
          <cell r="F50" t="str">
            <v>&gt; 72 hours</v>
          </cell>
          <cell r="G50">
            <v>1</v>
          </cell>
        </row>
        <row r="51">
          <cell r="F51" t="str">
            <v>Less than 25%</v>
          </cell>
          <cell r="G51">
            <v>1</v>
          </cell>
        </row>
        <row r="52">
          <cell r="F52" t="str">
            <v>100% can respond</v>
          </cell>
          <cell r="G52">
            <v>1</v>
          </cell>
        </row>
        <row r="53">
          <cell r="F53" t="str">
            <v>100% trained</v>
          </cell>
          <cell r="G53">
            <v>1</v>
          </cell>
        </row>
        <row r="54">
          <cell r="F54" t="str">
            <v>50% can respond</v>
          </cell>
          <cell r="G54">
            <v>2</v>
          </cell>
        </row>
        <row r="55">
          <cell r="F55" t="str">
            <v>50% trained</v>
          </cell>
          <cell r="G55">
            <v>2</v>
          </cell>
        </row>
        <row r="56">
          <cell r="F56" t="str">
            <v>25% to 75%</v>
          </cell>
          <cell r="G56">
            <v>2</v>
          </cell>
        </row>
        <row r="57">
          <cell r="F57" t="str">
            <v>Completed documented</v>
          </cell>
          <cell r="G57">
            <v>1</v>
          </cell>
        </row>
        <row r="58">
          <cell r="F58" t="str">
            <v>Critical</v>
          </cell>
          <cell r="G58">
            <v>3</v>
          </cell>
        </row>
        <row r="59">
          <cell r="F59" t="str">
            <v>Defer</v>
          </cell>
          <cell r="G59">
            <v>1</v>
          </cell>
        </row>
        <row r="60">
          <cell r="F60" t="str">
            <v>Heavy</v>
          </cell>
          <cell r="G60">
            <v>3</v>
          </cell>
        </row>
        <row r="61">
          <cell r="F61" t="str">
            <v>High: ≥ 1 per month</v>
          </cell>
          <cell r="G61">
            <v>3</v>
          </cell>
        </row>
        <row r="62">
          <cell r="F62" t="str">
            <v>High: Very likely to occur</v>
          </cell>
          <cell r="G62">
            <v>3</v>
          </cell>
        </row>
        <row r="63">
          <cell r="F63" t="str">
            <v>Light</v>
          </cell>
          <cell r="G63">
            <v>1</v>
          </cell>
        </row>
        <row r="64">
          <cell r="F64" t="str">
            <v>Low operational impact</v>
          </cell>
          <cell r="G64">
            <v>1</v>
          </cell>
        </row>
        <row r="65">
          <cell r="F65" t="str">
            <v>Low: Never</v>
          </cell>
          <cell r="G65">
            <v>1</v>
          </cell>
        </row>
        <row r="66">
          <cell r="F66" t="str">
            <v>Low: Unlikely to occur</v>
          </cell>
          <cell r="G66">
            <v>1</v>
          </cell>
        </row>
        <row r="67">
          <cell r="F67" t="str">
            <v>Med: &lt; 1 per month</v>
          </cell>
          <cell r="G67">
            <v>2</v>
          </cell>
        </row>
        <row r="68">
          <cell r="F68" t="str">
            <v>Med: Possible/Probable</v>
          </cell>
          <cell r="G68">
            <v>2</v>
          </cell>
        </row>
        <row r="69">
          <cell r="F69" t="str">
            <v>Moderate</v>
          </cell>
          <cell r="G69">
            <v>2</v>
          </cell>
        </row>
        <row r="70">
          <cell r="F70" t="str">
            <v>No contingency plan exists</v>
          </cell>
          <cell r="G70">
            <v>3</v>
          </cell>
        </row>
        <row r="71">
          <cell r="F71" t="str">
            <v>No documentation exists</v>
          </cell>
          <cell r="G71">
            <v>3</v>
          </cell>
        </row>
        <row r="72">
          <cell r="F72" t="str">
            <v>No mitigation actions</v>
          </cell>
          <cell r="G72">
            <v>3</v>
          </cell>
        </row>
        <row r="73">
          <cell r="F73" t="str">
            <v>Operational disruption but core functions available</v>
          </cell>
          <cell r="G73">
            <v>2</v>
          </cell>
        </row>
        <row r="74">
          <cell r="F74" t="str">
            <v>Operations ceased</v>
          </cell>
          <cell r="G74">
            <v>3</v>
          </cell>
        </row>
        <row r="75">
          <cell r="F75" t="str">
            <v>Greater than 75%</v>
          </cell>
          <cell r="G75">
            <v>3</v>
          </cell>
        </row>
        <row r="76">
          <cell r="F76" t="str">
            <v>Partially Documented</v>
          </cell>
          <cell r="G76">
            <v>2</v>
          </cell>
        </row>
        <row r="77">
          <cell r="F77" t="str">
            <v>Plan in place to provide limited capability</v>
          </cell>
          <cell r="G77">
            <v>2</v>
          </cell>
        </row>
        <row r="78">
          <cell r="F78" t="str">
            <v>Plan in place to provide same capability</v>
          </cell>
          <cell r="G78">
            <v>1</v>
          </cell>
        </row>
        <row r="79">
          <cell r="F79" t="str">
            <v>Prevention measures available and taken</v>
          </cell>
          <cell r="G79">
            <v>1</v>
          </cell>
        </row>
        <row r="80">
          <cell r="F80" t="str">
            <v>Recovery measure taken</v>
          </cell>
          <cell r="G80">
            <v>2</v>
          </cell>
        </row>
        <row r="81">
          <cell r="F81" t="str">
            <v>Same Day - 24 hours</v>
          </cell>
          <cell r="G81">
            <v>3</v>
          </cell>
        </row>
        <row r="82">
          <cell r="F82" t="str">
            <v>With in 72 hours</v>
          </cell>
          <cell r="G82">
            <v>2</v>
          </cell>
        </row>
        <row r="83">
          <cell r="F83" t="str">
            <v>Within past 1 year</v>
          </cell>
          <cell r="G83">
            <v>2</v>
          </cell>
        </row>
        <row r="84">
          <cell r="F84" t="str">
            <v>within past 6 months</v>
          </cell>
          <cell r="G84">
            <v>1</v>
          </cell>
        </row>
        <row r="85">
          <cell r="F85" t="str">
            <v>Workaround</v>
          </cell>
          <cell r="G85">
            <v>2</v>
          </cell>
        </row>
      </sheetData>
      <sheetData sheetId="1">
        <row r="47">
          <cell r="F47" t="str">
            <v>&lt; 50% can respond</v>
          </cell>
        </row>
      </sheetData>
      <sheetData sheetId="2"/>
      <sheetData sheetId="3"/>
      <sheetData sheetId="4"/>
      <sheetData sheetId="5"/>
      <sheetData sheetId="6">
        <row r="47">
          <cell r="F47" t="str">
            <v>&lt; 50% can respond</v>
          </cell>
        </row>
      </sheetData>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ology Assessment"/>
      <sheetName val="Instructions"/>
      <sheetName val="File Change Control"/>
      <sheetName val="Summary BIA Assessment"/>
      <sheetName val="BIRRA Summary"/>
      <sheetName val="BIA Data Collection"/>
      <sheetName val="Facility Assessment"/>
      <sheetName val="Application Assessment"/>
      <sheetName val="Process Assessment"/>
      <sheetName val="BI Resource Recovery Analysis"/>
      <sheetName val="Rating Key"/>
      <sheetName val="Processes Selected"/>
      <sheetName val="Ref"/>
    </sheetNames>
    <sheetDataSet>
      <sheetData sheetId="0" refreshError="1">
        <row r="47">
          <cell r="F47" t="str">
            <v>&lt; 50% can respond</v>
          </cell>
          <cell r="G47">
            <v>3</v>
          </cell>
        </row>
        <row r="48">
          <cell r="F48" t="str">
            <v>&lt; 50% trained</v>
          </cell>
          <cell r="G48">
            <v>3</v>
          </cell>
        </row>
        <row r="49">
          <cell r="F49" t="str">
            <v>&gt; 1 year</v>
          </cell>
          <cell r="G49">
            <v>3</v>
          </cell>
        </row>
        <row r="50">
          <cell r="F50" t="str">
            <v>&gt; 72 hours</v>
          </cell>
          <cell r="G50">
            <v>1</v>
          </cell>
        </row>
        <row r="51">
          <cell r="F51" t="str">
            <v>Less than 25%</v>
          </cell>
          <cell r="G51">
            <v>1</v>
          </cell>
        </row>
        <row r="52">
          <cell r="F52" t="str">
            <v>100% can respond</v>
          </cell>
          <cell r="G52">
            <v>1</v>
          </cell>
        </row>
        <row r="53">
          <cell r="F53" t="str">
            <v>100% trained</v>
          </cell>
          <cell r="G53">
            <v>1</v>
          </cell>
        </row>
        <row r="54">
          <cell r="F54" t="str">
            <v>50% can respond</v>
          </cell>
          <cell r="G54">
            <v>2</v>
          </cell>
        </row>
        <row r="55">
          <cell r="F55" t="str">
            <v>50% trained</v>
          </cell>
          <cell r="G55">
            <v>2</v>
          </cell>
        </row>
        <row r="56">
          <cell r="F56" t="str">
            <v>25% to 75%</v>
          </cell>
          <cell r="G56">
            <v>2</v>
          </cell>
        </row>
        <row r="57">
          <cell r="F57" t="str">
            <v>Completed documented</v>
          </cell>
          <cell r="G57">
            <v>1</v>
          </cell>
        </row>
        <row r="58">
          <cell r="F58" t="str">
            <v>Critical</v>
          </cell>
          <cell r="G58">
            <v>3</v>
          </cell>
        </row>
        <row r="59">
          <cell r="F59" t="str">
            <v>Defer</v>
          </cell>
          <cell r="G59">
            <v>1</v>
          </cell>
        </row>
        <row r="60">
          <cell r="F60" t="str">
            <v>Heavy</v>
          </cell>
          <cell r="G60">
            <v>3</v>
          </cell>
        </row>
        <row r="61">
          <cell r="F61" t="str">
            <v>High: ≥ 1 per month</v>
          </cell>
          <cell r="G61">
            <v>3</v>
          </cell>
        </row>
        <row r="62">
          <cell r="F62" t="str">
            <v>High: Very likely to occur</v>
          </cell>
          <cell r="G62">
            <v>3</v>
          </cell>
        </row>
        <row r="63">
          <cell r="F63" t="str">
            <v>Light</v>
          </cell>
          <cell r="G63">
            <v>1</v>
          </cell>
        </row>
        <row r="64">
          <cell r="F64" t="str">
            <v>Low operational impact</v>
          </cell>
          <cell r="G64">
            <v>1</v>
          </cell>
        </row>
        <row r="65">
          <cell r="F65" t="str">
            <v>Low: Never</v>
          </cell>
          <cell r="G65">
            <v>1</v>
          </cell>
        </row>
        <row r="66">
          <cell r="F66" t="str">
            <v>Low: Unlikely to occur</v>
          </cell>
          <cell r="G66">
            <v>1</v>
          </cell>
        </row>
        <row r="67">
          <cell r="F67" t="str">
            <v>Med: &lt; 1 per month</v>
          </cell>
          <cell r="G67">
            <v>2</v>
          </cell>
        </row>
        <row r="68">
          <cell r="F68" t="str">
            <v>Med: Possible/Probable</v>
          </cell>
          <cell r="G68">
            <v>2</v>
          </cell>
        </row>
        <row r="69">
          <cell r="F69" t="str">
            <v>Moderate</v>
          </cell>
          <cell r="G69">
            <v>2</v>
          </cell>
        </row>
        <row r="70">
          <cell r="F70" t="str">
            <v>No contingency plan exists</v>
          </cell>
          <cell r="G70">
            <v>3</v>
          </cell>
        </row>
        <row r="71">
          <cell r="F71" t="str">
            <v>No documentation exists</v>
          </cell>
          <cell r="G71">
            <v>3</v>
          </cell>
        </row>
        <row r="72">
          <cell r="F72" t="str">
            <v>No mitigation actions</v>
          </cell>
          <cell r="G72">
            <v>3</v>
          </cell>
        </row>
        <row r="73">
          <cell r="F73" t="str">
            <v>Operational disruption but core functions available</v>
          </cell>
          <cell r="G73">
            <v>2</v>
          </cell>
        </row>
        <row r="74">
          <cell r="F74" t="str">
            <v>Operations ceased</v>
          </cell>
          <cell r="G74">
            <v>3</v>
          </cell>
        </row>
        <row r="75">
          <cell r="F75" t="str">
            <v>Greater than 75%</v>
          </cell>
          <cell r="G75">
            <v>3</v>
          </cell>
        </row>
        <row r="76">
          <cell r="F76" t="str">
            <v>Partially Documented</v>
          </cell>
          <cell r="G76">
            <v>2</v>
          </cell>
        </row>
        <row r="77">
          <cell r="F77" t="str">
            <v>Plan in place to provide limited capability</v>
          </cell>
          <cell r="G77">
            <v>2</v>
          </cell>
        </row>
        <row r="78">
          <cell r="F78" t="str">
            <v>Plan in place to provide same capability</v>
          </cell>
          <cell r="G78">
            <v>1</v>
          </cell>
        </row>
        <row r="79">
          <cell r="F79" t="str">
            <v>Prevention measures available and taken</v>
          </cell>
          <cell r="G79">
            <v>1</v>
          </cell>
        </row>
        <row r="80">
          <cell r="F80" t="str">
            <v>Recovery measure taken</v>
          </cell>
          <cell r="G80">
            <v>2</v>
          </cell>
        </row>
        <row r="81">
          <cell r="F81" t="str">
            <v>Same Day - 24 hours</v>
          </cell>
          <cell r="G81">
            <v>3</v>
          </cell>
        </row>
        <row r="82">
          <cell r="F82" t="str">
            <v>With in 72 hours</v>
          </cell>
          <cell r="G82">
            <v>2</v>
          </cell>
        </row>
        <row r="83">
          <cell r="F83" t="str">
            <v>Within past 1 year</v>
          </cell>
          <cell r="G83">
            <v>2</v>
          </cell>
        </row>
        <row r="84">
          <cell r="F84" t="str">
            <v>within past 6 months</v>
          </cell>
          <cell r="G84">
            <v>1</v>
          </cell>
        </row>
        <row r="85">
          <cell r="F85" t="str">
            <v>Workaround</v>
          </cell>
          <cell r="G85">
            <v>2</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306"/>
      <sheetName val="Civil Boq"/>
      <sheetName val="moments-table(tri)"/>
      <sheetName val="Legal Risk Analysis"/>
      <sheetName val="ACS(1)"/>
      <sheetName val="FAS-C(4)"/>
      <sheetName val="CCTV(old)"/>
      <sheetName val="Technology Assessment"/>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Consolidated"/>
      <sheetName val="1-8"/>
      <sheetName val="mdd &amp; co Fdr jan.02 "/>
      <sheetName val="Technology Assessment"/>
      <sheetName val="Ref"/>
      <sheetName val="Maintenance Work Order"/>
      <sheetName val="xSeries306"/>
      <sheetName val="Sizing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4CCA-465D-49D0-BBD5-591CADCCA8B5}">
  <sheetPr>
    <tabColor rgb="FF0070C0"/>
  </sheetPr>
  <dimension ref="B1:AH61"/>
  <sheetViews>
    <sheetView showGridLines="0" tabSelected="1" topLeftCell="A4" zoomScale="85" zoomScaleNormal="85" workbookViewId="0">
      <selection activeCell="G12" sqref="G12"/>
    </sheetView>
  </sheetViews>
  <sheetFormatPr defaultColWidth="8.7265625" defaultRowHeight="14.5" x14ac:dyDescent="0.35"/>
  <cols>
    <col min="1" max="1" width="3.08984375" style="130" customWidth="1"/>
    <col min="2" max="2" width="5.453125" style="130" customWidth="1"/>
    <col min="3" max="3" width="17.81640625" style="130" customWidth="1"/>
    <col min="4" max="4" width="46.1796875" style="160" customWidth="1"/>
    <col min="5" max="5" width="20.90625" style="130" customWidth="1"/>
    <col min="6" max="6" width="20.6328125" style="130" customWidth="1"/>
    <col min="7" max="7" width="24.1796875" style="130" customWidth="1"/>
    <col min="8" max="8" width="28.6328125" style="130" customWidth="1"/>
    <col min="9" max="9" width="28.54296875" style="130" customWidth="1"/>
    <col min="10" max="10" width="23.26953125" style="130" customWidth="1"/>
    <col min="11" max="12" width="8.7265625" style="130"/>
    <col min="13" max="13" width="16.453125" style="130" bestFit="1" customWidth="1"/>
    <col min="14" max="16384" width="8.7265625" style="130"/>
  </cols>
  <sheetData>
    <row r="1" spans="2:10" ht="15" thickBot="1" x14ac:dyDescent="0.4">
      <c r="B1" s="131"/>
    </row>
    <row r="2" spans="2:10" x14ac:dyDescent="0.35">
      <c r="B2" s="131"/>
      <c r="G2" s="132" t="s">
        <v>73</v>
      </c>
      <c r="H2" s="133" t="s">
        <v>117</v>
      </c>
    </row>
    <row r="3" spans="2:10" x14ac:dyDescent="0.35">
      <c r="B3" s="131"/>
      <c r="G3" s="134" t="s">
        <v>74</v>
      </c>
      <c r="H3" s="135" t="s">
        <v>116</v>
      </c>
    </row>
    <row r="4" spans="2:10" x14ac:dyDescent="0.35">
      <c r="B4" s="131"/>
      <c r="C4" s="136"/>
      <c r="G4" s="134" t="s">
        <v>75</v>
      </c>
      <c r="H4" s="137">
        <v>45771</v>
      </c>
    </row>
    <row r="5" spans="2:10" ht="15" thickBot="1" x14ac:dyDescent="0.4">
      <c r="B5" s="131"/>
      <c r="C5" s="138"/>
      <c r="G5" s="139" t="s">
        <v>76</v>
      </c>
      <c r="H5" s="140" t="s">
        <v>20</v>
      </c>
    </row>
    <row r="6" spans="2:10" x14ac:dyDescent="0.35">
      <c r="B6" s="131"/>
      <c r="C6" s="138"/>
    </row>
    <row r="7" spans="2:10" x14ac:dyDescent="0.35">
      <c r="C7" s="141"/>
      <c r="D7" s="164"/>
      <c r="E7" s="143"/>
      <c r="F7" s="143"/>
      <c r="G7" s="144" t="s">
        <v>77</v>
      </c>
      <c r="H7" s="142" t="s">
        <v>117</v>
      </c>
    </row>
    <row r="8" spans="2:10" ht="15" thickBot="1" x14ac:dyDescent="0.4">
      <c r="C8" s="141"/>
      <c r="D8" s="164"/>
      <c r="E8" s="143"/>
      <c r="F8" s="143"/>
      <c r="G8" s="144"/>
      <c r="H8" s="142"/>
    </row>
    <row r="9" spans="2:10" ht="33" customHeight="1" thickBot="1" x14ac:dyDescent="0.4">
      <c r="C9" s="145" t="s">
        <v>78</v>
      </c>
      <c r="D9" s="145" t="s">
        <v>79</v>
      </c>
      <c r="E9" s="145" t="s">
        <v>80</v>
      </c>
      <c r="F9" s="145" t="s">
        <v>81</v>
      </c>
      <c r="G9" s="145" t="s">
        <v>82</v>
      </c>
      <c r="H9" s="145" t="s">
        <v>16</v>
      </c>
    </row>
    <row r="10" spans="2:10" ht="23.25" customHeight="1" thickBot="1" x14ac:dyDescent="0.4">
      <c r="C10" s="263" t="s">
        <v>83</v>
      </c>
      <c r="D10" s="263"/>
      <c r="E10" s="263"/>
      <c r="F10" s="263"/>
      <c r="G10" s="263"/>
      <c r="H10" s="263"/>
    </row>
    <row r="11" spans="2:10" ht="48" customHeight="1" thickBot="1" x14ac:dyDescent="0.4">
      <c r="C11" s="174">
        <v>1</v>
      </c>
      <c r="D11" s="175" t="s">
        <v>118</v>
      </c>
      <c r="E11" s="176">
        <f>'DC Site'!F28</f>
        <v>76190</v>
      </c>
      <c r="F11" s="177">
        <v>12</v>
      </c>
      <c r="G11" s="176">
        <f>E11*F11</f>
        <v>914280</v>
      </c>
      <c r="H11" s="176">
        <f>'DC Site'!G28</f>
        <v>0</v>
      </c>
      <c r="J11" s="146"/>
    </row>
    <row r="12" spans="2:10" ht="48" customHeight="1" thickBot="1" x14ac:dyDescent="0.4">
      <c r="C12" s="174">
        <v>2</v>
      </c>
      <c r="D12" s="202" t="s">
        <v>191</v>
      </c>
      <c r="E12" s="176">
        <f>'Primary site'!F22</f>
        <v>8292</v>
      </c>
      <c r="F12" s="177">
        <v>12</v>
      </c>
      <c r="G12" s="176">
        <f>E12*F12</f>
        <v>99504</v>
      </c>
      <c r="H12" s="176"/>
      <c r="J12" s="146"/>
    </row>
    <row r="13" spans="2:10" ht="24" customHeight="1" thickBot="1" x14ac:dyDescent="0.55000000000000004">
      <c r="C13" s="264" t="s">
        <v>84</v>
      </c>
      <c r="D13" s="264"/>
      <c r="E13" s="264"/>
      <c r="F13" s="264"/>
      <c r="G13" s="147">
        <f>SUM(G11:G12)</f>
        <v>1013784</v>
      </c>
      <c r="H13" s="147">
        <f>SUM(H11:H11)</f>
        <v>0</v>
      </c>
      <c r="I13" s="146"/>
      <c r="J13" s="148"/>
    </row>
    <row r="14" spans="2:10" ht="12.5" customHeight="1" thickBot="1" x14ac:dyDescent="0.4"/>
    <row r="15" spans="2:10" ht="25.5" customHeight="1" thickBot="1" x14ac:dyDescent="0.4">
      <c r="C15" s="265" t="s">
        <v>122</v>
      </c>
      <c r="D15" s="265"/>
      <c r="E15" s="265"/>
      <c r="F15" s="265"/>
      <c r="G15" s="266">
        <f>G13+H13</f>
        <v>1013784</v>
      </c>
      <c r="H15" s="265"/>
      <c r="I15" s="148"/>
    </row>
    <row r="16" spans="2:10" x14ac:dyDescent="0.35">
      <c r="F16" s="146"/>
      <c r="G16" s="146"/>
      <c r="H16" s="148"/>
    </row>
    <row r="17" spans="2:34" x14ac:dyDescent="0.35">
      <c r="H17" s="167"/>
    </row>
    <row r="18" spans="2:34" x14ac:dyDescent="0.35">
      <c r="G18" s="146"/>
      <c r="H18" s="167"/>
    </row>
    <row r="19" spans="2:34" s="149" customFormat="1" ht="15.5" x14ac:dyDescent="0.35">
      <c r="B19" s="150" t="s">
        <v>85</v>
      </c>
      <c r="C19" s="151"/>
      <c r="D19" s="165"/>
      <c r="E19" s="130"/>
      <c r="F19" s="153"/>
      <c r="G19" s="153"/>
      <c r="H19" s="154"/>
    </row>
    <row r="20" spans="2:34" x14ac:dyDescent="0.35">
      <c r="B20" s="155" t="s">
        <v>86</v>
      </c>
      <c r="C20" s="151"/>
      <c r="D20" s="158"/>
      <c r="E20" s="156"/>
      <c r="F20" s="156"/>
      <c r="G20" s="156"/>
      <c r="H20" s="154"/>
    </row>
    <row r="21" spans="2:34" x14ac:dyDescent="0.35">
      <c r="B21" s="262" t="s">
        <v>87</v>
      </c>
      <c r="C21" s="262"/>
      <c r="D21" s="262"/>
      <c r="E21" s="262"/>
      <c r="F21" s="262"/>
      <c r="G21" s="262"/>
      <c r="H21" s="262"/>
      <c r="I21" s="262"/>
      <c r="J21" s="262"/>
      <c r="K21" s="262"/>
      <c r="L21" s="262"/>
      <c r="M21" s="262"/>
      <c r="N21" s="262"/>
      <c r="O21" s="262"/>
      <c r="P21" s="262"/>
      <c r="Q21" s="262"/>
      <c r="R21" s="262"/>
      <c r="S21" s="262"/>
      <c r="T21" s="262"/>
      <c r="U21" s="262"/>
      <c r="V21" s="262"/>
      <c r="W21" s="262"/>
      <c r="X21" s="262"/>
      <c r="Y21" s="262"/>
      <c r="Z21" s="262"/>
      <c r="AA21" s="262"/>
      <c r="AB21" s="262"/>
      <c r="AC21" s="262"/>
    </row>
    <row r="22" spans="2:34" x14ac:dyDescent="0.35">
      <c r="B22" s="262" t="s">
        <v>88</v>
      </c>
      <c r="C22" s="262"/>
      <c r="D22" s="262"/>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c r="AC22" s="262"/>
    </row>
    <row r="23" spans="2:34" ht="15" customHeight="1" x14ac:dyDescent="0.35">
      <c r="B23" s="262" t="s">
        <v>89</v>
      </c>
      <c r="C23" s="262"/>
      <c r="D23" s="262"/>
      <c r="E23" s="262"/>
      <c r="F23" s="262"/>
      <c r="G23" s="262"/>
      <c r="H23" s="262"/>
      <c r="I23" s="262"/>
      <c r="J23" s="262"/>
      <c r="K23" s="262"/>
      <c r="L23" s="262"/>
      <c r="M23" s="262"/>
      <c r="N23" s="262"/>
      <c r="O23" s="262"/>
      <c r="P23" s="262"/>
      <c r="Q23" s="262"/>
      <c r="R23" s="262"/>
      <c r="S23" s="262"/>
      <c r="T23" s="262"/>
      <c r="U23" s="262"/>
      <c r="V23" s="262"/>
      <c r="W23" s="262"/>
      <c r="X23" s="262"/>
      <c r="Y23" s="262"/>
      <c r="Z23" s="262"/>
      <c r="AA23" s="262"/>
      <c r="AB23" s="262"/>
      <c r="AC23" s="262"/>
      <c r="AD23" s="262"/>
      <c r="AE23" s="262"/>
      <c r="AF23" s="262"/>
      <c r="AG23" s="262"/>
      <c r="AH23" s="262"/>
    </row>
    <row r="24" spans="2:34" x14ac:dyDescent="0.35">
      <c r="B24" s="262" t="s">
        <v>90</v>
      </c>
      <c r="C24" s="262"/>
      <c r="D24" s="262"/>
      <c r="E24" s="262"/>
      <c r="F24" s="262"/>
      <c r="G24" s="262"/>
      <c r="H24" s="262"/>
      <c r="I24" s="262"/>
      <c r="J24" s="262"/>
      <c r="K24" s="262"/>
      <c r="L24" s="262"/>
      <c r="M24" s="262"/>
      <c r="N24" s="262"/>
      <c r="O24" s="262"/>
      <c r="P24" s="262"/>
      <c r="Q24" s="262"/>
      <c r="R24" s="262"/>
      <c r="S24" s="262"/>
      <c r="T24" s="262"/>
      <c r="U24" s="262"/>
      <c r="V24" s="262"/>
      <c r="W24" s="262"/>
      <c r="X24" s="262"/>
      <c r="Y24" s="262"/>
      <c r="Z24" s="262"/>
      <c r="AA24" s="262"/>
      <c r="AB24" s="262"/>
      <c r="AC24" s="262"/>
    </row>
    <row r="25" spans="2:34" ht="15" customHeight="1" x14ac:dyDescent="0.35">
      <c r="B25" s="262" t="s">
        <v>91</v>
      </c>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row>
    <row r="26" spans="2:34" ht="15" customHeight="1" x14ac:dyDescent="0.35">
      <c r="B26" s="262" t="s">
        <v>92</v>
      </c>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row>
    <row r="27" spans="2:34" ht="15" customHeight="1" x14ac:dyDescent="0.35">
      <c r="B27" s="262" t="s">
        <v>93</v>
      </c>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row>
    <row r="28" spans="2:34" x14ac:dyDescent="0.35">
      <c r="B28" s="152"/>
      <c r="C28" s="152"/>
      <c r="D28" s="165"/>
      <c r="E28" s="152"/>
      <c r="F28" s="152"/>
      <c r="G28" s="152"/>
    </row>
    <row r="29" spans="2:34" x14ac:dyDescent="0.35">
      <c r="B29" s="155" t="s">
        <v>94</v>
      </c>
      <c r="C29" s="151"/>
      <c r="D29" s="158"/>
      <c r="E29" s="158"/>
      <c r="F29" s="158"/>
      <c r="G29" s="158"/>
    </row>
    <row r="30" spans="2:34" ht="15" customHeight="1" x14ac:dyDescent="0.35">
      <c r="B30" s="262" t="s">
        <v>95</v>
      </c>
      <c r="C30" s="262"/>
      <c r="D30" s="262"/>
      <c r="E30" s="262"/>
      <c r="F30" s="262"/>
      <c r="G30" s="157"/>
    </row>
    <row r="31" spans="2:34" ht="15" customHeight="1" x14ac:dyDescent="0.35">
      <c r="B31" s="262" t="s">
        <v>96</v>
      </c>
      <c r="C31" s="262"/>
      <c r="D31" s="262"/>
      <c r="E31" s="262"/>
      <c r="F31" s="262"/>
      <c r="G31" s="157"/>
    </row>
    <row r="32" spans="2:34" ht="15" customHeight="1" x14ac:dyDescent="0.35">
      <c r="B32" s="262" t="s">
        <v>97</v>
      </c>
      <c r="C32" s="262"/>
      <c r="D32" s="262"/>
      <c r="E32" s="262"/>
      <c r="F32" s="262"/>
      <c r="G32" s="157"/>
    </row>
    <row r="33" spans="2:11" ht="15" customHeight="1" x14ac:dyDescent="0.35">
      <c r="B33" s="262" t="s">
        <v>98</v>
      </c>
      <c r="C33" s="262"/>
      <c r="D33" s="262"/>
      <c r="E33" s="262"/>
      <c r="F33" s="262"/>
      <c r="G33" s="262"/>
      <c r="H33" s="262"/>
      <c r="I33" s="262"/>
      <c r="J33" s="262"/>
      <c r="K33" s="262"/>
    </row>
    <row r="34" spans="2:11" x14ac:dyDescent="0.35">
      <c r="B34" s="267" t="s">
        <v>99</v>
      </c>
      <c r="C34" s="267"/>
      <c r="D34" s="267"/>
      <c r="E34" s="267"/>
      <c r="F34" s="267"/>
      <c r="G34" s="157"/>
    </row>
    <row r="35" spans="2:11" ht="15" customHeight="1" x14ac:dyDescent="0.35">
      <c r="B35" s="262" t="s">
        <v>100</v>
      </c>
      <c r="C35" s="262"/>
      <c r="D35" s="262"/>
      <c r="E35" s="262"/>
      <c r="F35" s="262"/>
      <c r="G35" s="262"/>
      <c r="H35" s="262"/>
      <c r="I35" s="262"/>
      <c r="J35" s="262"/>
      <c r="K35" s="262"/>
    </row>
    <row r="36" spans="2:11" x14ac:dyDescent="0.35">
      <c r="B36" s="267" t="s">
        <v>101</v>
      </c>
      <c r="C36" s="267"/>
      <c r="D36" s="267"/>
      <c r="E36" s="267"/>
      <c r="F36" s="267"/>
      <c r="G36" s="267"/>
    </row>
    <row r="37" spans="2:11" x14ac:dyDescent="0.35">
      <c r="B37" s="267" t="s">
        <v>102</v>
      </c>
      <c r="C37" s="267"/>
      <c r="D37" s="267"/>
      <c r="E37" s="267"/>
      <c r="F37" s="267"/>
      <c r="G37" s="267"/>
    </row>
    <row r="38" spans="2:11" x14ac:dyDescent="0.35">
      <c r="B38" s="159"/>
      <c r="C38" s="159"/>
      <c r="D38" s="157"/>
      <c r="E38" s="159"/>
      <c r="F38" s="159"/>
      <c r="G38" s="159"/>
    </row>
    <row r="39" spans="2:11" x14ac:dyDescent="0.35">
      <c r="B39" s="155" t="s">
        <v>103</v>
      </c>
      <c r="C39" s="151"/>
      <c r="D39" s="158"/>
      <c r="E39" s="158"/>
      <c r="F39" s="158"/>
      <c r="G39" s="159"/>
    </row>
    <row r="40" spans="2:11" s="160" customFormat="1" ht="14.5" customHeight="1" x14ac:dyDescent="0.35">
      <c r="B40" s="268" t="s">
        <v>104</v>
      </c>
      <c r="C40" s="268"/>
      <c r="D40" s="268"/>
      <c r="E40" s="268"/>
      <c r="F40" s="268"/>
      <c r="G40" s="268"/>
      <c r="H40" s="268"/>
    </row>
    <row r="41" spans="2:11" s="160" customFormat="1" ht="14.5" customHeight="1" x14ac:dyDescent="0.35">
      <c r="B41" s="269" t="s">
        <v>105</v>
      </c>
      <c r="C41" s="269"/>
      <c r="D41" s="269"/>
      <c r="E41" s="269"/>
      <c r="F41" s="269"/>
      <c r="G41" s="269"/>
      <c r="H41" s="269"/>
    </row>
    <row r="42" spans="2:11" ht="14.5" customHeight="1" x14ac:dyDescent="0.35">
      <c r="B42" s="270" t="s">
        <v>119</v>
      </c>
      <c r="C42" s="270"/>
      <c r="D42" s="270"/>
      <c r="E42" s="270"/>
      <c r="F42" s="270"/>
      <c r="G42" s="270"/>
      <c r="H42" s="270"/>
    </row>
    <row r="43" spans="2:11" ht="14.5" customHeight="1" x14ac:dyDescent="0.35">
      <c r="B43" s="270" t="s">
        <v>120</v>
      </c>
      <c r="C43" s="270"/>
      <c r="D43" s="270"/>
      <c r="E43" s="270"/>
      <c r="F43" s="270"/>
      <c r="G43" s="270"/>
      <c r="H43" s="270"/>
    </row>
    <row r="44" spans="2:11" ht="24.5" customHeight="1" x14ac:dyDescent="0.35">
      <c r="B44" s="270" t="s">
        <v>124</v>
      </c>
      <c r="C44" s="270"/>
      <c r="D44" s="270"/>
      <c r="E44" s="270"/>
      <c r="F44" s="270"/>
      <c r="G44" s="270"/>
      <c r="H44" s="270"/>
    </row>
    <row r="45" spans="2:11" ht="20.5" customHeight="1" x14ac:dyDescent="0.35">
      <c r="B45" s="270" t="s">
        <v>125</v>
      </c>
      <c r="C45" s="270"/>
      <c r="D45" s="270"/>
      <c r="E45" s="270"/>
      <c r="F45" s="270"/>
      <c r="G45" s="270"/>
      <c r="H45" s="270"/>
    </row>
    <row r="46" spans="2:11" x14ac:dyDescent="0.35">
      <c r="B46" s="270" t="s">
        <v>121</v>
      </c>
      <c r="C46" s="270"/>
      <c r="D46" s="270"/>
      <c r="E46" s="270"/>
      <c r="F46" s="270"/>
      <c r="G46" s="270"/>
      <c r="H46" s="270"/>
    </row>
    <row r="47" spans="2:11" x14ac:dyDescent="0.35">
      <c r="B47" s="270" t="s">
        <v>126</v>
      </c>
      <c r="C47" s="270"/>
      <c r="D47" s="270"/>
      <c r="E47" s="270"/>
      <c r="F47" s="270"/>
      <c r="G47" s="270"/>
      <c r="H47" s="270"/>
    </row>
    <row r="48" spans="2:11" x14ac:dyDescent="0.35">
      <c r="B48" s="270" t="s">
        <v>123</v>
      </c>
      <c r="C48" s="270"/>
      <c r="D48" s="270"/>
      <c r="E48" s="270"/>
      <c r="F48" s="270"/>
      <c r="G48" s="270"/>
      <c r="H48" s="270"/>
    </row>
    <row r="49" spans="2:24" x14ac:dyDescent="0.35">
      <c r="B49" s="159"/>
      <c r="C49" s="159"/>
      <c r="D49" s="157"/>
      <c r="E49" s="159"/>
      <c r="F49" s="159"/>
      <c r="G49" s="159"/>
    </row>
    <row r="50" spans="2:24" x14ac:dyDescent="0.35">
      <c r="B50" s="155" t="s">
        <v>106</v>
      </c>
      <c r="D50" s="165"/>
      <c r="E50" s="152"/>
      <c r="F50" s="152"/>
      <c r="G50" s="152"/>
    </row>
    <row r="51" spans="2:24" x14ac:dyDescent="0.35">
      <c r="B51" s="271" t="s">
        <v>107</v>
      </c>
      <c r="C51" s="271"/>
      <c r="D51" s="271"/>
      <c r="E51" s="152"/>
      <c r="F51" s="152"/>
      <c r="G51" s="152"/>
    </row>
    <row r="52" spans="2:24" x14ac:dyDescent="0.35">
      <c r="B52" s="152"/>
      <c r="C52" s="162"/>
      <c r="D52" s="165"/>
      <c r="E52" s="152"/>
      <c r="F52" s="152"/>
      <c r="G52" s="152"/>
    </row>
    <row r="53" spans="2:24" x14ac:dyDescent="0.35">
      <c r="B53" s="155" t="s">
        <v>108</v>
      </c>
      <c r="D53" s="165"/>
      <c r="E53" s="152"/>
      <c r="F53" s="152"/>
      <c r="G53" s="152"/>
    </row>
    <row r="54" spans="2:24" x14ac:dyDescent="0.35">
      <c r="B54" s="163" t="s">
        <v>109</v>
      </c>
      <c r="D54" s="165"/>
      <c r="E54" s="152"/>
      <c r="F54" s="152"/>
      <c r="G54" s="152"/>
    </row>
    <row r="55" spans="2:24" x14ac:dyDescent="0.35">
      <c r="B55" s="161" t="s">
        <v>110</v>
      </c>
      <c r="D55" s="165"/>
      <c r="E55" s="152"/>
      <c r="F55" s="152"/>
      <c r="G55" s="152"/>
    </row>
    <row r="56" spans="2:24" x14ac:dyDescent="0.35">
      <c r="B56" s="152"/>
      <c r="C56" s="162"/>
      <c r="D56" s="165"/>
      <c r="E56" s="152"/>
      <c r="F56" s="152"/>
      <c r="G56" s="152"/>
    </row>
    <row r="57" spans="2:24" x14ac:dyDescent="0.35">
      <c r="B57" s="155" t="s">
        <v>111</v>
      </c>
      <c r="D57" s="158"/>
      <c r="E57" s="158"/>
      <c r="F57" s="158"/>
      <c r="G57" s="158"/>
    </row>
    <row r="58" spans="2:24" ht="15" customHeight="1" x14ac:dyDescent="0.35">
      <c r="B58" s="262" t="s">
        <v>112</v>
      </c>
      <c r="C58" s="262"/>
      <c r="D58" s="262"/>
      <c r="E58" s="262"/>
      <c r="F58" s="262"/>
      <c r="G58" s="262"/>
      <c r="H58" s="262"/>
      <c r="I58" s="262"/>
      <c r="J58" s="262"/>
      <c r="K58" s="262"/>
      <c r="L58" s="262"/>
      <c r="M58" s="262"/>
      <c r="N58" s="262"/>
      <c r="O58" s="262"/>
    </row>
    <row r="59" spans="2:24" ht="15" customHeight="1" x14ac:dyDescent="0.35">
      <c r="B59" s="262" t="s">
        <v>113</v>
      </c>
      <c r="C59" s="262"/>
      <c r="D59" s="262"/>
      <c r="E59" s="262"/>
      <c r="F59" s="262"/>
      <c r="G59" s="262"/>
      <c r="H59" s="262"/>
      <c r="I59" s="262"/>
      <c r="J59" s="262"/>
      <c r="K59" s="262"/>
      <c r="L59" s="262"/>
      <c r="M59" s="262"/>
      <c r="N59" s="262"/>
      <c r="O59" s="262"/>
      <c r="P59" s="262"/>
      <c r="Q59" s="262"/>
    </row>
    <row r="60" spans="2:24" ht="15" customHeight="1" x14ac:dyDescent="0.35">
      <c r="B60" s="262" t="s">
        <v>114</v>
      </c>
      <c r="C60" s="262"/>
      <c r="D60" s="262"/>
      <c r="E60" s="262"/>
      <c r="F60" s="262"/>
      <c r="G60" s="262"/>
      <c r="H60" s="262"/>
      <c r="I60" s="262"/>
      <c r="J60" s="262"/>
      <c r="K60" s="262"/>
      <c r="L60" s="262"/>
      <c r="M60" s="262"/>
      <c r="N60" s="262"/>
      <c r="O60" s="262"/>
      <c r="P60" s="262"/>
      <c r="Q60" s="262"/>
    </row>
    <row r="61" spans="2:24" ht="15" customHeight="1" x14ac:dyDescent="0.35">
      <c r="B61" s="262" t="s">
        <v>115</v>
      </c>
      <c r="C61" s="262"/>
      <c r="D61" s="262"/>
      <c r="E61" s="262"/>
      <c r="F61" s="262"/>
      <c r="G61" s="262"/>
      <c r="H61" s="262"/>
      <c r="I61" s="262"/>
      <c r="J61" s="262"/>
      <c r="K61" s="262"/>
      <c r="L61" s="262"/>
      <c r="M61" s="262"/>
      <c r="N61" s="262"/>
      <c r="O61" s="262"/>
      <c r="P61" s="262"/>
      <c r="Q61" s="262"/>
      <c r="R61" s="262"/>
      <c r="S61" s="262"/>
      <c r="T61" s="262"/>
      <c r="U61" s="262"/>
      <c r="V61" s="262"/>
      <c r="W61" s="262"/>
      <c r="X61" s="262"/>
    </row>
  </sheetData>
  <mergeCells count="41">
    <mergeCell ref="B60:O60"/>
    <mergeCell ref="P60:Q60"/>
    <mergeCell ref="B61:X61"/>
    <mergeCell ref="B40:H40"/>
    <mergeCell ref="B41:H41"/>
    <mergeCell ref="B58:O58"/>
    <mergeCell ref="B59:O59"/>
    <mergeCell ref="P59:Q59"/>
    <mergeCell ref="B42:H42"/>
    <mergeCell ref="B43:H43"/>
    <mergeCell ref="B44:H44"/>
    <mergeCell ref="B51:D51"/>
    <mergeCell ref="B45:H45"/>
    <mergeCell ref="B46:H46"/>
    <mergeCell ref="B47:H47"/>
    <mergeCell ref="B48:H48"/>
    <mergeCell ref="B37:G37"/>
    <mergeCell ref="B26:O26"/>
    <mergeCell ref="P26:AC26"/>
    <mergeCell ref="B27:O27"/>
    <mergeCell ref="P27:AC27"/>
    <mergeCell ref="B30:F30"/>
    <mergeCell ref="B31:F31"/>
    <mergeCell ref="B32:F32"/>
    <mergeCell ref="B33:K33"/>
    <mergeCell ref="B34:F34"/>
    <mergeCell ref="B35:K35"/>
    <mergeCell ref="B36:G36"/>
    <mergeCell ref="B25:O25"/>
    <mergeCell ref="P25:AC25"/>
    <mergeCell ref="C10:H10"/>
    <mergeCell ref="C13:F13"/>
    <mergeCell ref="C15:F15"/>
    <mergeCell ref="G15:H15"/>
    <mergeCell ref="B21:O21"/>
    <mergeCell ref="P21:AC21"/>
    <mergeCell ref="B22:O22"/>
    <mergeCell ref="P22:AC22"/>
    <mergeCell ref="B23:AH23"/>
    <mergeCell ref="B24:O24"/>
    <mergeCell ref="P24:AC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767A8-9A46-4E09-A57B-8DF40F3841E1}">
  <sheetPr>
    <tabColor rgb="FF92D050"/>
  </sheetPr>
  <dimension ref="A1:VI2936"/>
  <sheetViews>
    <sheetView topLeftCell="A6" zoomScale="78" zoomScaleNormal="100" workbookViewId="0">
      <selection activeCell="C16" sqref="C16"/>
    </sheetView>
  </sheetViews>
  <sheetFormatPr defaultColWidth="1.81640625" defaultRowHeight="14.5" x14ac:dyDescent="0.35"/>
  <cols>
    <col min="1" max="1" width="6.26953125" style="113" customWidth="1"/>
    <col min="2" max="2" width="29.81640625" style="40" customWidth="1"/>
    <col min="3" max="3" width="70" style="55" bestFit="1" customWidth="1"/>
    <col min="4" max="4" width="17" style="40" customWidth="1"/>
    <col min="5" max="5" width="17.453125" style="66" customWidth="1"/>
    <col min="6" max="6" width="17" style="40" customWidth="1"/>
    <col min="7" max="7" width="16.54296875" style="40" customWidth="1"/>
    <col min="8" max="8" width="31.7265625" style="99" customWidth="1"/>
    <col min="9" max="9" width="16.54296875" style="7" bestFit="1" customWidth="1"/>
    <col min="10" max="10" width="8" style="7" customWidth="1"/>
    <col min="11" max="11" width="9" style="7" customWidth="1"/>
    <col min="12" max="12" width="11.453125" style="7" customWidth="1"/>
    <col min="13" max="13" width="18.81640625" style="27" customWidth="1"/>
    <col min="14" max="14" width="18.81640625" style="48" customWidth="1"/>
    <col min="15" max="15" width="12.7265625" style="7" customWidth="1"/>
    <col min="16" max="16" width="9.26953125" style="7" customWidth="1"/>
    <col min="17" max="27" width="1.81640625" style="7"/>
    <col min="28" max="28" width="7" style="7" bestFit="1" customWidth="1"/>
    <col min="29" max="312" width="1.81640625" style="7"/>
    <col min="313" max="16384" width="1.81640625" style="43"/>
  </cols>
  <sheetData>
    <row r="1" spans="1:581" s="6" customFormat="1" x14ac:dyDescent="0.35">
      <c r="A1" s="111"/>
      <c r="B1" s="1"/>
      <c r="C1" s="2"/>
      <c r="D1" s="3"/>
      <c r="E1" s="4"/>
      <c r="F1" s="5"/>
      <c r="G1" s="5"/>
      <c r="H1" s="122"/>
      <c r="I1" s="7"/>
      <c r="J1" s="1"/>
      <c r="K1" s="1"/>
      <c r="L1" s="1"/>
      <c r="M1" s="1"/>
      <c r="N1" s="8"/>
    </row>
    <row r="2" spans="1:581" s="10" customFormat="1" x14ac:dyDescent="0.35">
      <c r="A2" s="112"/>
      <c r="B2" s="278" t="s">
        <v>3</v>
      </c>
      <c r="C2" s="278"/>
      <c r="D2" s="278"/>
      <c r="E2" s="278"/>
      <c r="F2" s="278"/>
      <c r="G2" s="278"/>
      <c r="H2" s="278"/>
      <c r="I2" s="7"/>
      <c r="J2" s="279" t="s">
        <v>4</v>
      </c>
      <c r="K2" s="280"/>
      <c r="L2" s="280"/>
      <c r="M2" s="280"/>
      <c r="N2" s="281"/>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row>
    <row r="3" spans="1:581" s="9" customFormat="1" x14ac:dyDescent="0.35">
      <c r="A3" s="112"/>
      <c r="B3" s="282"/>
      <c r="C3" s="282"/>
      <c r="D3" s="282"/>
      <c r="E3" s="282"/>
      <c r="F3" s="282"/>
      <c r="G3" s="282"/>
      <c r="H3" s="282"/>
      <c r="I3" s="7"/>
      <c r="J3" s="11">
        <f>'Discount Sheet'!G5</f>
        <v>120</v>
      </c>
      <c r="K3" s="12">
        <f>'Discount Sheet'!G6</f>
        <v>120</v>
      </c>
      <c r="L3" s="12">
        <f>'Discount Sheet'!G7</f>
        <v>3</v>
      </c>
      <c r="M3" s="13"/>
      <c r="N3" s="14"/>
    </row>
    <row r="4" spans="1:581" s="10" customFormat="1" x14ac:dyDescent="0.35">
      <c r="A4" s="112"/>
      <c r="B4" s="15" t="s">
        <v>5</v>
      </c>
      <c r="C4" s="16" t="s">
        <v>6</v>
      </c>
      <c r="D4" s="15"/>
      <c r="E4" s="17"/>
      <c r="F4" s="15"/>
      <c r="G4" s="15"/>
      <c r="H4" s="123"/>
      <c r="I4" s="7"/>
      <c r="J4" s="18" t="s">
        <v>7</v>
      </c>
      <c r="K4" s="19" t="s">
        <v>0</v>
      </c>
      <c r="L4" s="19" t="s">
        <v>8</v>
      </c>
      <c r="M4" s="21" t="s">
        <v>9</v>
      </c>
      <c r="N4" s="283" t="s">
        <v>10</v>
      </c>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row>
    <row r="5" spans="1:581" s="10" customFormat="1" x14ac:dyDescent="0.35">
      <c r="A5" s="9"/>
      <c r="B5" s="22" t="s">
        <v>11</v>
      </c>
      <c r="C5" s="23" t="s">
        <v>12</v>
      </c>
      <c r="D5" s="22" t="s">
        <v>13</v>
      </c>
      <c r="E5" s="24" t="s">
        <v>14</v>
      </c>
      <c r="F5" s="22" t="s">
        <v>15</v>
      </c>
      <c r="G5" s="22" t="s">
        <v>16</v>
      </c>
      <c r="H5" s="22" t="s">
        <v>17</v>
      </c>
      <c r="I5" s="38"/>
      <c r="J5" s="26" t="s">
        <v>18</v>
      </c>
      <c r="K5" s="20" t="s">
        <v>19</v>
      </c>
      <c r="L5" s="20" t="s">
        <v>19</v>
      </c>
      <c r="M5" s="129"/>
      <c r="N5" s="284"/>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row>
    <row r="6" spans="1:581" s="7" customFormat="1" ht="29" x14ac:dyDescent="0.35">
      <c r="A6" s="113">
        <v>1</v>
      </c>
      <c r="B6" s="168" t="str">
        <f>Quotation!B11</f>
        <v>SAP ECC DEV</v>
      </c>
      <c r="C6" s="28" t="str">
        <f>CONCATENATE("vCores: ",J6," | RAM: ",K6," GB | Performance Storage (0.3 IOPs/GB): ","",L6," GB | OS:",M6," | DB: ",N6,"")</f>
        <v>vCores: 6 | RAM: 32 GB | Performance Storage (0.3 IOPs/GB): 1024 GB | OS:SUSE OS | DB: NA</v>
      </c>
      <c r="D6" s="29">
        <v>1</v>
      </c>
      <c r="E6" s="30">
        <f>SUM(($J$3*J6)+($K$3*K6)+($L$3*L6))</f>
        <v>7632</v>
      </c>
      <c r="F6" s="30">
        <f t="shared" ref="F6:F9" si="0">D6*E6</f>
        <v>7632</v>
      </c>
      <c r="G6" s="30">
        <v>0</v>
      </c>
      <c r="H6" s="125" t="s">
        <v>71</v>
      </c>
      <c r="J6" s="31">
        <f>Quotation!O11</f>
        <v>6</v>
      </c>
      <c r="K6" s="31">
        <f>Quotation!P11</f>
        <v>32</v>
      </c>
      <c r="L6" s="31">
        <f>Quotation!Q11</f>
        <v>1024</v>
      </c>
      <c r="M6" s="32" t="s">
        <v>182</v>
      </c>
      <c r="N6" s="33" t="s">
        <v>20</v>
      </c>
      <c r="P6" s="34"/>
    </row>
    <row r="7" spans="1:581" s="7" customFormat="1" ht="29" x14ac:dyDescent="0.35">
      <c r="A7" s="113">
        <v>2</v>
      </c>
      <c r="B7" s="168" t="str">
        <f>Quotation!B13</f>
        <v>SAP ECC PRD</v>
      </c>
      <c r="C7" s="28" t="str">
        <f>CONCATENATE("vCores: ",J7," | RAM: ",K7," GB | Performance Storage (0.3 IOPs/GB): ","",L7," GB | OS:",M7," | DB: ",N7,"")</f>
        <v>vCores: 6 | RAM: 32 GB | Performance Storage (0.3 IOPs/GB): 1024 GB | OS:SUSE OS | DB: NA</v>
      </c>
      <c r="D7" s="29">
        <v>1</v>
      </c>
      <c r="E7" s="30">
        <f>SUM(($J$3*J7)+($K$3*K7)+($L$3*L7))</f>
        <v>7632</v>
      </c>
      <c r="F7" s="30">
        <f t="shared" si="0"/>
        <v>7632</v>
      </c>
      <c r="G7" s="30">
        <v>0</v>
      </c>
      <c r="H7" s="125" t="s">
        <v>71</v>
      </c>
      <c r="I7" s="38"/>
      <c r="J7" s="31">
        <f>Quotation!O13</f>
        <v>6</v>
      </c>
      <c r="K7" s="31">
        <f>Quotation!P13</f>
        <v>32</v>
      </c>
      <c r="L7" s="31">
        <f>Quotation!Q13</f>
        <v>1024</v>
      </c>
      <c r="M7" s="32" t="s">
        <v>182</v>
      </c>
      <c r="N7" s="33" t="s">
        <v>20</v>
      </c>
      <c r="P7" s="34"/>
    </row>
    <row r="8" spans="1:581" s="7" customFormat="1" x14ac:dyDescent="0.35">
      <c r="A8" s="113"/>
      <c r="B8" s="22" t="s">
        <v>21</v>
      </c>
      <c r="C8" s="23" t="s">
        <v>22</v>
      </c>
      <c r="D8" s="22" t="s">
        <v>13</v>
      </c>
      <c r="E8" s="24" t="s">
        <v>14</v>
      </c>
      <c r="F8" s="22" t="s">
        <v>15</v>
      </c>
      <c r="G8" s="22" t="s">
        <v>16</v>
      </c>
      <c r="H8" s="124" t="s">
        <v>17</v>
      </c>
      <c r="J8" s="34"/>
      <c r="K8" s="34"/>
      <c r="L8" s="36"/>
      <c r="O8" s="36"/>
      <c r="P8" s="34"/>
    </row>
    <row r="9" spans="1:581" s="7" customFormat="1" ht="14.25" customHeight="1" thickBot="1" x14ac:dyDescent="0.4">
      <c r="A9" s="113"/>
      <c r="B9" s="169" t="s">
        <v>9</v>
      </c>
      <c r="C9" s="115" t="s">
        <v>182</v>
      </c>
      <c r="D9" s="29">
        <f>SUM(D6:D7)</f>
        <v>2</v>
      </c>
      <c r="E9" s="30">
        <f>'Discount Sheet'!G11</f>
        <v>2305</v>
      </c>
      <c r="F9" s="30">
        <f t="shared" si="0"/>
        <v>4610</v>
      </c>
      <c r="G9" s="30">
        <v>0</v>
      </c>
      <c r="H9" s="126" t="s">
        <v>71</v>
      </c>
      <c r="I9" s="38">
        <f>F9/2</f>
        <v>2305</v>
      </c>
      <c r="J9" s="120">
        <f>SUM(J6:J7)</f>
        <v>12</v>
      </c>
      <c r="K9" s="120">
        <f>SUM(K6:K7)</f>
        <v>64</v>
      </c>
      <c r="L9" s="120">
        <f>SUM(L6:L7)</f>
        <v>2048</v>
      </c>
      <c r="O9" s="36"/>
    </row>
    <row r="10" spans="1:581" s="40" customFormat="1" ht="24.75" customHeight="1" x14ac:dyDescent="0.35">
      <c r="A10" s="113"/>
      <c r="B10" s="22" t="s">
        <v>24</v>
      </c>
      <c r="C10" s="23" t="s">
        <v>183</v>
      </c>
      <c r="D10" s="22" t="s">
        <v>13</v>
      </c>
      <c r="E10" s="24" t="s">
        <v>14</v>
      </c>
      <c r="F10" s="22" t="s">
        <v>15</v>
      </c>
      <c r="G10" s="22" t="s">
        <v>16</v>
      </c>
      <c r="H10" s="124" t="s">
        <v>17</v>
      </c>
      <c r="I10" s="38"/>
      <c r="J10" s="27"/>
      <c r="K10" s="27"/>
      <c r="L10" s="39"/>
      <c r="M10" s="116"/>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row>
    <row r="11" spans="1:581" ht="31.5" customHeight="1" x14ac:dyDescent="0.35">
      <c r="B11" s="169" t="s">
        <v>25</v>
      </c>
      <c r="C11" s="191" t="s">
        <v>164</v>
      </c>
      <c r="D11" s="190">
        <v>2000</v>
      </c>
      <c r="E11" s="41">
        <f>'Discount Sheet'!G7</f>
        <v>3</v>
      </c>
      <c r="F11" s="42">
        <f>D11*E11</f>
        <v>6000</v>
      </c>
      <c r="G11" s="42">
        <v>0</v>
      </c>
      <c r="H11" s="121"/>
      <c r="I11" s="25"/>
      <c r="L11" s="34"/>
      <c r="M11" s="7"/>
      <c r="N11" s="7"/>
      <c r="KQ11" s="43"/>
      <c r="KR11" s="43"/>
      <c r="KS11" s="43"/>
      <c r="KT11" s="43"/>
      <c r="KU11" s="43"/>
      <c r="KV11" s="43"/>
      <c r="KW11" s="43"/>
      <c r="KX11" s="43"/>
      <c r="KY11" s="43"/>
      <c r="KZ11" s="43"/>
    </row>
    <row r="12" spans="1:581" ht="31.5" customHeight="1" x14ac:dyDescent="0.35">
      <c r="B12" s="169" t="s">
        <v>1</v>
      </c>
      <c r="C12" s="191" t="s">
        <v>162</v>
      </c>
      <c r="D12" s="190">
        <v>829</v>
      </c>
      <c r="E12" s="41">
        <f>'Discount Sheet'!G8</f>
        <v>4</v>
      </c>
      <c r="F12" s="42">
        <f>D12*E12</f>
        <v>3316</v>
      </c>
      <c r="G12" s="42"/>
      <c r="H12" s="121"/>
      <c r="I12" s="25"/>
      <c r="L12" s="34"/>
      <c r="M12" s="7"/>
      <c r="N12" s="7"/>
      <c r="KQ12" s="43"/>
      <c r="KR12" s="43"/>
      <c r="KS12" s="43"/>
      <c r="KT12" s="43"/>
      <c r="KU12" s="43"/>
      <c r="KV12" s="43"/>
      <c r="KW12" s="43"/>
      <c r="KX12" s="43"/>
      <c r="KY12" s="43"/>
      <c r="KZ12" s="43"/>
    </row>
    <row r="13" spans="1:581" s="7" customFormat="1" x14ac:dyDescent="0.35">
      <c r="A13" s="113"/>
      <c r="B13" s="22" t="s">
        <v>26</v>
      </c>
      <c r="C13" s="23" t="s">
        <v>27</v>
      </c>
      <c r="D13" s="22" t="s">
        <v>13</v>
      </c>
      <c r="E13" s="24" t="s">
        <v>14</v>
      </c>
      <c r="F13" s="22" t="s">
        <v>15</v>
      </c>
      <c r="G13" s="22" t="s">
        <v>16</v>
      </c>
      <c r="H13" s="124" t="s">
        <v>17</v>
      </c>
      <c r="J13" s="27"/>
      <c r="K13" s="27"/>
      <c r="L13" s="39"/>
      <c r="M13" s="44"/>
      <c r="N13" s="44"/>
    </row>
    <row r="14" spans="1:581" s="7" customFormat="1" x14ac:dyDescent="0.35">
      <c r="A14" s="113"/>
      <c r="B14" s="166" t="s">
        <v>2</v>
      </c>
      <c r="C14" s="37" t="s">
        <v>72</v>
      </c>
      <c r="D14" s="29">
        <v>1</v>
      </c>
      <c r="E14" s="49">
        <f>'Discount Sheet'!G13</f>
        <v>15000</v>
      </c>
      <c r="F14" s="30">
        <f t="shared" ref="F14" si="1">D14*E14</f>
        <v>15000</v>
      </c>
      <c r="G14" s="30">
        <v>0</v>
      </c>
      <c r="H14" s="125"/>
      <c r="J14" s="27"/>
      <c r="K14" s="27"/>
      <c r="L14" s="39"/>
      <c r="M14" s="44"/>
      <c r="N14" s="44"/>
    </row>
    <row r="15" spans="1:581" s="7" customFormat="1" x14ac:dyDescent="0.35">
      <c r="A15" s="113"/>
      <c r="B15" s="22" t="s">
        <v>28</v>
      </c>
      <c r="C15" s="23" t="s">
        <v>29</v>
      </c>
      <c r="D15" s="22" t="s">
        <v>13</v>
      </c>
      <c r="E15" s="24" t="s">
        <v>14</v>
      </c>
      <c r="F15" s="22" t="s">
        <v>15</v>
      </c>
      <c r="G15" s="22" t="s">
        <v>16</v>
      </c>
      <c r="H15" s="124" t="s">
        <v>17</v>
      </c>
      <c r="I15" s="25"/>
      <c r="J15" s="25"/>
      <c r="M15" s="27"/>
      <c r="N15" s="48"/>
    </row>
    <row r="16" spans="1:581" s="7" customFormat="1" x14ac:dyDescent="0.35">
      <c r="A16" s="113"/>
      <c r="B16" s="35" t="s">
        <v>127</v>
      </c>
      <c r="C16" s="45" t="s">
        <v>68</v>
      </c>
      <c r="D16" s="29">
        <v>2</v>
      </c>
      <c r="E16" s="46">
        <f>'Discount Sheet'!G16</f>
        <v>1500</v>
      </c>
      <c r="F16" s="30">
        <f>D16*E16</f>
        <v>3000</v>
      </c>
      <c r="G16" s="30">
        <v>0</v>
      </c>
      <c r="H16" s="125"/>
      <c r="I16" s="25"/>
      <c r="J16" s="25"/>
      <c r="M16" s="27"/>
      <c r="N16" s="48"/>
    </row>
    <row r="17" spans="1:312" s="7" customFormat="1" x14ac:dyDescent="0.35">
      <c r="A17" s="113"/>
      <c r="B17" s="35" t="s">
        <v>127</v>
      </c>
      <c r="C17" s="45" t="s">
        <v>69</v>
      </c>
      <c r="D17" s="51">
        <v>10</v>
      </c>
      <c r="E17" s="46">
        <f>'Discount Sheet'!G15</f>
        <v>800</v>
      </c>
      <c r="F17" s="30">
        <f t="shared" ref="F17" si="2">D17*E17</f>
        <v>8000</v>
      </c>
      <c r="G17" s="30">
        <v>0</v>
      </c>
      <c r="H17" s="125"/>
      <c r="I17" s="25"/>
      <c r="J17" s="47"/>
      <c r="M17" s="27"/>
      <c r="N17" s="48"/>
    </row>
    <row r="18" spans="1:312" s="7" customFormat="1" x14ac:dyDescent="0.35">
      <c r="A18" s="113"/>
      <c r="B18" s="22" t="s">
        <v>30</v>
      </c>
      <c r="C18" s="23" t="s">
        <v>31</v>
      </c>
      <c r="D18" s="22" t="s">
        <v>13</v>
      </c>
      <c r="E18" s="24" t="s">
        <v>14</v>
      </c>
      <c r="F18" s="22" t="s">
        <v>15</v>
      </c>
      <c r="G18" s="22" t="s">
        <v>16</v>
      </c>
      <c r="H18" s="124" t="s">
        <v>17</v>
      </c>
      <c r="I18" s="25"/>
      <c r="J18" s="25"/>
      <c r="K18" s="52"/>
      <c r="M18" s="27"/>
      <c r="N18" s="48"/>
    </row>
    <row r="19" spans="1:312" s="7" customFormat="1" x14ac:dyDescent="0.35">
      <c r="A19" s="113"/>
      <c r="B19" s="35" t="s">
        <v>2</v>
      </c>
      <c r="C19" s="53" t="s">
        <v>32</v>
      </c>
      <c r="D19" s="29">
        <f>SUM(D6:D7)</f>
        <v>2</v>
      </c>
      <c r="E19" s="30">
        <f>'Discount Sheet'!G19</f>
        <v>1500</v>
      </c>
      <c r="F19" s="30">
        <f t="shared" ref="F19:F23" si="3">D19*E19</f>
        <v>3000</v>
      </c>
      <c r="G19" s="30">
        <v>0</v>
      </c>
      <c r="H19" s="127"/>
      <c r="M19" s="27"/>
      <c r="N19" s="48"/>
    </row>
    <row r="20" spans="1:312" s="7" customFormat="1" x14ac:dyDescent="0.35">
      <c r="A20" s="113"/>
      <c r="B20" s="35" t="s">
        <v>2</v>
      </c>
      <c r="C20" s="45" t="s">
        <v>33</v>
      </c>
      <c r="D20" s="54">
        <v>1</v>
      </c>
      <c r="E20" s="49">
        <f>'Discount Sheet'!G22</f>
        <v>500</v>
      </c>
      <c r="F20" s="49">
        <f t="shared" si="3"/>
        <v>500</v>
      </c>
      <c r="G20" s="49">
        <v>0</v>
      </c>
      <c r="H20" s="128"/>
      <c r="M20" s="27"/>
      <c r="N20" s="48"/>
    </row>
    <row r="21" spans="1:312" s="7" customFormat="1" x14ac:dyDescent="0.35">
      <c r="A21" s="113"/>
      <c r="B21" s="35" t="s">
        <v>2</v>
      </c>
      <c r="C21" s="45" t="s">
        <v>34</v>
      </c>
      <c r="D21" s="29">
        <v>2</v>
      </c>
      <c r="E21" s="30">
        <f>'Discount Sheet'!G23</f>
        <v>1500</v>
      </c>
      <c r="F21" s="30">
        <f t="shared" si="3"/>
        <v>3000</v>
      </c>
      <c r="G21" s="30">
        <v>0</v>
      </c>
      <c r="H21" s="127"/>
      <c r="M21" s="27"/>
      <c r="N21" s="48"/>
    </row>
    <row r="22" spans="1:312" s="7" customFormat="1" x14ac:dyDescent="0.35">
      <c r="A22" s="113"/>
      <c r="B22" s="35" t="s">
        <v>2</v>
      </c>
      <c r="C22" s="45" t="s">
        <v>35</v>
      </c>
      <c r="D22" s="29">
        <f>D14</f>
        <v>1</v>
      </c>
      <c r="E22" s="30">
        <f>'Discount Sheet'!G24</f>
        <v>9500</v>
      </c>
      <c r="F22" s="30">
        <f t="shared" si="3"/>
        <v>9500</v>
      </c>
      <c r="G22" s="30">
        <v>0</v>
      </c>
      <c r="H22" s="127"/>
      <c r="M22" s="27"/>
      <c r="N22" s="48"/>
    </row>
    <row r="23" spans="1:312" x14ac:dyDescent="0.35">
      <c r="A23" s="114"/>
      <c r="B23" s="35" t="s">
        <v>2</v>
      </c>
      <c r="C23" s="45" t="s">
        <v>36</v>
      </c>
      <c r="D23" s="29">
        <v>5</v>
      </c>
      <c r="E23" s="30">
        <f>'Discount Sheet'!G25</f>
        <v>1000</v>
      </c>
      <c r="F23" s="30">
        <f t="shared" si="3"/>
        <v>5000</v>
      </c>
      <c r="G23" s="30">
        <v>0</v>
      </c>
      <c r="H23" s="127" t="s">
        <v>128</v>
      </c>
      <c r="I23" s="43"/>
      <c r="J23" s="43"/>
      <c r="K23" s="43"/>
      <c r="L23" s="43"/>
      <c r="M23" s="40"/>
      <c r="N23" s="55"/>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c r="GX23" s="43"/>
      <c r="GY23" s="43"/>
      <c r="GZ23" s="43"/>
      <c r="HA23" s="43"/>
      <c r="HB23" s="43"/>
      <c r="HC23" s="43"/>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43"/>
      <c r="IZ23" s="43"/>
      <c r="JA23" s="43"/>
      <c r="JB23" s="43"/>
      <c r="JC23" s="43"/>
      <c r="JD23" s="43"/>
      <c r="JE23" s="43"/>
      <c r="JF23" s="43"/>
      <c r="JG23" s="43"/>
      <c r="JH23" s="43"/>
      <c r="JI23" s="43"/>
      <c r="JJ23" s="43"/>
      <c r="JK23" s="43"/>
      <c r="JL23" s="43"/>
      <c r="JM23" s="43"/>
      <c r="JN23" s="43"/>
      <c r="JO23" s="43"/>
      <c r="JP23" s="43"/>
      <c r="JQ23" s="43"/>
      <c r="JR23" s="43"/>
      <c r="JS23" s="43"/>
      <c r="JT23" s="43"/>
      <c r="JU23" s="43"/>
      <c r="JV23" s="43"/>
      <c r="JW23" s="43"/>
      <c r="JX23" s="43"/>
      <c r="JY23" s="43"/>
      <c r="JZ23" s="43"/>
      <c r="KA23" s="43"/>
      <c r="KB23" s="43"/>
      <c r="KC23" s="43"/>
      <c r="KD23" s="43"/>
      <c r="KE23" s="43"/>
      <c r="KF23" s="43"/>
      <c r="KG23" s="43"/>
      <c r="KH23" s="43"/>
      <c r="KI23" s="43"/>
      <c r="KJ23" s="43"/>
      <c r="KK23" s="43"/>
      <c r="KL23" s="43"/>
      <c r="KM23" s="43"/>
      <c r="KN23" s="43"/>
      <c r="KO23" s="43"/>
      <c r="KP23" s="43"/>
      <c r="KQ23" s="43"/>
      <c r="KR23" s="43"/>
      <c r="KS23" s="43"/>
      <c r="KT23" s="43"/>
      <c r="KU23" s="43"/>
      <c r="KV23" s="43"/>
      <c r="KW23" s="43"/>
      <c r="KX23" s="43"/>
      <c r="KY23" s="43"/>
      <c r="KZ23" s="43"/>
    </row>
    <row r="24" spans="1:312" s="7" customFormat="1" x14ac:dyDescent="0.35">
      <c r="A24" s="113"/>
      <c r="B24" s="40"/>
      <c r="C24" s="55"/>
      <c r="D24" s="56"/>
      <c r="E24" s="57"/>
      <c r="F24" s="57"/>
      <c r="G24" s="57"/>
      <c r="H24" s="99"/>
      <c r="M24" s="27"/>
      <c r="N24" s="48"/>
    </row>
    <row r="25" spans="1:312" s="27" customFormat="1" x14ac:dyDescent="0.35">
      <c r="A25" s="113"/>
      <c r="B25" s="170" t="s">
        <v>37</v>
      </c>
      <c r="C25" s="285" t="s">
        <v>38</v>
      </c>
      <c r="D25" s="286"/>
      <c r="E25" s="287"/>
      <c r="F25" s="58" t="s">
        <v>39</v>
      </c>
      <c r="G25" s="59" t="s">
        <v>16</v>
      </c>
      <c r="H25" s="99"/>
      <c r="N25" s="44"/>
    </row>
    <row r="26" spans="1:312" s="27" customFormat="1" x14ac:dyDescent="0.35">
      <c r="A26" s="113"/>
      <c r="B26" s="171">
        <v>1</v>
      </c>
      <c r="C26" s="288" t="s">
        <v>40</v>
      </c>
      <c r="D26" s="289"/>
      <c r="E26" s="290"/>
      <c r="F26" s="60">
        <f>SUM(F6:F17)</f>
        <v>55190</v>
      </c>
      <c r="G26" s="61">
        <f>SUM(G6:G17)</f>
        <v>0</v>
      </c>
      <c r="H26" s="99"/>
      <c r="N26" s="44"/>
    </row>
    <row r="27" spans="1:312" s="7" customFormat="1" x14ac:dyDescent="0.35">
      <c r="A27" s="113"/>
      <c r="B27" s="172">
        <v>2</v>
      </c>
      <c r="C27" s="272" t="s">
        <v>41</v>
      </c>
      <c r="D27" s="273"/>
      <c r="E27" s="274"/>
      <c r="F27" s="62">
        <f>SUM(F19:F23)</f>
        <v>21000</v>
      </c>
      <c r="G27" s="63">
        <f>SUM(G19:G23)</f>
        <v>0</v>
      </c>
      <c r="H27" s="99"/>
      <c r="I27" s="25"/>
      <c r="M27" s="27"/>
      <c r="N27" s="48"/>
    </row>
    <row r="28" spans="1:312" s="7" customFormat="1" x14ac:dyDescent="0.35">
      <c r="A28" s="113"/>
      <c r="B28" s="173"/>
      <c r="C28" s="275" t="s">
        <v>42</v>
      </c>
      <c r="D28" s="276"/>
      <c r="E28" s="277"/>
      <c r="F28" s="64">
        <f>SUM(F26:F27)</f>
        <v>76190</v>
      </c>
      <c r="G28" s="65">
        <f>SUM(G26:G27)</f>
        <v>0</v>
      </c>
      <c r="H28" s="99"/>
      <c r="M28" s="27"/>
      <c r="N28" s="48"/>
    </row>
    <row r="29" spans="1:312" s="7" customFormat="1" x14ac:dyDescent="0.35">
      <c r="A29" s="113"/>
      <c r="B29" s="27"/>
      <c r="C29" s="48"/>
      <c r="D29" s="27"/>
      <c r="E29" s="38"/>
      <c r="F29" s="50"/>
      <c r="G29" s="27"/>
      <c r="H29" s="99"/>
      <c r="M29" s="27"/>
      <c r="N29" s="48"/>
    </row>
    <row r="30" spans="1:312" s="7" customFormat="1" x14ac:dyDescent="0.35">
      <c r="A30" s="113"/>
      <c r="B30" s="27"/>
      <c r="C30" s="48"/>
      <c r="D30" s="27"/>
      <c r="E30" s="38"/>
      <c r="F30" s="38"/>
      <c r="G30" s="38"/>
      <c r="H30" s="99"/>
      <c r="M30" s="27"/>
      <c r="N30" s="48"/>
    </row>
    <row r="31" spans="1:312" s="7" customFormat="1" x14ac:dyDescent="0.35">
      <c r="A31" s="113"/>
      <c r="B31" s="27"/>
      <c r="C31" s="48"/>
      <c r="D31" s="27"/>
      <c r="E31" s="38"/>
      <c r="F31" s="27"/>
      <c r="G31" s="27"/>
      <c r="H31" s="99"/>
      <c r="M31" s="27"/>
      <c r="N31" s="48"/>
    </row>
    <row r="32" spans="1:312" s="7" customFormat="1" x14ac:dyDescent="0.35">
      <c r="A32" s="113"/>
      <c r="B32" s="27"/>
      <c r="C32" s="48"/>
      <c r="D32" s="27"/>
      <c r="E32" s="38"/>
      <c r="F32" s="27"/>
      <c r="G32" s="27"/>
      <c r="H32" s="99"/>
      <c r="M32" s="27"/>
      <c r="N32" s="48"/>
    </row>
    <row r="33" spans="1:14" s="7" customFormat="1" x14ac:dyDescent="0.35">
      <c r="A33" s="113"/>
      <c r="B33" s="27"/>
      <c r="C33" s="48"/>
      <c r="D33" s="27"/>
      <c r="E33" s="38"/>
      <c r="F33" s="27"/>
      <c r="G33" s="27"/>
      <c r="H33" s="99"/>
      <c r="M33" s="27"/>
      <c r="N33" s="48"/>
    </row>
    <row r="34" spans="1:14" s="7" customFormat="1" x14ac:dyDescent="0.35">
      <c r="A34" s="113"/>
      <c r="B34" s="27"/>
      <c r="C34" s="48"/>
      <c r="D34" s="27"/>
      <c r="E34" s="38"/>
      <c r="F34" s="27"/>
      <c r="G34" s="27"/>
      <c r="H34" s="99"/>
      <c r="M34" s="27"/>
      <c r="N34" s="48"/>
    </row>
    <row r="35" spans="1:14" s="7" customFormat="1" x14ac:dyDescent="0.35">
      <c r="A35" s="113"/>
      <c r="B35" s="27"/>
      <c r="C35" s="48"/>
      <c r="D35" s="27"/>
      <c r="E35" s="38"/>
      <c r="F35" s="27"/>
      <c r="G35" s="27"/>
      <c r="H35" s="99"/>
      <c r="M35" s="27"/>
      <c r="N35" s="48"/>
    </row>
    <row r="36" spans="1:14" s="7" customFormat="1" x14ac:dyDescent="0.35">
      <c r="A36" s="113"/>
      <c r="B36" s="27"/>
      <c r="C36" s="48"/>
      <c r="D36" s="27"/>
      <c r="E36" s="38"/>
      <c r="F36" s="27"/>
      <c r="G36" s="27"/>
      <c r="H36" s="99"/>
      <c r="M36" s="27"/>
      <c r="N36" s="48"/>
    </row>
    <row r="37" spans="1:14" s="7" customFormat="1" x14ac:dyDescent="0.35">
      <c r="A37" s="113"/>
      <c r="B37" s="27"/>
      <c r="C37" s="48"/>
      <c r="D37" s="27"/>
      <c r="E37" s="38"/>
      <c r="F37" s="27"/>
      <c r="G37" s="27"/>
      <c r="H37" s="99"/>
      <c r="M37" s="27"/>
      <c r="N37" s="48"/>
    </row>
    <row r="38" spans="1:14" s="7" customFormat="1" x14ac:dyDescent="0.35">
      <c r="A38" s="113"/>
      <c r="B38" s="27"/>
      <c r="C38" s="48"/>
      <c r="D38" s="27"/>
      <c r="E38" s="38"/>
      <c r="F38" s="27"/>
      <c r="G38" s="27"/>
      <c r="H38" s="99"/>
      <c r="M38" s="27"/>
      <c r="N38" s="48"/>
    </row>
    <row r="39" spans="1:14" s="7" customFormat="1" x14ac:dyDescent="0.35">
      <c r="A39" s="113"/>
      <c r="B39" s="27"/>
      <c r="C39" s="48"/>
      <c r="D39" s="27"/>
      <c r="E39" s="38"/>
      <c r="F39" s="27"/>
      <c r="G39" s="27"/>
      <c r="H39" s="99"/>
      <c r="M39" s="27"/>
      <c r="N39" s="48"/>
    </row>
    <row r="40" spans="1:14" s="7" customFormat="1" x14ac:dyDescent="0.35">
      <c r="A40" s="113"/>
      <c r="B40" s="27"/>
      <c r="C40" s="48"/>
      <c r="D40" s="27"/>
      <c r="E40" s="38"/>
      <c r="F40" s="27"/>
      <c r="G40" s="27"/>
      <c r="H40" s="99"/>
      <c r="M40" s="27"/>
      <c r="N40" s="48"/>
    </row>
    <row r="41" spans="1:14" s="7" customFormat="1" x14ac:dyDescent="0.35">
      <c r="A41" s="113"/>
      <c r="B41" s="27"/>
      <c r="C41" s="48"/>
      <c r="D41" s="27"/>
      <c r="E41" s="38"/>
      <c r="F41" s="27"/>
      <c r="G41" s="27"/>
      <c r="H41" s="99"/>
      <c r="M41" s="27"/>
      <c r="N41" s="48"/>
    </row>
    <row r="42" spans="1:14" s="7" customFormat="1" x14ac:dyDescent="0.35">
      <c r="A42" s="113"/>
      <c r="B42" s="27"/>
      <c r="C42" s="48"/>
      <c r="D42" s="27"/>
      <c r="E42" s="38"/>
      <c r="F42" s="27"/>
      <c r="G42" s="27"/>
      <c r="H42" s="99"/>
      <c r="M42" s="27"/>
      <c r="N42" s="48"/>
    </row>
    <row r="43" spans="1:14" s="7" customFormat="1" x14ac:dyDescent="0.35">
      <c r="A43" s="113"/>
      <c r="B43" s="27"/>
      <c r="C43" s="48"/>
      <c r="D43" s="27"/>
      <c r="E43" s="38"/>
      <c r="F43" s="27"/>
      <c r="G43" s="27"/>
      <c r="H43" s="99"/>
      <c r="M43" s="27"/>
      <c r="N43" s="48"/>
    </row>
    <row r="44" spans="1:14" s="7" customFormat="1" x14ac:dyDescent="0.35">
      <c r="A44" s="113"/>
      <c r="B44" s="27"/>
      <c r="C44" s="48"/>
      <c r="D44" s="27"/>
      <c r="E44" s="38"/>
      <c r="F44" s="27"/>
      <c r="G44" s="27"/>
      <c r="H44" s="99"/>
      <c r="M44" s="27"/>
      <c r="N44" s="48"/>
    </row>
    <row r="45" spans="1:14" s="7" customFormat="1" x14ac:dyDescent="0.35">
      <c r="A45" s="113"/>
      <c r="B45" s="27"/>
      <c r="C45" s="48"/>
      <c r="D45" s="27"/>
      <c r="E45" s="38"/>
      <c r="F45" s="27"/>
      <c r="G45" s="27"/>
      <c r="H45" s="99"/>
      <c r="M45" s="27"/>
      <c r="N45" s="48"/>
    </row>
    <row r="46" spans="1:14" s="7" customFormat="1" x14ac:dyDescent="0.35">
      <c r="A46" s="113"/>
      <c r="B46" s="27"/>
      <c r="C46" s="48"/>
      <c r="D46" s="27"/>
      <c r="E46" s="38"/>
      <c r="F46" s="27"/>
      <c r="G46" s="27"/>
      <c r="H46" s="99"/>
      <c r="M46" s="27"/>
      <c r="N46" s="48"/>
    </row>
    <row r="47" spans="1:14" s="7" customFormat="1" x14ac:dyDescent="0.35">
      <c r="A47" s="113"/>
      <c r="B47" s="27"/>
      <c r="C47" s="48"/>
      <c r="D47" s="27"/>
      <c r="E47" s="38"/>
      <c r="F47" s="27"/>
      <c r="G47" s="27"/>
      <c r="H47" s="99"/>
      <c r="M47" s="27"/>
      <c r="N47" s="48"/>
    </row>
    <row r="48" spans="1:14" s="7" customFormat="1" x14ac:dyDescent="0.35">
      <c r="A48" s="113"/>
      <c r="B48" s="27"/>
      <c r="C48" s="48"/>
      <c r="D48" s="27"/>
      <c r="E48" s="38"/>
      <c r="F48" s="27"/>
      <c r="G48" s="27"/>
      <c r="H48" s="99"/>
      <c r="M48" s="27"/>
      <c r="N48" s="48"/>
    </row>
    <row r="49" spans="1:14" s="7" customFormat="1" x14ac:dyDescent="0.35">
      <c r="A49" s="113"/>
      <c r="B49" s="27"/>
      <c r="C49" s="48"/>
      <c r="D49" s="27"/>
      <c r="E49" s="38"/>
      <c r="F49" s="27"/>
      <c r="G49" s="27"/>
      <c r="H49" s="99"/>
      <c r="M49" s="27"/>
      <c r="N49" s="48"/>
    </row>
    <row r="50" spans="1:14" s="7" customFormat="1" x14ac:dyDescent="0.35">
      <c r="A50" s="113"/>
      <c r="B50" s="27"/>
      <c r="C50" s="48"/>
      <c r="D50" s="27"/>
      <c r="E50" s="38"/>
      <c r="F50" s="27"/>
      <c r="G50" s="27"/>
      <c r="H50" s="99"/>
      <c r="M50" s="27"/>
      <c r="N50" s="48"/>
    </row>
    <row r="51" spans="1:14" s="7" customFormat="1" x14ac:dyDescent="0.35">
      <c r="A51" s="113"/>
      <c r="B51" s="27"/>
      <c r="C51" s="48"/>
      <c r="D51" s="27"/>
      <c r="E51" s="38"/>
      <c r="F51" s="27"/>
      <c r="G51" s="27"/>
      <c r="H51" s="99"/>
      <c r="M51" s="27"/>
      <c r="N51" s="48"/>
    </row>
    <row r="52" spans="1:14" s="7" customFormat="1" x14ac:dyDescent="0.35">
      <c r="A52" s="113"/>
      <c r="B52" s="27"/>
      <c r="C52" s="48"/>
      <c r="D52" s="27"/>
      <c r="E52" s="38"/>
      <c r="F52" s="27"/>
      <c r="G52" s="27"/>
      <c r="H52" s="99"/>
      <c r="M52" s="27"/>
      <c r="N52" s="48"/>
    </row>
    <row r="53" spans="1:14" s="7" customFormat="1" x14ac:dyDescent="0.35">
      <c r="A53" s="113"/>
      <c r="B53" s="27"/>
      <c r="C53" s="48"/>
      <c r="D53" s="27"/>
      <c r="E53" s="38"/>
      <c r="F53" s="27"/>
      <c r="G53" s="27"/>
      <c r="H53" s="99"/>
      <c r="M53" s="27"/>
      <c r="N53" s="48"/>
    </row>
    <row r="54" spans="1:14" s="7" customFormat="1" x14ac:dyDescent="0.35">
      <c r="A54" s="113"/>
      <c r="B54" s="27"/>
      <c r="C54" s="48"/>
      <c r="D54" s="27"/>
      <c r="E54" s="38"/>
      <c r="F54" s="27"/>
      <c r="G54" s="27"/>
      <c r="H54" s="99"/>
      <c r="M54" s="27"/>
      <c r="N54" s="48"/>
    </row>
    <row r="55" spans="1:14" s="7" customFormat="1" x14ac:dyDescent="0.35">
      <c r="A55" s="113"/>
      <c r="B55" s="27"/>
      <c r="C55" s="48"/>
      <c r="D55" s="27"/>
      <c r="E55" s="38"/>
      <c r="F55" s="27"/>
      <c r="G55" s="27"/>
      <c r="H55" s="99"/>
      <c r="M55" s="27"/>
      <c r="N55" s="48"/>
    </row>
    <row r="56" spans="1:14" s="7" customFormat="1" x14ac:dyDescent="0.35">
      <c r="A56" s="113"/>
      <c r="B56" s="27"/>
      <c r="C56" s="48"/>
      <c r="D56" s="27"/>
      <c r="E56" s="38"/>
      <c r="F56" s="27"/>
      <c r="G56" s="27"/>
      <c r="H56" s="99"/>
      <c r="M56" s="27"/>
      <c r="N56" s="48"/>
    </row>
    <row r="57" spans="1:14" s="7" customFormat="1" x14ac:dyDescent="0.35">
      <c r="A57" s="113"/>
      <c r="B57" s="27"/>
      <c r="C57" s="48"/>
      <c r="D57" s="27"/>
      <c r="E57" s="38"/>
      <c r="F57" s="27"/>
      <c r="G57" s="27"/>
      <c r="H57" s="99"/>
      <c r="M57" s="27"/>
      <c r="N57" s="48"/>
    </row>
    <row r="58" spans="1:14" s="7" customFormat="1" x14ac:dyDescent="0.35">
      <c r="A58" s="113"/>
      <c r="B58" s="27"/>
      <c r="C58" s="48"/>
      <c r="D58" s="27"/>
      <c r="E58" s="38"/>
      <c r="F58" s="27"/>
      <c r="G58" s="27"/>
      <c r="H58" s="99"/>
      <c r="M58" s="27"/>
      <c r="N58" s="48"/>
    </row>
    <row r="59" spans="1:14" s="7" customFormat="1" x14ac:dyDescent="0.35">
      <c r="A59" s="113"/>
      <c r="B59" s="27"/>
      <c r="C59" s="48"/>
      <c r="D59" s="27"/>
      <c r="E59" s="38"/>
      <c r="F59" s="27"/>
      <c r="G59" s="27"/>
      <c r="H59" s="99"/>
      <c r="M59" s="27"/>
      <c r="N59" s="48"/>
    </row>
    <row r="60" spans="1:14" s="7" customFormat="1" x14ac:dyDescent="0.35">
      <c r="A60" s="113"/>
      <c r="B60" s="27"/>
      <c r="C60" s="48"/>
      <c r="D60" s="27"/>
      <c r="E60" s="38"/>
      <c r="F60" s="27"/>
      <c r="G60" s="27"/>
      <c r="H60" s="99"/>
      <c r="M60" s="27"/>
      <c r="N60" s="48"/>
    </row>
    <row r="61" spans="1:14" s="7" customFormat="1" x14ac:dyDescent="0.35">
      <c r="A61" s="113"/>
      <c r="B61" s="27"/>
      <c r="C61" s="48"/>
      <c r="D61" s="27"/>
      <c r="E61" s="38"/>
      <c r="F61" s="27"/>
      <c r="G61" s="27"/>
      <c r="H61" s="99"/>
      <c r="M61" s="27"/>
      <c r="N61" s="48"/>
    </row>
    <row r="62" spans="1:14" s="7" customFormat="1" x14ac:dyDescent="0.35">
      <c r="A62" s="113"/>
      <c r="B62" s="27"/>
      <c r="C62" s="48"/>
      <c r="D62" s="27"/>
      <c r="E62" s="38"/>
      <c r="F62" s="27"/>
      <c r="G62" s="27"/>
      <c r="H62" s="99"/>
      <c r="M62" s="27"/>
      <c r="N62" s="48"/>
    </row>
    <row r="63" spans="1:14" s="7" customFormat="1" x14ac:dyDescent="0.35">
      <c r="A63" s="113"/>
      <c r="B63" s="27"/>
      <c r="C63" s="48"/>
      <c r="D63" s="27"/>
      <c r="E63" s="38"/>
      <c r="F63" s="27"/>
      <c r="G63" s="27"/>
      <c r="H63" s="99"/>
      <c r="M63" s="27"/>
      <c r="N63" s="48"/>
    </row>
    <row r="64" spans="1:14" s="7" customFormat="1" x14ac:dyDescent="0.35">
      <c r="A64" s="113"/>
      <c r="B64" s="27"/>
      <c r="C64" s="48"/>
      <c r="D64" s="27"/>
      <c r="E64" s="38"/>
      <c r="F64" s="27"/>
      <c r="G64" s="27"/>
      <c r="H64" s="99"/>
      <c r="M64" s="27"/>
      <c r="N64" s="48"/>
    </row>
    <row r="65" spans="1:14" s="7" customFormat="1" x14ac:dyDescent="0.35">
      <c r="A65" s="113"/>
      <c r="B65" s="27"/>
      <c r="C65" s="48"/>
      <c r="D65" s="27"/>
      <c r="E65" s="38"/>
      <c r="F65" s="27"/>
      <c r="G65" s="27"/>
      <c r="H65" s="99"/>
      <c r="M65" s="27"/>
      <c r="N65" s="48"/>
    </row>
    <row r="66" spans="1:14" s="7" customFormat="1" x14ac:dyDescent="0.35">
      <c r="A66" s="113"/>
      <c r="B66" s="27"/>
      <c r="C66" s="48"/>
      <c r="D66" s="27"/>
      <c r="E66" s="38"/>
      <c r="F66" s="27"/>
      <c r="G66" s="27"/>
      <c r="H66" s="99"/>
      <c r="M66" s="27"/>
      <c r="N66" s="48"/>
    </row>
    <row r="67" spans="1:14" s="7" customFormat="1" x14ac:dyDescent="0.35">
      <c r="A67" s="113"/>
      <c r="B67" s="27"/>
      <c r="C67" s="48"/>
      <c r="D67" s="27"/>
      <c r="E67" s="38"/>
      <c r="F67" s="27"/>
      <c r="G67" s="27"/>
      <c r="H67" s="99"/>
      <c r="M67" s="27"/>
      <c r="N67" s="48"/>
    </row>
    <row r="68" spans="1:14" s="7" customFormat="1" x14ac:dyDescent="0.35">
      <c r="A68" s="113"/>
      <c r="B68" s="27"/>
      <c r="C68" s="48"/>
      <c r="D68" s="27"/>
      <c r="E68" s="38"/>
      <c r="F68" s="27"/>
      <c r="G68" s="27"/>
      <c r="H68" s="99"/>
      <c r="M68" s="27"/>
      <c r="N68" s="48"/>
    </row>
    <row r="69" spans="1:14" s="7" customFormat="1" x14ac:dyDescent="0.35">
      <c r="A69" s="113"/>
      <c r="B69" s="27"/>
      <c r="C69" s="48"/>
      <c r="D69" s="27"/>
      <c r="E69" s="38"/>
      <c r="F69" s="27"/>
      <c r="G69" s="27"/>
      <c r="H69" s="99"/>
      <c r="M69" s="27"/>
      <c r="N69" s="48"/>
    </row>
    <row r="70" spans="1:14" s="7" customFormat="1" x14ac:dyDescent="0.35">
      <c r="A70" s="113"/>
      <c r="B70" s="27"/>
      <c r="C70" s="48"/>
      <c r="D70" s="27"/>
      <c r="E70" s="38"/>
      <c r="F70" s="27"/>
      <c r="G70" s="27"/>
      <c r="H70" s="99"/>
      <c r="M70" s="27"/>
      <c r="N70" s="48"/>
    </row>
    <row r="71" spans="1:14" s="7" customFormat="1" x14ac:dyDescent="0.35">
      <c r="A71" s="113"/>
      <c r="B71" s="27"/>
      <c r="C71" s="48"/>
      <c r="D71" s="27"/>
      <c r="E71" s="38"/>
      <c r="F71" s="27"/>
      <c r="G71" s="27"/>
      <c r="H71" s="99"/>
      <c r="M71" s="27"/>
      <c r="N71" s="48"/>
    </row>
    <row r="72" spans="1:14" s="7" customFormat="1" x14ac:dyDescent="0.35">
      <c r="A72" s="113"/>
      <c r="B72" s="27"/>
      <c r="C72" s="48"/>
      <c r="D72" s="27"/>
      <c r="E72" s="38"/>
      <c r="F72" s="27"/>
      <c r="G72" s="27"/>
      <c r="H72" s="99"/>
      <c r="M72" s="27"/>
      <c r="N72" s="48"/>
    </row>
    <row r="73" spans="1:14" s="7" customFormat="1" x14ac:dyDescent="0.35">
      <c r="A73" s="113"/>
      <c r="B73" s="27"/>
      <c r="C73" s="48"/>
      <c r="D73" s="27"/>
      <c r="E73" s="38"/>
      <c r="F73" s="27"/>
      <c r="G73" s="27"/>
      <c r="H73" s="99"/>
      <c r="M73" s="27"/>
      <c r="N73" s="48"/>
    </row>
    <row r="74" spans="1:14" s="7" customFormat="1" x14ac:dyDescent="0.35">
      <c r="A74" s="113"/>
      <c r="B74" s="27"/>
      <c r="C74" s="48"/>
      <c r="D74" s="27"/>
      <c r="E74" s="38"/>
      <c r="F74" s="27"/>
      <c r="G74" s="27"/>
      <c r="H74" s="99"/>
      <c r="M74" s="27"/>
      <c r="N74" s="48"/>
    </row>
    <row r="75" spans="1:14" s="7" customFormat="1" x14ac:dyDescent="0.35">
      <c r="A75" s="113"/>
      <c r="B75" s="27"/>
      <c r="C75" s="48"/>
      <c r="D75" s="27"/>
      <c r="E75" s="38"/>
      <c r="F75" s="27"/>
      <c r="G75" s="27"/>
      <c r="H75" s="99"/>
      <c r="M75" s="27"/>
      <c r="N75" s="48"/>
    </row>
    <row r="76" spans="1:14" s="7" customFormat="1" x14ac:dyDescent="0.35">
      <c r="A76" s="113"/>
      <c r="B76" s="27"/>
      <c r="C76" s="48"/>
      <c r="D76" s="27"/>
      <c r="E76" s="38"/>
      <c r="F76" s="27"/>
      <c r="G76" s="27"/>
      <c r="H76" s="99"/>
      <c r="M76" s="27"/>
      <c r="N76" s="48"/>
    </row>
    <row r="77" spans="1:14" s="7" customFormat="1" x14ac:dyDescent="0.35">
      <c r="A77" s="113"/>
      <c r="B77" s="27"/>
      <c r="C77" s="48"/>
      <c r="D77" s="27"/>
      <c r="E77" s="38"/>
      <c r="F77" s="27"/>
      <c r="G77" s="27"/>
      <c r="H77" s="99"/>
      <c r="M77" s="27"/>
      <c r="N77" s="48"/>
    </row>
    <row r="78" spans="1:14" s="7" customFormat="1" x14ac:dyDescent="0.35">
      <c r="A78" s="113"/>
      <c r="B78" s="27"/>
      <c r="C78" s="48"/>
      <c r="D78" s="27"/>
      <c r="E78" s="38"/>
      <c r="F78" s="27"/>
      <c r="G78" s="27"/>
      <c r="H78" s="99"/>
      <c r="M78" s="27"/>
      <c r="N78" s="48"/>
    </row>
    <row r="79" spans="1:14" s="7" customFormat="1" x14ac:dyDescent="0.35">
      <c r="A79" s="113"/>
      <c r="B79" s="27"/>
      <c r="C79" s="48"/>
      <c r="D79" s="27"/>
      <c r="E79" s="38"/>
      <c r="F79" s="27"/>
      <c r="G79" s="27"/>
      <c r="H79" s="99"/>
      <c r="M79" s="27"/>
      <c r="N79" s="48"/>
    </row>
    <row r="80" spans="1:14" s="7" customFormat="1" x14ac:dyDescent="0.35">
      <c r="A80" s="113"/>
      <c r="B80" s="27"/>
      <c r="C80" s="48"/>
      <c r="D80" s="27"/>
      <c r="E80" s="38"/>
      <c r="F80" s="27"/>
      <c r="G80" s="27"/>
      <c r="H80" s="99"/>
      <c r="M80" s="27"/>
      <c r="N80" s="48"/>
    </row>
    <row r="81" spans="1:14" s="7" customFormat="1" x14ac:dyDescent="0.35">
      <c r="A81" s="113"/>
      <c r="B81" s="27"/>
      <c r="C81" s="48"/>
      <c r="D81" s="27"/>
      <c r="E81" s="38"/>
      <c r="F81" s="27"/>
      <c r="G81" s="27"/>
      <c r="H81" s="99"/>
      <c r="M81" s="27"/>
      <c r="N81" s="48"/>
    </row>
    <row r="82" spans="1:14" s="7" customFormat="1" x14ac:dyDescent="0.35">
      <c r="A82" s="113"/>
      <c r="B82" s="27"/>
      <c r="C82" s="48"/>
      <c r="D82" s="27"/>
      <c r="E82" s="38"/>
      <c r="F82" s="27"/>
      <c r="G82" s="27"/>
      <c r="H82" s="99"/>
      <c r="M82" s="27"/>
      <c r="N82" s="48"/>
    </row>
    <row r="83" spans="1:14" s="7" customFormat="1" x14ac:dyDescent="0.35">
      <c r="A83" s="113"/>
      <c r="B83" s="27"/>
      <c r="C83" s="48"/>
      <c r="D83" s="27"/>
      <c r="E83" s="38"/>
      <c r="F83" s="27"/>
      <c r="G83" s="27"/>
      <c r="H83" s="99"/>
      <c r="M83" s="27"/>
      <c r="N83" s="48"/>
    </row>
    <row r="84" spans="1:14" s="7" customFormat="1" x14ac:dyDescent="0.35">
      <c r="A84" s="113"/>
      <c r="B84" s="27"/>
      <c r="C84" s="48"/>
      <c r="D84" s="27"/>
      <c r="E84" s="38"/>
      <c r="F84" s="27"/>
      <c r="G84" s="27"/>
      <c r="H84" s="99"/>
      <c r="M84" s="27"/>
      <c r="N84" s="48"/>
    </row>
    <row r="85" spans="1:14" s="7" customFormat="1" x14ac:dyDescent="0.35">
      <c r="A85" s="113"/>
      <c r="B85" s="27"/>
      <c r="C85" s="48"/>
      <c r="D85" s="27"/>
      <c r="E85" s="38"/>
      <c r="F85" s="27"/>
      <c r="G85" s="27"/>
      <c r="H85" s="99"/>
      <c r="M85" s="27"/>
      <c r="N85" s="48"/>
    </row>
    <row r="86" spans="1:14" s="7" customFormat="1" x14ac:dyDescent="0.35">
      <c r="A86" s="113"/>
      <c r="B86" s="27"/>
      <c r="C86" s="48"/>
      <c r="D86" s="27"/>
      <c r="E86" s="38"/>
      <c r="F86" s="27"/>
      <c r="G86" s="27"/>
      <c r="H86" s="99"/>
      <c r="M86" s="27"/>
      <c r="N86" s="48"/>
    </row>
    <row r="87" spans="1:14" s="7" customFormat="1" x14ac:dyDescent="0.35">
      <c r="A87" s="113"/>
      <c r="B87" s="27"/>
      <c r="C87" s="48"/>
      <c r="D87" s="27"/>
      <c r="E87" s="38"/>
      <c r="F87" s="27"/>
      <c r="G87" s="27"/>
      <c r="H87" s="99"/>
      <c r="M87" s="27"/>
      <c r="N87" s="48"/>
    </row>
    <row r="88" spans="1:14" s="7" customFormat="1" x14ac:dyDescent="0.35">
      <c r="A88" s="113"/>
      <c r="B88" s="27"/>
      <c r="C88" s="48"/>
      <c r="D88" s="27"/>
      <c r="E88" s="38"/>
      <c r="F88" s="27"/>
      <c r="G88" s="27"/>
      <c r="H88" s="99"/>
      <c r="M88" s="27"/>
      <c r="N88" s="48"/>
    </row>
    <row r="89" spans="1:14" s="7" customFormat="1" x14ac:dyDescent="0.35">
      <c r="A89" s="113"/>
      <c r="B89" s="27"/>
      <c r="C89" s="48"/>
      <c r="D89" s="27"/>
      <c r="E89" s="38"/>
      <c r="F89" s="27"/>
      <c r="G89" s="27"/>
      <c r="H89" s="99"/>
      <c r="M89" s="27"/>
      <c r="N89" s="48"/>
    </row>
    <row r="90" spans="1:14" s="7" customFormat="1" x14ac:dyDescent="0.35">
      <c r="A90" s="113"/>
      <c r="B90" s="27"/>
      <c r="C90" s="48"/>
      <c r="D90" s="27"/>
      <c r="E90" s="38"/>
      <c r="F90" s="27"/>
      <c r="G90" s="27"/>
      <c r="H90" s="99"/>
      <c r="M90" s="27"/>
      <c r="N90" s="48"/>
    </row>
    <row r="91" spans="1:14" s="7" customFormat="1" x14ac:dyDescent="0.35">
      <c r="A91" s="113"/>
      <c r="B91" s="27"/>
      <c r="C91" s="48"/>
      <c r="D91" s="27"/>
      <c r="E91" s="38"/>
      <c r="F91" s="27"/>
      <c r="G91" s="27"/>
      <c r="H91" s="99"/>
      <c r="M91" s="27"/>
      <c r="N91" s="48"/>
    </row>
    <row r="92" spans="1:14" s="7" customFormat="1" x14ac:dyDescent="0.35">
      <c r="A92" s="113"/>
      <c r="B92" s="27"/>
      <c r="C92" s="48"/>
      <c r="D92" s="27"/>
      <c r="E92" s="38"/>
      <c r="F92" s="27"/>
      <c r="G92" s="27"/>
      <c r="H92" s="99"/>
      <c r="M92" s="27"/>
      <c r="N92" s="48"/>
    </row>
    <row r="93" spans="1:14" s="7" customFormat="1" x14ac:dyDescent="0.35">
      <c r="A93" s="113"/>
      <c r="B93" s="27"/>
      <c r="C93" s="48"/>
      <c r="D93" s="27"/>
      <c r="E93" s="38"/>
      <c r="F93" s="27"/>
      <c r="G93" s="27"/>
      <c r="H93" s="99"/>
      <c r="M93" s="27"/>
      <c r="N93" s="48"/>
    </row>
    <row r="94" spans="1:14" s="7" customFormat="1" x14ac:dyDescent="0.35">
      <c r="A94" s="113"/>
      <c r="B94" s="27"/>
      <c r="C94" s="48"/>
      <c r="D94" s="27"/>
      <c r="E94" s="38"/>
      <c r="F94" s="27"/>
      <c r="G94" s="27"/>
      <c r="H94" s="99"/>
      <c r="M94" s="27"/>
      <c r="N94" s="48"/>
    </row>
    <row r="95" spans="1:14" s="7" customFormat="1" x14ac:dyDescent="0.35">
      <c r="A95" s="113"/>
      <c r="B95" s="27"/>
      <c r="C95" s="48"/>
      <c r="D95" s="27"/>
      <c r="E95" s="38"/>
      <c r="F95" s="27"/>
      <c r="G95" s="27"/>
      <c r="H95" s="99"/>
      <c r="M95" s="27"/>
      <c r="N95" s="48"/>
    </row>
    <row r="96" spans="1:14" s="7" customFormat="1" x14ac:dyDescent="0.35">
      <c r="A96" s="113"/>
      <c r="B96" s="27"/>
      <c r="C96" s="48"/>
      <c r="D96" s="27"/>
      <c r="E96" s="38"/>
      <c r="F96" s="27"/>
      <c r="G96" s="27"/>
      <c r="H96" s="99"/>
      <c r="M96" s="27"/>
      <c r="N96" s="48"/>
    </row>
    <row r="97" spans="1:14" s="7" customFormat="1" x14ac:dyDescent="0.35">
      <c r="A97" s="113"/>
      <c r="B97" s="27"/>
      <c r="C97" s="48"/>
      <c r="D97" s="27"/>
      <c r="E97" s="38"/>
      <c r="F97" s="27"/>
      <c r="G97" s="27"/>
      <c r="H97" s="99"/>
      <c r="M97" s="27"/>
      <c r="N97" s="48"/>
    </row>
    <row r="98" spans="1:14" s="7" customFormat="1" x14ac:dyDescent="0.35">
      <c r="A98" s="113"/>
      <c r="B98" s="27"/>
      <c r="C98" s="48"/>
      <c r="D98" s="27"/>
      <c r="E98" s="38"/>
      <c r="F98" s="27"/>
      <c r="G98" s="27"/>
      <c r="H98" s="99"/>
      <c r="M98" s="27"/>
      <c r="N98" s="48"/>
    </row>
    <row r="99" spans="1:14" s="7" customFormat="1" x14ac:dyDescent="0.35">
      <c r="A99" s="113"/>
      <c r="B99" s="27"/>
      <c r="C99" s="48"/>
      <c r="D99" s="27"/>
      <c r="E99" s="38"/>
      <c r="F99" s="27"/>
      <c r="G99" s="27"/>
      <c r="H99" s="99"/>
      <c r="M99" s="27"/>
      <c r="N99" s="48"/>
    </row>
    <row r="100" spans="1:14" s="7" customFormat="1" x14ac:dyDescent="0.35">
      <c r="A100" s="113"/>
      <c r="B100" s="27"/>
      <c r="C100" s="48"/>
      <c r="D100" s="27"/>
      <c r="E100" s="38"/>
      <c r="F100" s="27"/>
      <c r="G100" s="27"/>
      <c r="H100" s="99"/>
      <c r="M100" s="27"/>
      <c r="N100" s="48"/>
    </row>
    <row r="101" spans="1:14" s="7" customFormat="1" x14ac:dyDescent="0.35">
      <c r="A101" s="113"/>
      <c r="B101" s="27"/>
      <c r="C101" s="48"/>
      <c r="D101" s="27"/>
      <c r="E101" s="38"/>
      <c r="F101" s="27"/>
      <c r="G101" s="27"/>
      <c r="H101" s="99"/>
      <c r="M101" s="27"/>
      <c r="N101" s="48"/>
    </row>
    <row r="102" spans="1:14" s="7" customFormat="1" x14ac:dyDescent="0.35">
      <c r="A102" s="113"/>
      <c r="B102" s="27"/>
      <c r="C102" s="48"/>
      <c r="D102" s="27"/>
      <c r="E102" s="38"/>
      <c r="F102" s="27"/>
      <c r="G102" s="27"/>
      <c r="H102" s="99"/>
      <c r="M102" s="27"/>
      <c r="N102" s="48"/>
    </row>
    <row r="103" spans="1:14" s="7" customFormat="1" x14ac:dyDescent="0.35">
      <c r="A103" s="113"/>
      <c r="B103" s="27"/>
      <c r="C103" s="48"/>
      <c r="D103" s="27"/>
      <c r="E103" s="38"/>
      <c r="F103" s="27"/>
      <c r="G103" s="27"/>
      <c r="H103" s="99"/>
      <c r="M103" s="27"/>
      <c r="N103" s="48"/>
    </row>
    <row r="104" spans="1:14" s="7" customFormat="1" x14ac:dyDescent="0.35">
      <c r="A104" s="113"/>
      <c r="B104" s="27"/>
      <c r="C104" s="48"/>
      <c r="D104" s="27"/>
      <c r="E104" s="38"/>
      <c r="F104" s="27"/>
      <c r="G104" s="27"/>
      <c r="H104" s="99"/>
      <c r="M104" s="27"/>
      <c r="N104" s="48"/>
    </row>
    <row r="105" spans="1:14" s="7" customFormat="1" x14ac:dyDescent="0.35">
      <c r="A105" s="113"/>
      <c r="B105" s="27"/>
      <c r="C105" s="48"/>
      <c r="D105" s="27"/>
      <c r="E105" s="38"/>
      <c r="F105" s="27"/>
      <c r="G105" s="27"/>
      <c r="H105" s="99"/>
      <c r="M105" s="27"/>
      <c r="N105" s="48"/>
    </row>
    <row r="106" spans="1:14" s="7" customFormat="1" x14ac:dyDescent="0.35">
      <c r="A106" s="113"/>
      <c r="B106" s="27"/>
      <c r="C106" s="48"/>
      <c r="D106" s="27"/>
      <c r="E106" s="38"/>
      <c r="F106" s="27"/>
      <c r="G106" s="27"/>
      <c r="H106" s="99"/>
      <c r="M106" s="27"/>
      <c r="N106" s="48"/>
    </row>
    <row r="107" spans="1:14" s="7" customFormat="1" x14ac:dyDescent="0.35">
      <c r="A107" s="113"/>
      <c r="B107" s="27"/>
      <c r="C107" s="48"/>
      <c r="D107" s="27"/>
      <c r="E107" s="38"/>
      <c r="F107" s="27"/>
      <c r="G107" s="27"/>
      <c r="H107" s="99"/>
      <c r="M107" s="27"/>
      <c r="N107" s="48"/>
    </row>
    <row r="108" spans="1:14" s="7" customFormat="1" x14ac:dyDescent="0.35">
      <c r="A108" s="113"/>
      <c r="B108" s="27"/>
      <c r="C108" s="48"/>
      <c r="D108" s="27"/>
      <c r="E108" s="38"/>
      <c r="F108" s="27"/>
      <c r="G108" s="27"/>
      <c r="H108" s="99"/>
      <c r="M108" s="27"/>
      <c r="N108" s="48"/>
    </row>
    <row r="109" spans="1:14" s="7" customFormat="1" x14ac:dyDescent="0.35">
      <c r="A109" s="113"/>
      <c r="B109" s="27"/>
      <c r="C109" s="48"/>
      <c r="D109" s="27"/>
      <c r="E109" s="38"/>
      <c r="F109" s="27"/>
      <c r="G109" s="27"/>
      <c r="H109" s="99"/>
      <c r="M109" s="27"/>
      <c r="N109" s="48"/>
    </row>
    <row r="110" spans="1:14" s="7" customFormat="1" x14ac:dyDescent="0.35">
      <c r="A110" s="113"/>
      <c r="B110" s="27"/>
      <c r="C110" s="48"/>
      <c r="D110" s="27"/>
      <c r="E110" s="38"/>
      <c r="F110" s="27"/>
      <c r="G110" s="27"/>
      <c r="H110" s="99"/>
      <c r="M110" s="27"/>
      <c r="N110" s="48"/>
    </row>
    <row r="111" spans="1:14" s="7" customFormat="1" x14ac:dyDescent="0.35">
      <c r="A111" s="113"/>
      <c r="B111" s="27"/>
      <c r="C111" s="48"/>
      <c r="D111" s="27"/>
      <c r="E111" s="38"/>
      <c r="F111" s="27"/>
      <c r="G111" s="27"/>
      <c r="H111" s="99"/>
      <c r="M111" s="27"/>
      <c r="N111" s="48"/>
    </row>
    <row r="112" spans="1:14" s="7" customFormat="1" x14ac:dyDescent="0.35">
      <c r="A112" s="113"/>
      <c r="B112" s="27"/>
      <c r="C112" s="48"/>
      <c r="D112" s="27"/>
      <c r="E112" s="38"/>
      <c r="F112" s="27"/>
      <c r="G112" s="27"/>
      <c r="H112" s="99"/>
      <c r="M112" s="27"/>
      <c r="N112" s="48"/>
    </row>
    <row r="113" spans="1:14" s="7" customFormat="1" x14ac:dyDescent="0.35">
      <c r="A113" s="113"/>
      <c r="B113" s="27"/>
      <c r="C113" s="48"/>
      <c r="D113" s="27"/>
      <c r="E113" s="38"/>
      <c r="F113" s="27"/>
      <c r="G113" s="27"/>
      <c r="H113" s="99"/>
      <c r="M113" s="27"/>
      <c r="N113" s="48"/>
    </row>
    <row r="114" spans="1:14" s="7" customFormat="1" x14ac:dyDescent="0.35">
      <c r="A114" s="113"/>
      <c r="B114" s="27"/>
      <c r="C114" s="48"/>
      <c r="D114" s="27"/>
      <c r="E114" s="38"/>
      <c r="F114" s="27"/>
      <c r="G114" s="27"/>
      <c r="H114" s="99"/>
      <c r="M114" s="27"/>
      <c r="N114" s="48"/>
    </row>
    <row r="115" spans="1:14" s="7" customFormat="1" x14ac:dyDescent="0.35">
      <c r="A115" s="113"/>
      <c r="B115" s="27"/>
      <c r="C115" s="48"/>
      <c r="D115" s="27"/>
      <c r="E115" s="38"/>
      <c r="F115" s="27"/>
      <c r="G115" s="27"/>
      <c r="H115" s="99"/>
      <c r="M115" s="27"/>
      <c r="N115" s="48"/>
    </row>
    <row r="116" spans="1:14" s="7" customFormat="1" x14ac:dyDescent="0.35">
      <c r="A116" s="113"/>
      <c r="B116" s="27"/>
      <c r="C116" s="48"/>
      <c r="D116" s="27"/>
      <c r="E116" s="38"/>
      <c r="F116" s="27"/>
      <c r="G116" s="27"/>
      <c r="H116" s="99"/>
      <c r="M116" s="27"/>
      <c r="N116" s="48"/>
    </row>
    <row r="117" spans="1:14" s="7" customFormat="1" x14ac:dyDescent="0.35">
      <c r="A117" s="113"/>
      <c r="B117" s="27"/>
      <c r="C117" s="48"/>
      <c r="D117" s="27"/>
      <c r="E117" s="38"/>
      <c r="F117" s="27"/>
      <c r="G117" s="27"/>
      <c r="H117" s="99"/>
      <c r="M117" s="27"/>
      <c r="N117" s="48"/>
    </row>
    <row r="118" spans="1:14" s="7" customFormat="1" x14ac:dyDescent="0.35">
      <c r="A118" s="113"/>
      <c r="B118" s="27"/>
      <c r="C118" s="48"/>
      <c r="D118" s="27"/>
      <c r="E118" s="38"/>
      <c r="F118" s="27"/>
      <c r="G118" s="27"/>
      <c r="H118" s="99"/>
      <c r="M118" s="27"/>
      <c r="N118" s="48"/>
    </row>
    <row r="119" spans="1:14" s="7" customFormat="1" x14ac:dyDescent="0.35">
      <c r="A119" s="113"/>
      <c r="B119" s="27"/>
      <c r="C119" s="48"/>
      <c r="D119" s="27"/>
      <c r="E119" s="38"/>
      <c r="F119" s="27"/>
      <c r="G119" s="27"/>
      <c r="H119" s="99"/>
      <c r="M119" s="27"/>
      <c r="N119" s="48"/>
    </row>
    <row r="120" spans="1:14" s="7" customFormat="1" x14ac:dyDescent="0.35">
      <c r="A120" s="113"/>
      <c r="B120" s="27"/>
      <c r="C120" s="48"/>
      <c r="D120" s="27"/>
      <c r="E120" s="38"/>
      <c r="F120" s="27"/>
      <c r="G120" s="27"/>
      <c r="H120" s="99"/>
      <c r="M120" s="27"/>
      <c r="N120" s="48"/>
    </row>
    <row r="121" spans="1:14" s="7" customFormat="1" x14ac:dyDescent="0.35">
      <c r="A121" s="113"/>
      <c r="B121" s="27"/>
      <c r="C121" s="48"/>
      <c r="D121" s="27"/>
      <c r="E121" s="38"/>
      <c r="F121" s="27"/>
      <c r="G121" s="27"/>
      <c r="H121" s="99"/>
      <c r="M121" s="27"/>
      <c r="N121" s="48"/>
    </row>
    <row r="122" spans="1:14" s="7" customFormat="1" x14ac:dyDescent="0.35">
      <c r="A122" s="113"/>
      <c r="B122" s="27"/>
      <c r="C122" s="48"/>
      <c r="D122" s="27"/>
      <c r="E122" s="38"/>
      <c r="F122" s="27"/>
      <c r="G122" s="27"/>
      <c r="H122" s="99"/>
      <c r="M122" s="27"/>
      <c r="N122" s="48"/>
    </row>
    <row r="123" spans="1:14" s="7" customFormat="1" x14ac:dyDescent="0.35">
      <c r="A123" s="113"/>
      <c r="B123" s="27"/>
      <c r="C123" s="48"/>
      <c r="D123" s="27"/>
      <c r="E123" s="38"/>
      <c r="F123" s="27"/>
      <c r="G123" s="27"/>
      <c r="H123" s="99"/>
      <c r="M123" s="27"/>
      <c r="N123" s="48"/>
    </row>
    <row r="124" spans="1:14" s="7" customFormat="1" x14ac:dyDescent="0.35">
      <c r="A124" s="113"/>
      <c r="B124" s="27"/>
      <c r="C124" s="48"/>
      <c r="D124" s="27"/>
      <c r="E124" s="38"/>
      <c r="F124" s="27"/>
      <c r="G124" s="27"/>
      <c r="H124" s="99"/>
      <c r="M124" s="27"/>
      <c r="N124" s="48"/>
    </row>
    <row r="125" spans="1:14" s="7" customFormat="1" x14ac:dyDescent="0.35">
      <c r="A125" s="113"/>
      <c r="B125" s="27"/>
      <c r="C125" s="48"/>
      <c r="D125" s="27"/>
      <c r="E125" s="38"/>
      <c r="F125" s="27"/>
      <c r="G125" s="27"/>
      <c r="H125" s="99"/>
      <c r="M125" s="27"/>
      <c r="N125" s="48"/>
    </row>
    <row r="126" spans="1:14" s="7" customFormat="1" x14ac:dyDescent="0.35">
      <c r="A126" s="113"/>
      <c r="B126" s="27"/>
      <c r="C126" s="48"/>
      <c r="D126" s="27"/>
      <c r="E126" s="38"/>
      <c r="F126" s="27"/>
      <c r="G126" s="27"/>
      <c r="H126" s="99"/>
      <c r="M126" s="27"/>
      <c r="N126" s="48"/>
    </row>
    <row r="127" spans="1:14" s="7" customFormat="1" x14ac:dyDescent="0.35">
      <c r="A127" s="113"/>
      <c r="B127" s="27"/>
      <c r="C127" s="48"/>
      <c r="D127" s="27"/>
      <c r="E127" s="38"/>
      <c r="F127" s="27"/>
      <c r="G127" s="27"/>
      <c r="H127" s="99"/>
      <c r="M127" s="27"/>
      <c r="N127" s="48"/>
    </row>
    <row r="128" spans="1:14" s="7" customFormat="1" x14ac:dyDescent="0.35">
      <c r="A128" s="113"/>
      <c r="B128" s="27"/>
      <c r="C128" s="48"/>
      <c r="D128" s="27"/>
      <c r="E128" s="38"/>
      <c r="F128" s="27"/>
      <c r="G128" s="27"/>
      <c r="H128" s="99"/>
      <c r="M128" s="27"/>
      <c r="N128" s="48"/>
    </row>
    <row r="129" spans="1:14" s="7" customFormat="1" x14ac:dyDescent="0.35">
      <c r="A129" s="113"/>
      <c r="B129" s="27"/>
      <c r="C129" s="48"/>
      <c r="D129" s="27"/>
      <c r="E129" s="38"/>
      <c r="F129" s="27"/>
      <c r="G129" s="27"/>
      <c r="H129" s="99"/>
      <c r="M129" s="27"/>
      <c r="N129" s="48"/>
    </row>
    <row r="130" spans="1:14" s="7" customFormat="1" x14ac:dyDescent="0.35">
      <c r="A130" s="113"/>
      <c r="B130" s="27"/>
      <c r="C130" s="48"/>
      <c r="D130" s="27"/>
      <c r="E130" s="38"/>
      <c r="F130" s="27"/>
      <c r="G130" s="27"/>
      <c r="H130" s="99"/>
      <c r="M130" s="27"/>
      <c r="N130" s="48"/>
    </row>
    <row r="131" spans="1:14" s="7" customFormat="1" x14ac:dyDescent="0.35">
      <c r="A131" s="113"/>
      <c r="B131" s="27"/>
      <c r="C131" s="48"/>
      <c r="D131" s="27"/>
      <c r="E131" s="38"/>
      <c r="F131" s="27"/>
      <c r="G131" s="27"/>
      <c r="H131" s="99"/>
      <c r="M131" s="27"/>
      <c r="N131" s="48"/>
    </row>
    <row r="132" spans="1:14" s="7" customFormat="1" x14ac:dyDescent="0.35">
      <c r="A132" s="113"/>
      <c r="B132" s="27"/>
      <c r="C132" s="48"/>
      <c r="D132" s="27"/>
      <c r="E132" s="38"/>
      <c r="F132" s="27"/>
      <c r="G132" s="27"/>
      <c r="H132" s="99"/>
      <c r="M132" s="27"/>
      <c r="N132" s="48"/>
    </row>
    <row r="133" spans="1:14" s="7" customFormat="1" x14ac:dyDescent="0.35">
      <c r="A133" s="113"/>
      <c r="B133" s="27"/>
      <c r="C133" s="48"/>
      <c r="D133" s="27"/>
      <c r="E133" s="38"/>
      <c r="F133" s="27"/>
      <c r="G133" s="27"/>
      <c r="H133" s="99"/>
      <c r="M133" s="27"/>
      <c r="N133" s="48"/>
    </row>
    <row r="134" spans="1:14" s="7" customFormat="1" x14ac:dyDescent="0.35">
      <c r="A134" s="113"/>
      <c r="B134" s="27"/>
      <c r="C134" s="48"/>
      <c r="D134" s="27"/>
      <c r="E134" s="38"/>
      <c r="F134" s="27"/>
      <c r="G134" s="27"/>
      <c r="H134" s="99"/>
      <c r="M134" s="27"/>
      <c r="N134" s="48"/>
    </row>
    <row r="135" spans="1:14" s="7" customFormat="1" x14ac:dyDescent="0.35">
      <c r="A135" s="113"/>
      <c r="B135" s="27"/>
      <c r="C135" s="48"/>
      <c r="D135" s="27"/>
      <c r="E135" s="38"/>
      <c r="F135" s="27"/>
      <c r="G135" s="27"/>
      <c r="H135" s="99"/>
      <c r="M135" s="27"/>
      <c r="N135" s="48"/>
    </row>
    <row r="136" spans="1:14" s="7" customFormat="1" x14ac:dyDescent="0.35">
      <c r="A136" s="113"/>
      <c r="B136" s="27"/>
      <c r="C136" s="48"/>
      <c r="D136" s="27"/>
      <c r="E136" s="38"/>
      <c r="F136" s="27"/>
      <c r="G136" s="27"/>
      <c r="H136" s="99"/>
      <c r="M136" s="27"/>
      <c r="N136" s="48"/>
    </row>
    <row r="137" spans="1:14" s="7" customFormat="1" x14ac:dyDescent="0.35">
      <c r="A137" s="113"/>
      <c r="B137" s="27"/>
      <c r="C137" s="48"/>
      <c r="D137" s="27"/>
      <c r="E137" s="38"/>
      <c r="F137" s="27"/>
      <c r="G137" s="27"/>
      <c r="H137" s="99"/>
      <c r="M137" s="27"/>
      <c r="N137" s="48"/>
    </row>
    <row r="138" spans="1:14" s="7" customFormat="1" x14ac:dyDescent="0.35">
      <c r="A138" s="113"/>
      <c r="B138" s="27"/>
      <c r="C138" s="48"/>
      <c r="D138" s="27"/>
      <c r="E138" s="38"/>
      <c r="F138" s="27"/>
      <c r="G138" s="27"/>
      <c r="H138" s="99"/>
      <c r="M138" s="27"/>
      <c r="N138" s="48"/>
    </row>
    <row r="139" spans="1:14" s="7" customFormat="1" x14ac:dyDescent="0.35">
      <c r="A139" s="113"/>
      <c r="B139" s="27"/>
      <c r="C139" s="48"/>
      <c r="D139" s="27"/>
      <c r="E139" s="38"/>
      <c r="F139" s="27"/>
      <c r="G139" s="27"/>
      <c r="H139" s="99"/>
      <c r="M139" s="27"/>
      <c r="N139" s="48"/>
    </row>
    <row r="140" spans="1:14" s="7" customFormat="1" x14ac:dyDescent="0.35">
      <c r="A140" s="113"/>
      <c r="B140" s="27"/>
      <c r="C140" s="48"/>
      <c r="D140" s="27"/>
      <c r="E140" s="38"/>
      <c r="F140" s="27"/>
      <c r="G140" s="27"/>
      <c r="H140" s="99"/>
      <c r="M140" s="27"/>
      <c r="N140" s="48"/>
    </row>
    <row r="141" spans="1:14" s="7" customFormat="1" x14ac:dyDescent="0.35">
      <c r="A141" s="113"/>
      <c r="B141" s="27"/>
      <c r="C141" s="48"/>
      <c r="D141" s="27"/>
      <c r="E141" s="38"/>
      <c r="F141" s="27"/>
      <c r="G141" s="27"/>
      <c r="H141" s="99"/>
      <c r="M141" s="27"/>
      <c r="N141" s="48"/>
    </row>
    <row r="142" spans="1:14" s="7" customFormat="1" x14ac:dyDescent="0.35">
      <c r="A142" s="113"/>
      <c r="B142" s="27"/>
      <c r="C142" s="48"/>
      <c r="D142" s="27"/>
      <c r="E142" s="38"/>
      <c r="F142" s="27"/>
      <c r="G142" s="27"/>
      <c r="H142" s="99"/>
      <c r="M142" s="27"/>
      <c r="N142" s="48"/>
    </row>
    <row r="143" spans="1:14" s="7" customFormat="1" x14ac:dyDescent="0.35">
      <c r="A143" s="113"/>
      <c r="B143" s="27"/>
      <c r="C143" s="48"/>
      <c r="D143" s="27"/>
      <c r="E143" s="38"/>
      <c r="F143" s="27"/>
      <c r="G143" s="27"/>
      <c r="H143" s="99"/>
      <c r="M143" s="27"/>
      <c r="N143" s="48"/>
    </row>
    <row r="144" spans="1:14" s="7" customFormat="1" x14ac:dyDescent="0.35">
      <c r="A144" s="113"/>
      <c r="B144" s="27"/>
      <c r="C144" s="48"/>
      <c r="D144" s="27"/>
      <c r="E144" s="38"/>
      <c r="F144" s="27"/>
      <c r="G144" s="27"/>
      <c r="H144" s="99"/>
      <c r="M144" s="27"/>
      <c r="N144" s="48"/>
    </row>
    <row r="145" spans="1:14" s="7" customFormat="1" x14ac:dyDescent="0.35">
      <c r="A145" s="113"/>
      <c r="B145" s="27"/>
      <c r="C145" s="48"/>
      <c r="D145" s="27"/>
      <c r="E145" s="38"/>
      <c r="F145" s="27"/>
      <c r="G145" s="27"/>
      <c r="H145" s="99"/>
      <c r="M145" s="27"/>
      <c r="N145" s="48"/>
    </row>
    <row r="146" spans="1:14" s="7" customFormat="1" x14ac:dyDescent="0.35">
      <c r="A146" s="113"/>
      <c r="B146" s="27"/>
      <c r="C146" s="48"/>
      <c r="D146" s="27"/>
      <c r="E146" s="38"/>
      <c r="F146" s="27"/>
      <c r="G146" s="27"/>
      <c r="H146" s="99"/>
      <c r="M146" s="27"/>
      <c r="N146" s="48"/>
    </row>
    <row r="147" spans="1:14" s="7" customFormat="1" x14ac:dyDescent="0.35">
      <c r="A147" s="113"/>
      <c r="B147" s="27"/>
      <c r="C147" s="48"/>
      <c r="D147" s="27"/>
      <c r="E147" s="38"/>
      <c r="F147" s="27"/>
      <c r="G147" s="27"/>
      <c r="H147" s="99"/>
      <c r="M147" s="27"/>
      <c r="N147" s="48"/>
    </row>
    <row r="148" spans="1:14" s="7" customFormat="1" x14ac:dyDescent="0.35">
      <c r="A148" s="113"/>
      <c r="B148" s="27"/>
      <c r="C148" s="48"/>
      <c r="D148" s="27"/>
      <c r="E148" s="38"/>
      <c r="F148" s="27"/>
      <c r="G148" s="27"/>
      <c r="H148" s="99"/>
      <c r="M148" s="27"/>
      <c r="N148" s="48"/>
    </row>
    <row r="149" spans="1:14" s="7" customFormat="1" x14ac:dyDescent="0.35">
      <c r="A149" s="113"/>
      <c r="B149" s="27"/>
      <c r="C149" s="48"/>
      <c r="D149" s="27"/>
      <c r="E149" s="38"/>
      <c r="F149" s="27"/>
      <c r="G149" s="27"/>
      <c r="H149" s="99"/>
      <c r="M149" s="27"/>
      <c r="N149" s="48"/>
    </row>
    <row r="150" spans="1:14" s="7" customFormat="1" x14ac:dyDescent="0.35">
      <c r="A150" s="113"/>
      <c r="B150" s="27"/>
      <c r="C150" s="48"/>
      <c r="D150" s="27"/>
      <c r="E150" s="38"/>
      <c r="F150" s="27"/>
      <c r="G150" s="27"/>
      <c r="H150" s="99"/>
      <c r="M150" s="27"/>
      <c r="N150" s="48"/>
    </row>
    <row r="151" spans="1:14" s="7" customFormat="1" x14ac:dyDescent="0.35">
      <c r="A151" s="113"/>
      <c r="B151" s="27"/>
      <c r="C151" s="48"/>
      <c r="D151" s="27"/>
      <c r="E151" s="38"/>
      <c r="F151" s="27"/>
      <c r="G151" s="27"/>
      <c r="H151" s="99"/>
      <c r="M151" s="27"/>
      <c r="N151" s="48"/>
    </row>
    <row r="152" spans="1:14" s="7" customFormat="1" x14ac:dyDescent="0.35">
      <c r="A152" s="113"/>
      <c r="B152" s="27"/>
      <c r="C152" s="48"/>
      <c r="D152" s="27"/>
      <c r="E152" s="38"/>
      <c r="F152" s="27"/>
      <c r="G152" s="27"/>
      <c r="H152" s="99"/>
      <c r="M152" s="27"/>
      <c r="N152" s="48"/>
    </row>
    <row r="153" spans="1:14" s="7" customFormat="1" x14ac:dyDescent="0.35">
      <c r="A153" s="113"/>
      <c r="B153" s="27"/>
      <c r="C153" s="48"/>
      <c r="D153" s="27"/>
      <c r="E153" s="38"/>
      <c r="F153" s="27"/>
      <c r="G153" s="27"/>
      <c r="H153" s="99"/>
      <c r="M153" s="27"/>
      <c r="N153" s="48"/>
    </row>
    <row r="154" spans="1:14" s="7" customFormat="1" x14ac:dyDescent="0.35">
      <c r="A154" s="113"/>
      <c r="B154" s="27"/>
      <c r="C154" s="48"/>
      <c r="D154" s="27"/>
      <c r="E154" s="38"/>
      <c r="F154" s="27"/>
      <c r="G154" s="27"/>
      <c r="H154" s="99"/>
      <c r="M154" s="27"/>
      <c r="N154" s="48"/>
    </row>
    <row r="155" spans="1:14" s="7" customFormat="1" x14ac:dyDescent="0.35">
      <c r="A155" s="113"/>
      <c r="B155" s="27"/>
      <c r="C155" s="48"/>
      <c r="D155" s="27"/>
      <c r="E155" s="38"/>
      <c r="F155" s="27"/>
      <c r="G155" s="27"/>
      <c r="H155" s="99"/>
      <c r="M155" s="27"/>
      <c r="N155" s="48"/>
    </row>
    <row r="156" spans="1:14" s="7" customFormat="1" x14ac:dyDescent="0.35">
      <c r="A156" s="113"/>
      <c r="B156" s="27"/>
      <c r="C156" s="48"/>
      <c r="D156" s="27"/>
      <c r="E156" s="38"/>
      <c r="F156" s="27"/>
      <c r="G156" s="27"/>
      <c r="H156" s="99"/>
      <c r="M156" s="27"/>
      <c r="N156" s="48"/>
    </row>
    <row r="157" spans="1:14" s="7" customFormat="1" x14ac:dyDescent="0.35">
      <c r="A157" s="113"/>
      <c r="B157" s="27"/>
      <c r="C157" s="48"/>
      <c r="D157" s="27"/>
      <c r="E157" s="38"/>
      <c r="F157" s="27"/>
      <c r="G157" s="27"/>
      <c r="H157" s="99"/>
      <c r="M157" s="27"/>
      <c r="N157" s="48"/>
    </row>
    <row r="158" spans="1:14" s="7" customFormat="1" x14ac:dyDescent="0.35">
      <c r="A158" s="113"/>
      <c r="B158" s="27"/>
      <c r="C158" s="48"/>
      <c r="D158" s="27"/>
      <c r="E158" s="38"/>
      <c r="F158" s="27"/>
      <c r="G158" s="27"/>
      <c r="H158" s="99"/>
      <c r="M158" s="27"/>
      <c r="N158" s="48"/>
    </row>
    <row r="159" spans="1:14" s="7" customFormat="1" x14ac:dyDescent="0.35">
      <c r="A159" s="113"/>
      <c r="B159" s="27"/>
      <c r="C159" s="48"/>
      <c r="D159" s="27"/>
      <c r="E159" s="38"/>
      <c r="F159" s="27"/>
      <c r="G159" s="27"/>
      <c r="H159" s="99"/>
      <c r="M159" s="27"/>
      <c r="N159" s="48"/>
    </row>
    <row r="160" spans="1:14" s="7" customFormat="1" x14ac:dyDescent="0.35">
      <c r="A160" s="113"/>
      <c r="B160" s="27"/>
      <c r="C160" s="48"/>
      <c r="D160" s="27"/>
      <c r="E160" s="38"/>
      <c r="F160" s="27"/>
      <c r="G160" s="27"/>
      <c r="H160" s="99"/>
      <c r="M160" s="27"/>
      <c r="N160" s="48"/>
    </row>
    <row r="161" spans="1:14" s="7" customFormat="1" x14ac:dyDescent="0.35">
      <c r="A161" s="113"/>
      <c r="B161" s="27"/>
      <c r="C161" s="48"/>
      <c r="D161" s="27"/>
      <c r="E161" s="38"/>
      <c r="F161" s="27"/>
      <c r="G161" s="27"/>
      <c r="H161" s="99"/>
      <c r="M161" s="27"/>
      <c r="N161" s="48"/>
    </row>
    <row r="162" spans="1:14" s="7" customFormat="1" x14ac:dyDescent="0.35">
      <c r="A162" s="113"/>
      <c r="B162" s="27"/>
      <c r="C162" s="48"/>
      <c r="D162" s="27"/>
      <c r="E162" s="38"/>
      <c r="F162" s="27"/>
      <c r="G162" s="27"/>
      <c r="H162" s="99"/>
      <c r="M162" s="27"/>
      <c r="N162" s="48"/>
    </row>
    <row r="163" spans="1:14" s="7" customFormat="1" x14ac:dyDescent="0.35">
      <c r="A163" s="113"/>
      <c r="B163" s="27"/>
      <c r="C163" s="48"/>
      <c r="D163" s="27"/>
      <c r="E163" s="38"/>
      <c r="F163" s="27"/>
      <c r="G163" s="27"/>
      <c r="H163" s="99"/>
      <c r="M163" s="27"/>
      <c r="N163" s="48"/>
    </row>
    <row r="164" spans="1:14" s="7" customFormat="1" x14ac:dyDescent="0.35">
      <c r="A164" s="113"/>
      <c r="B164" s="27"/>
      <c r="C164" s="48"/>
      <c r="D164" s="27"/>
      <c r="E164" s="38"/>
      <c r="F164" s="27"/>
      <c r="G164" s="27"/>
      <c r="H164" s="99"/>
      <c r="M164" s="27"/>
      <c r="N164" s="48"/>
    </row>
    <row r="165" spans="1:14" s="7" customFormat="1" x14ac:dyDescent="0.35">
      <c r="A165" s="113"/>
      <c r="B165" s="27"/>
      <c r="C165" s="48"/>
      <c r="D165" s="27"/>
      <c r="E165" s="38"/>
      <c r="F165" s="27"/>
      <c r="G165" s="27"/>
      <c r="H165" s="99"/>
      <c r="M165" s="27"/>
      <c r="N165" s="48"/>
    </row>
    <row r="166" spans="1:14" s="7" customFormat="1" x14ac:dyDescent="0.35">
      <c r="A166" s="113"/>
      <c r="B166" s="27"/>
      <c r="C166" s="48"/>
      <c r="D166" s="27"/>
      <c r="E166" s="38"/>
      <c r="F166" s="27"/>
      <c r="G166" s="27"/>
      <c r="H166" s="99"/>
      <c r="M166" s="27"/>
      <c r="N166" s="48"/>
    </row>
    <row r="167" spans="1:14" s="7" customFormat="1" x14ac:dyDescent="0.35">
      <c r="A167" s="113"/>
      <c r="B167" s="27"/>
      <c r="C167" s="48"/>
      <c r="D167" s="27"/>
      <c r="E167" s="38"/>
      <c r="F167" s="27"/>
      <c r="G167" s="27"/>
      <c r="H167" s="99"/>
      <c r="M167" s="27"/>
      <c r="N167" s="48"/>
    </row>
    <row r="168" spans="1:14" s="7" customFormat="1" x14ac:dyDescent="0.35">
      <c r="A168" s="113"/>
      <c r="B168" s="27"/>
      <c r="C168" s="48"/>
      <c r="D168" s="27"/>
      <c r="E168" s="38"/>
      <c r="F168" s="27"/>
      <c r="G168" s="27"/>
      <c r="H168" s="99"/>
      <c r="M168" s="27"/>
      <c r="N168" s="48"/>
    </row>
    <row r="169" spans="1:14" s="7" customFormat="1" x14ac:dyDescent="0.35">
      <c r="A169" s="113"/>
      <c r="B169" s="27"/>
      <c r="C169" s="48"/>
      <c r="D169" s="27"/>
      <c r="E169" s="38"/>
      <c r="F169" s="27"/>
      <c r="G169" s="27"/>
      <c r="H169" s="99"/>
      <c r="M169" s="27"/>
      <c r="N169" s="48"/>
    </row>
    <row r="170" spans="1:14" s="7" customFormat="1" x14ac:dyDescent="0.35">
      <c r="A170" s="113"/>
      <c r="B170" s="27"/>
      <c r="C170" s="48"/>
      <c r="D170" s="27"/>
      <c r="E170" s="38"/>
      <c r="F170" s="27"/>
      <c r="G170" s="27"/>
      <c r="H170" s="99"/>
      <c r="M170" s="27"/>
      <c r="N170" s="48"/>
    </row>
    <row r="171" spans="1:14" s="7" customFormat="1" x14ac:dyDescent="0.35">
      <c r="A171" s="113"/>
      <c r="B171" s="27"/>
      <c r="C171" s="48"/>
      <c r="D171" s="27"/>
      <c r="E171" s="38"/>
      <c r="F171" s="27"/>
      <c r="G171" s="27"/>
      <c r="H171" s="99"/>
      <c r="M171" s="27"/>
      <c r="N171" s="48"/>
    </row>
    <row r="172" spans="1:14" s="7" customFormat="1" x14ac:dyDescent="0.35">
      <c r="A172" s="113"/>
      <c r="B172" s="27"/>
      <c r="C172" s="48"/>
      <c r="D172" s="27"/>
      <c r="E172" s="38"/>
      <c r="F172" s="27"/>
      <c r="G172" s="27"/>
      <c r="H172" s="99"/>
      <c r="M172" s="27"/>
      <c r="N172" s="48"/>
    </row>
    <row r="173" spans="1:14" s="7" customFormat="1" x14ac:dyDescent="0.35">
      <c r="A173" s="113"/>
      <c r="B173" s="27"/>
      <c r="C173" s="48"/>
      <c r="D173" s="27"/>
      <c r="E173" s="38"/>
      <c r="F173" s="27"/>
      <c r="G173" s="27"/>
      <c r="H173" s="99"/>
      <c r="M173" s="27"/>
      <c r="N173" s="48"/>
    </row>
    <row r="174" spans="1:14" s="7" customFormat="1" x14ac:dyDescent="0.35">
      <c r="A174" s="113"/>
      <c r="B174" s="27"/>
      <c r="C174" s="48"/>
      <c r="D174" s="27"/>
      <c r="E174" s="38"/>
      <c r="F174" s="27"/>
      <c r="G174" s="27"/>
      <c r="H174" s="99"/>
      <c r="M174" s="27"/>
      <c r="N174" s="48"/>
    </row>
    <row r="175" spans="1:14" s="7" customFormat="1" x14ac:dyDescent="0.35">
      <c r="A175" s="113"/>
      <c r="B175" s="27"/>
      <c r="C175" s="48"/>
      <c r="D175" s="27"/>
      <c r="E175" s="38"/>
      <c r="F175" s="27"/>
      <c r="G175" s="27"/>
      <c r="H175" s="99"/>
      <c r="M175" s="27"/>
      <c r="N175" s="48"/>
    </row>
    <row r="176" spans="1:14" s="7" customFormat="1" x14ac:dyDescent="0.35">
      <c r="A176" s="113"/>
      <c r="B176" s="27"/>
      <c r="C176" s="48"/>
      <c r="D176" s="27"/>
      <c r="E176" s="38"/>
      <c r="F176" s="27"/>
      <c r="G176" s="27"/>
      <c r="H176" s="99"/>
      <c r="M176" s="27"/>
      <c r="N176" s="48"/>
    </row>
    <row r="177" spans="1:14" s="7" customFormat="1" x14ac:dyDescent="0.35">
      <c r="A177" s="113"/>
      <c r="B177" s="27"/>
      <c r="C177" s="48"/>
      <c r="D177" s="27"/>
      <c r="E177" s="38"/>
      <c r="F177" s="27"/>
      <c r="G177" s="27"/>
      <c r="H177" s="99"/>
      <c r="M177" s="27"/>
      <c r="N177" s="48"/>
    </row>
    <row r="178" spans="1:14" s="7" customFormat="1" x14ac:dyDescent="0.35">
      <c r="A178" s="113"/>
      <c r="B178" s="27"/>
      <c r="C178" s="48"/>
      <c r="D178" s="27"/>
      <c r="E178" s="38"/>
      <c r="F178" s="27"/>
      <c r="G178" s="27"/>
      <c r="H178" s="99"/>
      <c r="M178" s="27"/>
      <c r="N178" s="48"/>
    </row>
    <row r="179" spans="1:14" s="7" customFormat="1" x14ac:dyDescent="0.35">
      <c r="A179" s="113"/>
      <c r="B179" s="27"/>
      <c r="C179" s="48"/>
      <c r="D179" s="27"/>
      <c r="E179" s="38"/>
      <c r="F179" s="27"/>
      <c r="G179" s="27"/>
      <c r="H179" s="99"/>
      <c r="M179" s="27"/>
      <c r="N179" s="48"/>
    </row>
    <row r="180" spans="1:14" s="7" customFormat="1" x14ac:dyDescent="0.35">
      <c r="A180" s="113"/>
      <c r="B180" s="27"/>
      <c r="C180" s="48"/>
      <c r="D180" s="27"/>
      <c r="E180" s="38"/>
      <c r="F180" s="27"/>
      <c r="G180" s="27"/>
      <c r="H180" s="99"/>
      <c r="M180" s="27"/>
      <c r="N180" s="48"/>
    </row>
    <row r="181" spans="1:14" s="7" customFormat="1" x14ac:dyDescent="0.35">
      <c r="A181" s="113"/>
      <c r="B181" s="27"/>
      <c r="C181" s="48"/>
      <c r="D181" s="27"/>
      <c r="E181" s="38"/>
      <c r="F181" s="27"/>
      <c r="G181" s="27"/>
      <c r="H181" s="99"/>
      <c r="M181" s="27"/>
      <c r="N181" s="48"/>
    </row>
    <row r="182" spans="1:14" s="7" customFormat="1" x14ac:dyDescent="0.35">
      <c r="A182" s="113"/>
      <c r="B182" s="27"/>
      <c r="C182" s="48"/>
      <c r="D182" s="27"/>
      <c r="E182" s="38"/>
      <c r="F182" s="27"/>
      <c r="G182" s="27"/>
      <c r="H182" s="99"/>
      <c r="M182" s="27"/>
      <c r="N182" s="48"/>
    </row>
    <row r="183" spans="1:14" s="7" customFormat="1" x14ac:dyDescent="0.35">
      <c r="A183" s="113"/>
      <c r="B183" s="27"/>
      <c r="C183" s="48"/>
      <c r="D183" s="27"/>
      <c r="E183" s="38"/>
      <c r="F183" s="27"/>
      <c r="G183" s="27"/>
      <c r="H183" s="99"/>
      <c r="M183" s="27"/>
      <c r="N183" s="48"/>
    </row>
    <row r="184" spans="1:14" s="7" customFormat="1" x14ac:dyDescent="0.35">
      <c r="A184" s="113"/>
      <c r="B184" s="27"/>
      <c r="C184" s="48"/>
      <c r="D184" s="27"/>
      <c r="E184" s="38"/>
      <c r="F184" s="27"/>
      <c r="G184" s="27"/>
      <c r="H184" s="99"/>
      <c r="M184" s="27"/>
      <c r="N184" s="48"/>
    </row>
    <row r="185" spans="1:14" s="7" customFormat="1" x14ac:dyDescent="0.35">
      <c r="A185" s="113"/>
      <c r="B185" s="27"/>
      <c r="C185" s="48"/>
      <c r="D185" s="27"/>
      <c r="E185" s="38"/>
      <c r="F185" s="27"/>
      <c r="G185" s="27"/>
      <c r="H185" s="99"/>
      <c r="M185" s="27"/>
      <c r="N185" s="48"/>
    </row>
    <row r="186" spans="1:14" s="7" customFormat="1" x14ac:dyDescent="0.35">
      <c r="A186" s="113"/>
      <c r="B186" s="27"/>
      <c r="C186" s="48"/>
      <c r="D186" s="27"/>
      <c r="E186" s="38"/>
      <c r="F186" s="27"/>
      <c r="G186" s="27"/>
      <c r="H186" s="99"/>
      <c r="M186" s="27"/>
      <c r="N186" s="48"/>
    </row>
    <row r="187" spans="1:14" s="7" customFormat="1" x14ac:dyDescent="0.35">
      <c r="A187" s="113"/>
      <c r="B187" s="27"/>
      <c r="C187" s="48"/>
      <c r="D187" s="27"/>
      <c r="E187" s="38"/>
      <c r="F187" s="27"/>
      <c r="G187" s="27"/>
      <c r="H187" s="99"/>
      <c r="M187" s="27"/>
      <c r="N187" s="48"/>
    </row>
    <row r="188" spans="1:14" s="7" customFormat="1" x14ac:dyDescent="0.35">
      <c r="A188" s="113"/>
      <c r="B188" s="27"/>
      <c r="C188" s="48"/>
      <c r="D188" s="27"/>
      <c r="E188" s="38"/>
      <c r="F188" s="27"/>
      <c r="G188" s="27"/>
      <c r="H188" s="99"/>
      <c r="M188" s="27"/>
      <c r="N188" s="48"/>
    </row>
    <row r="189" spans="1:14" s="7" customFormat="1" x14ac:dyDescent="0.35">
      <c r="A189" s="113"/>
      <c r="B189" s="27"/>
      <c r="C189" s="48"/>
      <c r="D189" s="27"/>
      <c r="E189" s="38"/>
      <c r="F189" s="27"/>
      <c r="G189" s="27"/>
      <c r="H189" s="99"/>
      <c r="M189" s="27"/>
      <c r="N189" s="48"/>
    </row>
    <row r="190" spans="1:14" s="7" customFormat="1" x14ac:dyDescent="0.35">
      <c r="A190" s="113"/>
      <c r="B190" s="27"/>
      <c r="C190" s="48"/>
      <c r="D190" s="27"/>
      <c r="E190" s="38"/>
      <c r="F190" s="27"/>
      <c r="G190" s="27"/>
      <c r="H190" s="99"/>
      <c r="M190" s="27"/>
      <c r="N190" s="48"/>
    </row>
    <row r="191" spans="1:14" s="7" customFormat="1" x14ac:dyDescent="0.35">
      <c r="A191" s="113"/>
      <c r="B191" s="27"/>
      <c r="C191" s="48"/>
      <c r="D191" s="27"/>
      <c r="E191" s="38"/>
      <c r="F191" s="27"/>
      <c r="G191" s="27"/>
      <c r="H191" s="99"/>
      <c r="M191" s="27"/>
      <c r="N191" s="48"/>
    </row>
    <row r="192" spans="1:14" s="7" customFormat="1" x14ac:dyDescent="0.35">
      <c r="A192" s="113"/>
      <c r="B192" s="27"/>
      <c r="C192" s="48"/>
      <c r="D192" s="27"/>
      <c r="E192" s="38"/>
      <c r="F192" s="27"/>
      <c r="G192" s="27"/>
      <c r="H192" s="99"/>
      <c r="M192" s="27"/>
      <c r="N192" s="48"/>
    </row>
    <row r="193" spans="1:14" s="7" customFormat="1" x14ac:dyDescent="0.35">
      <c r="A193" s="113"/>
      <c r="B193" s="27"/>
      <c r="C193" s="48"/>
      <c r="D193" s="27"/>
      <c r="E193" s="38"/>
      <c r="F193" s="27"/>
      <c r="G193" s="27"/>
      <c r="H193" s="99"/>
      <c r="M193" s="27"/>
      <c r="N193" s="48"/>
    </row>
    <row r="194" spans="1:14" s="7" customFormat="1" x14ac:dyDescent="0.35">
      <c r="A194" s="113"/>
      <c r="B194" s="27"/>
      <c r="C194" s="48"/>
      <c r="D194" s="27"/>
      <c r="E194" s="38"/>
      <c r="F194" s="27"/>
      <c r="G194" s="27"/>
      <c r="H194" s="99"/>
      <c r="M194" s="27"/>
      <c r="N194" s="48"/>
    </row>
    <row r="195" spans="1:14" s="7" customFormat="1" x14ac:dyDescent="0.35">
      <c r="A195" s="113"/>
      <c r="B195" s="27"/>
      <c r="C195" s="48"/>
      <c r="D195" s="27"/>
      <c r="E195" s="38"/>
      <c r="F195" s="27"/>
      <c r="G195" s="27"/>
      <c r="H195" s="99"/>
      <c r="M195" s="27"/>
      <c r="N195" s="48"/>
    </row>
    <row r="196" spans="1:14" s="7" customFormat="1" x14ac:dyDescent="0.35">
      <c r="A196" s="113"/>
      <c r="B196" s="27"/>
      <c r="C196" s="48"/>
      <c r="D196" s="27"/>
      <c r="E196" s="38"/>
      <c r="F196" s="27"/>
      <c r="G196" s="27"/>
      <c r="H196" s="99"/>
      <c r="M196" s="27"/>
      <c r="N196" s="48"/>
    </row>
    <row r="197" spans="1:14" s="7" customFormat="1" x14ac:dyDescent="0.35">
      <c r="A197" s="113"/>
      <c r="B197" s="27"/>
      <c r="C197" s="48"/>
      <c r="D197" s="27"/>
      <c r="E197" s="38"/>
      <c r="F197" s="27"/>
      <c r="G197" s="27"/>
      <c r="H197" s="99"/>
      <c r="M197" s="27"/>
      <c r="N197" s="48"/>
    </row>
    <row r="198" spans="1:14" s="7" customFormat="1" x14ac:dyDescent="0.35">
      <c r="A198" s="113"/>
      <c r="B198" s="27"/>
      <c r="C198" s="48"/>
      <c r="D198" s="27"/>
      <c r="E198" s="38"/>
      <c r="F198" s="27"/>
      <c r="G198" s="27"/>
      <c r="H198" s="99"/>
      <c r="M198" s="27"/>
      <c r="N198" s="48"/>
    </row>
    <row r="199" spans="1:14" s="7" customFormat="1" x14ac:dyDescent="0.35">
      <c r="A199" s="113"/>
      <c r="B199" s="27"/>
      <c r="C199" s="48"/>
      <c r="D199" s="27"/>
      <c r="E199" s="38"/>
      <c r="F199" s="27"/>
      <c r="G199" s="27"/>
      <c r="H199" s="99"/>
      <c r="M199" s="27"/>
      <c r="N199" s="48"/>
    </row>
    <row r="200" spans="1:14" s="7" customFormat="1" x14ac:dyDescent="0.35">
      <c r="A200" s="113"/>
      <c r="B200" s="27"/>
      <c r="C200" s="48"/>
      <c r="D200" s="27"/>
      <c r="E200" s="38"/>
      <c r="F200" s="27"/>
      <c r="G200" s="27"/>
      <c r="H200" s="99"/>
      <c r="M200" s="27"/>
      <c r="N200" s="48"/>
    </row>
    <row r="201" spans="1:14" s="7" customFormat="1" x14ac:dyDescent="0.35">
      <c r="A201" s="113"/>
      <c r="B201" s="27"/>
      <c r="C201" s="48"/>
      <c r="D201" s="27"/>
      <c r="E201" s="38"/>
      <c r="F201" s="27"/>
      <c r="G201" s="27"/>
      <c r="H201" s="99"/>
      <c r="M201" s="27"/>
      <c r="N201" s="48"/>
    </row>
    <row r="202" spans="1:14" s="7" customFormat="1" x14ac:dyDescent="0.35">
      <c r="A202" s="113"/>
      <c r="B202" s="27"/>
      <c r="C202" s="48"/>
      <c r="D202" s="27"/>
      <c r="E202" s="38"/>
      <c r="F202" s="27"/>
      <c r="G202" s="27"/>
      <c r="H202" s="99"/>
      <c r="M202" s="27"/>
      <c r="N202" s="48"/>
    </row>
    <row r="203" spans="1:14" s="7" customFormat="1" x14ac:dyDescent="0.35">
      <c r="A203" s="113"/>
      <c r="B203" s="27"/>
      <c r="C203" s="48"/>
      <c r="D203" s="27"/>
      <c r="E203" s="38"/>
      <c r="F203" s="27"/>
      <c r="G203" s="27"/>
      <c r="H203" s="99"/>
      <c r="M203" s="27"/>
      <c r="N203" s="48"/>
    </row>
    <row r="204" spans="1:14" s="7" customFormat="1" x14ac:dyDescent="0.35">
      <c r="A204" s="113"/>
      <c r="B204" s="27"/>
      <c r="C204" s="48"/>
      <c r="D204" s="27"/>
      <c r="E204" s="38"/>
      <c r="F204" s="27"/>
      <c r="G204" s="27"/>
      <c r="H204" s="99"/>
      <c r="M204" s="27"/>
      <c r="N204" s="48"/>
    </row>
    <row r="205" spans="1:14" s="7" customFormat="1" x14ac:dyDescent="0.35">
      <c r="A205" s="113"/>
      <c r="B205" s="27"/>
      <c r="C205" s="48"/>
      <c r="D205" s="27"/>
      <c r="E205" s="38"/>
      <c r="F205" s="27"/>
      <c r="G205" s="27"/>
      <c r="H205" s="99"/>
      <c r="M205" s="27"/>
      <c r="N205" s="48"/>
    </row>
    <row r="206" spans="1:14" s="7" customFormat="1" x14ac:dyDescent="0.35">
      <c r="A206" s="113"/>
      <c r="B206" s="27"/>
      <c r="C206" s="48"/>
      <c r="D206" s="27"/>
      <c r="E206" s="38"/>
      <c r="F206" s="27"/>
      <c r="G206" s="27"/>
      <c r="H206" s="99"/>
      <c r="M206" s="27"/>
      <c r="N206" s="48"/>
    </row>
    <row r="207" spans="1:14" s="7" customFormat="1" x14ac:dyDescent="0.35">
      <c r="A207" s="113"/>
      <c r="B207" s="27"/>
      <c r="C207" s="48"/>
      <c r="D207" s="27"/>
      <c r="E207" s="38"/>
      <c r="F207" s="27"/>
      <c r="G207" s="27"/>
      <c r="H207" s="99"/>
      <c r="M207" s="27"/>
      <c r="N207" s="48"/>
    </row>
    <row r="208" spans="1:14" s="7" customFormat="1" x14ac:dyDescent="0.35">
      <c r="A208" s="113"/>
      <c r="B208" s="27"/>
      <c r="C208" s="48"/>
      <c r="D208" s="27"/>
      <c r="E208" s="38"/>
      <c r="F208" s="27"/>
      <c r="G208" s="27"/>
      <c r="H208" s="99"/>
      <c r="M208" s="27"/>
      <c r="N208" s="48"/>
    </row>
    <row r="209" spans="1:14" s="7" customFormat="1" x14ac:dyDescent="0.35">
      <c r="A209" s="113"/>
      <c r="B209" s="27"/>
      <c r="C209" s="48"/>
      <c r="D209" s="27"/>
      <c r="E209" s="38"/>
      <c r="F209" s="27"/>
      <c r="G209" s="27"/>
      <c r="H209" s="99"/>
      <c r="M209" s="27"/>
      <c r="N209" s="48"/>
    </row>
    <row r="210" spans="1:14" s="7" customFormat="1" x14ac:dyDescent="0.35">
      <c r="A210" s="113"/>
      <c r="B210" s="27"/>
      <c r="C210" s="48"/>
      <c r="D210" s="27"/>
      <c r="E210" s="38"/>
      <c r="F210" s="27"/>
      <c r="G210" s="27"/>
      <c r="H210" s="99"/>
      <c r="M210" s="27"/>
      <c r="N210" s="48"/>
    </row>
    <row r="211" spans="1:14" s="7" customFormat="1" x14ac:dyDescent="0.35">
      <c r="A211" s="113"/>
      <c r="B211" s="27"/>
      <c r="C211" s="48"/>
      <c r="D211" s="27"/>
      <c r="E211" s="38"/>
      <c r="F211" s="27"/>
      <c r="G211" s="27"/>
      <c r="H211" s="99"/>
      <c r="M211" s="27"/>
      <c r="N211" s="48"/>
    </row>
    <row r="212" spans="1:14" s="7" customFormat="1" x14ac:dyDescent="0.35">
      <c r="A212" s="113"/>
      <c r="B212" s="27"/>
      <c r="C212" s="48"/>
      <c r="D212" s="27"/>
      <c r="E212" s="38"/>
      <c r="F212" s="27"/>
      <c r="G212" s="27"/>
      <c r="H212" s="99"/>
      <c r="M212" s="27"/>
      <c r="N212" s="48"/>
    </row>
    <row r="213" spans="1:14" s="7" customFormat="1" x14ac:dyDescent="0.35">
      <c r="A213" s="113"/>
      <c r="B213" s="27"/>
      <c r="C213" s="48"/>
      <c r="D213" s="27"/>
      <c r="E213" s="38"/>
      <c r="F213" s="27"/>
      <c r="G213" s="27"/>
      <c r="H213" s="99"/>
      <c r="M213" s="27"/>
      <c r="N213" s="48"/>
    </row>
    <row r="214" spans="1:14" s="7" customFormat="1" x14ac:dyDescent="0.35">
      <c r="A214" s="113"/>
      <c r="B214" s="27"/>
      <c r="C214" s="48"/>
      <c r="D214" s="27"/>
      <c r="E214" s="38"/>
      <c r="F214" s="27"/>
      <c r="G214" s="27"/>
      <c r="H214" s="99"/>
      <c r="M214" s="27"/>
      <c r="N214" s="48"/>
    </row>
    <row r="215" spans="1:14" s="7" customFormat="1" x14ac:dyDescent="0.35">
      <c r="A215" s="113"/>
      <c r="B215" s="27"/>
      <c r="C215" s="48"/>
      <c r="D215" s="27"/>
      <c r="E215" s="38"/>
      <c r="F215" s="27"/>
      <c r="G215" s="27"/>
      <c r="H215" s="99"/>
      <c r="M215" s="27"/>
      <c r="N215" s="48"/>
    </row>
    <row r="216" spans="1:14" s="7" customFormat="1" x14ac:dyDescent="0.35">
      <c r="A216" s="113"/>
      <c r="B216" s="27"/>
      <c r="C216" s="48"/>
      <c r="D216" s="27"/>
      <c r="E216" s="38"/>
      <c r="F216" s="27"/>
      <c r="G216" s="27"/>
      <c r="H216" s="99"/>
      <c r="M216" s="27"/>
      <c r="N216" s="48"/>
    </row>
    <row r="217" spans="1:14" s="7" customFormat="1" x14ac:dyDescent="0.35">
      <c r="A217" s="113"/>
      <c r="B217" s="27"/>
      <c r="C217" s="48"/>
      <c r="D217" s="27"/>
      <c r="E217" s="38"/>
      <c r="F217" s="27"/>
      <c r="G217" s="27"/>
      <c r="H217" s="99"/>
      <c r="M217" s="27"/>
      <c r="N217" s="48"/>
    </row>
    <row r="218" spans="1:14" s="7" customFormat="1" x14ac:dyDescent="0.35">
      <c r="A218" s="113"/>
      <c r="B218" s="27"/>
      <c r="C218" s="48"/>
      <c r="D218" s="27"/>
      <c r="E218" s="38"/>
      <c r="F218" s="27"/>
      <c r="G218" s="27"/>
      <c r="H218" s="99"/>
      <c r="M218" s="27"/>
      <c r="N218" s="48"/>
    </row>
    <row r="219" spans="1:14" s="7" customFormat="1" x14ac:dyDescent="0.35">
      <c r="A219" s="113"/>
      <c r="B219" s="27"/>
      <c r="C219" s="48"/>
      <c r="D219" s="27"/>
      <c r="E219" s="38"/>
      <c r="F219" s="27"/>
      <c r="G219" s="27"/>
      <c r="H219" s="99"/>
      <c r="M219" s="27"/>
      <c r="N219" s="48"/>
    </row>
    <row r="220" spans="1:14" s="7" customFormat="1" x14ac:dyDescent="0.35">
      <c r="A220" s="113"/>
      <c r="B220" s="27"/>
      <c r="C220" s="48"/>
      <c r="D220" s="27"/>
      <c r="E220" s="38"/>
      <c r="F220" s="27"/>
      <c r="G220" s="27"/>
      <c r="H220" s="99"/>
      <c r="M220" s="27"/>
      <c r="N220" s="48"/>
    </row>
    <row r="221" spans="1:14" s="7" customFormat="1" x14ac:dyDescent="0.35">
      <c r="A221" s="113"/>
      <c r="B221" s="27"/>
      <c r="C221" s="48"/>
      <c r="D221" s="27"/>
      <c r="E221" s="38"/>
      <c r="F221" s="27"/>
      <c r="G221" s="27"/>
      <c r="H221" s="99"/>
      <c r="M221" s="27"/>
      <c r="N221" s="48"/>
    </row>
    <row r="222" spans="1:14" s="7" customFormat="1" x14ac:dyDescent="0.35">
      <c r="A222" s="113"/>
      <c r="B222" s="27"/>
      <c r="C222" s="48"/>
      <c r="D222" s="27"/>
      <c r="E222" s="38"/>
      <c r="F222" s="27"/>
      <c r="G222" s="27"/>
      <c r="H222" s="99"/>
      <c r="M222" s="27"/>
      <c r="N222" s="48"/>
    </row>
    <row r="223" spans="1:14" s="7" customFormat="1" x14ac:dyDescent="0.35">
      <c r="A223" s="113"/>
      <c r="B223" s="27"/>
      <c r="C223" s="48"/>
      <c r="D223" s="27"/>
      <c r="E223" s="38"/>
      <c r="F223" s="27"/>
      <c r="G223" s="27"/>
      <c r="H223" s="99"/>
      <c r="M223" s="27"/>
      <c r="N223" s="48"/>
    </row>
    <row r="224" spans="1:14" s="7" customFormat="1" x14ac:dyDescent="0.35">
      <c r="A224" s="113"/>
      <c r="B224" s="27"/>
      <c r="C224" s="48"/>
      <c r="D224" s="27"/>
      <c r="E224" s="38"/>
      <c r="F224" s="27"/>
      <c r="G224" s="27"/>
      <c r="H224" s="99"/>
      <c r="M224" s="27"/>
      <c r="N224" s="48"/>
    </row>
    <row r="225" spans="1:14" s="7" customFormat="1" x14ac:dyDescent="0.35">
      <c r="A225" s="113"/>
      <c r="B225" s="27"/>
      <c r="C225" s="48"/>
      <c r="D225" s="27"/>
      <c r="E225" s="38"/>
      <c r="F225" s="27"/>
      <c r="G225" s="27"/>
      <c r="H225" s="99"/>
      <c r="M225" s="27"/>
      <c r="N225" s="48"/>
    </row>
    <row r="226" spans="1:14" s="7" customFormat="1" x14ac:dyDescent="0.35">
      <c r="A226" s="113"/>
      <c r="B226" s="27"/>
      <c r="C226" s="48"/>
      <c r="D226" s="27"/>
      <c r="E226" s="38"/>
      <c r="F226" s="27"/>
      <c r="G226" s="27"/>
      <c r="H226" s="99"/>
      <c r="M226" s="27"/>
      <c r="N226" s="48"/>
    </row>
    <row r="227" spans="1:14" s="7" customFormat="1" x14ac:dyDescent="0.35">
      <c r="A227" s="113"/>
      <c r="B227" s="27"/>
      <c r="C227" s="48"/>
      <c r="D227" s="27"/>
      <c r="E227" s="38"/>
      <c r="F227" s="27"/>
      <c r="G227" s="27"/>
      <c r="H227" s="99"/>
      <c r="M227" s="27"/>
      <c r="N227" s="48"/>
    </row>
    <row r="228" spans="1:14" s="7" customFormat="1" x14ac:dyDescent="0.35">
      <c r="A228" s="113"/>
      <c r="B228" s="27"/>
      <c r="C228" s="48"/>
      <c r="D228" s="27"/>
      <c r="E228" s="38"/>
      <c r="F228" s="27"/>
      <c r="G228" s="27"/>
      <c r="H228" s="99"/>
      <c r="M228" s="27"/>
      <c r="N228" s="48"/>
    </row>
    <row r="229" spans="1:14" s="7" customFormat="1" x14ac:dyDescent="0.35">
      <c r="A229" s="113"/>
      <c r="B229" s="27"/>
      <c r="C229" s="48"/>
      <c r="D229" s="27"/>
      <c r="E229" s="38"/>
      <c r="F229" s="27"/>
      <c r="G229" s="27"/>
      <c r="H229" s="99"/>
      <c r="M229" s="27"/>
      <c r="N229" s="48"/>
    </row>
    <row r="230" spans="1:14" s="7" customFormat="1" x14ac:dyDescent="0.35">
      <c r="A230" s="113"/>
      <c r="B230" s="27"/>
      <c r="C230" s="48"/>
      <c r="D230" s="27"/>
      <c r="E230" s="38"/>
      <c r="F230" s="27"/>
      <c r="G230" s="27"/>
      <c r="H230" s="99"/>
      <c r="M230" s="27"/>
      <c r="N230" s="48"/>
    </row>
    <row r="231" spans="1:14" s="7" customFormat="1" x14ac:dyDescent="0.35">
      <c r="A231" s="113"/>
      <c r="B231" s="27"/>
      <c r="C231" s="48"/>
      <c r="D231" s="27"/>
      <c r="E231" s="38"/>
      <c r="F231" s="27"/>
      <c r="G231" s="27"/>
      <c r="H231" s="99"/>
      <c r="M231" s="27"/>
      <c r="N231" s="48"/>
    </row>
    <row r="232" spans="1:14" s="7" customFormat="1" x14ac:dyDescent="0.35">
      <c r="A232" s="113"/>
      <c r="B232" s="27"/>
      <c r="C232" s="48"/>
      <c r="D232" s="27"/>
      <c r="E232" s="38"/>
      <c r="F232" s="27"/>
      <c r="G232" s="27"/>
      <c r="H232" s="99"/>
      <c r="M232" s="27"/>
      <c r="N232" s="48"/>
    </row>
    <row r="233" spans="1:14" s="7" customFormat="1" x14ac:dyDescent="0.35">
      <c r="A233" s="113"/>
      <c r="B233" s="27"/>
      <c r="C233" s="48"/>
      <c r="D233" s="27"/>
      <c r="E233" s="38"/>
      <c r="F233" s="27"/>
      <c r="G233" s="27"/>
      <c r="H233" s="99"/>
      <c r="M233" s="27"/>
      <c r="N233" s="48"/>
    </row>
    <row r="234" spans="1:14" s="7" customFormat="1" x14ac:dyDescent="0.35">
      <c r="A234" s="113"/>
      <c r="B234" s="27"/>
      <c r="C234" s="48"/>
      <c r="D234" s="27"/>
      <c r="E234" s="38"/>
      <c r="F234" s="27"/>
      <c r="G234" s="27"/>
      <c r="H234" s="99"/>
      <c r="M234" s="27"/>
      <c r="N234" s="48"/>
    </row>
    <row r="235" spans="1:14" s="7" customFormat="1" x14ac:dyDescent="0.35">
      <c r="A235" s="113"/>
      <c r="B235" s="27"/>
      <c r="C235" s="48"/>
      <c r="D235" s="27"/>
      <c r="E235" s="38"/>
      <c r="F235" s="27"/>
      <c r="G235" s="27"/>
      <c r="H235" s="99"/>
      <c r="M235" s="27"/>
      <c r="N235" s="48"/>
    </row>
    <row r="236" spans="1:14" s="7" customFormat="1" x14ac:dyDescent="0.35">
      <c r="A236" s="113"/>
      <c r="B236" s="27"/>
      <c r="C236" s="48"/>
      <c r="D236" s="27"/>
      <c r="E236" s="38"/>
      <c r="F236" s="27"/>
      <c r="G236" s="27"/>
      <c r="H236" s="99"/>
      <c r="M236" s="27"/>
      <c r="N236" s="48"/>
    </row>
    <row r="237" spans="1:14" s="7" customFormat="1" x14ac:dyDescent="0.35">
      <c r="A237" s="113"/>
      <c r="B237" s="27"/>
      <c r="C237" s="48"/>
      <c r="D237" s="27"/>
      <c r="E237" s="38"/>
      <c r="F237" s="27"/>
      <c r="G237" s="27"/>
      <c r="H237" s="99"/>
      <c r="M237" s="27"/>
      <c r="N237" s="48"/>
    </row>
    <row r="238" spans="1:14" s="7" customFormat="1" x14ac:dyDescent="0.35">
      <c r="A238" s="113"/>
      <c r="B238" s="27"/>
      <c r="C238" s="48"/>
      <c r="D238" s="27"/>
      <c r="E238" s="38"/>
      <c r="F238" s="27"/>
      <c r="G238" s="27"/>
      <c r="H238" s="99"/>
      <c r="M238" s="27"/>
      <c r="N238" s="48"/>
    </row>
    <row r="239" spans="1:14" s="7" customFormat="1" x14ac:dyDescent="0.35">
      <c r="A239" s="113"/>
      <c r="B239" s="27"/>
      <c r="C239" s="48"/>
      <c r="D239" s="27"/>
      <c r="E239" s="38"/>
      <c r="F239" s="27"/>
      <c r="G239" s="27"/>
      <c r="H239" s="99"/>
      <c r="M239" s="27"/>
      <c r="N239" s="48"/>
    </row>
    <row r="240" spans="1:14" s="7" customFormat="1" x14ac:dyDescent="0.35">
      <c r="A240" s="113"/>
      <c r="B240" s="27"/>
      <c r="C240" s="48"/>
      <c r="D240" s="27"/>
      <c r="E240" s="38"/>
      <c r="F240" s="27"/>
      <c r="G240" s="27"/>
      <c r="H240" s="99"/>
      <c r="M240" s="27"/>
      <c r="N240" s="48"/>
    </row>
    <row r="241" spans="1:14" s="7" customFormat="1" x14ac:dyDescent="0.35">
      <c r="A241" s="113"/>
      <c r="B241" s="27"/>
      <c r="C241" s="48"/>
      <c r="D241" s="27"/>
      <c r="E241" s="38"/>
      <c r="F241" s="27"/>
      <c r="G241" s="27"/>
      <c r="H241" s="99"/>
      <c r="M241" s="27"/>
      <c r="N241" s="48"/>
    </row>
    <row r="242" spans="1:14" s="7" customFormat="1" x14ac:dyDescent="0.35">
      <c r="A242" s="113"/>
      <c r="B242" s="27"/>
      <c r="C242" s="48"/>
      <c r="D242" s="27"/>
      <c r="E242" s="38"/>
      <c r="F242" s="27"/>
      <c r="G242" s="27"/>
      <c r="H242" s="99"/>
      <c r="M242" s="27"/>
      <c r="N242" s="48"/>
    </row>
    <row r="243" spans="1:14" s="7" customFormat="1" x14ac:dyDescent="0.35">
      <c r="A243" s="113"/>
      <c r="B243" s="27"/>
      <c r="C243" s="48"/>
      <c r="D243" s="27"/>
      <c r="E243" s="38"/>
      <c r="F243" s="27"/>
      <c r="G243" s="27"/>
      <c r="H243" s="99"/>
      <c r="M243" s="27"/>
      <c r="N243" s="48"/>
    </row>
    <row r="244" spans="1:14" s="7" customFormat="1" x14ac:dyDescent="0.35">
      <c r="A244" s="113"/>
      <c r="B244" s="27"/>
      <c r="C244" s="48"/>
      <c r="D244" s="27"/>
      <c r="E244" s="38"/>
      <c r="F244" s="27"/>
      <c r="G244" s="27"/>
      <c r="H244" s="99"/>
      <c r="M244" s="27"/>
      <c r="N244" s="48"/>
    </row>
    <row r="245" spans="1:14" s="7" customFormat="1" x14ac:dyDescent="0.35">
      <c r="A245" s="113"/>
      <c r="B245" s="27"/>
      <c r="C245" s="48"/>
      <c r="D245" s="27"/>
      <c r="E245" s="38"/>
      <c r="F245" s="27"/>
      <c r="G245" s="27"/>
      <c r="H245" s="99"/>
      <c r="M245" s="27"/>
      <c r="N245" s="48"/>
    </row>
    <row r="246" spans="1:14" s="7" customFormat="1" x14ac:dyDescent="0.35">
      <c r="A246" s="113"/>
      <c r="B246" s="27"/>
      <c r="C246" s="48"/>
      <c r="D246" s="27"/>
      <c r="E246" s="38"/>
      <c r="F246" s="27"/>
      <c r="G246" s="27"/>
      <c r="H246" s="99"/>
      <c r="M246" s="27"/>
      <c r="N246" s="48"/>
    </row>
    <row r="247" spans="1:14" s="7" customFormat="1" x14ac:dyDescent="0.35">
      <c r="A247" s="113"/>
      <c r="B247" s="27"/>
      <c r="C247" s="48"/>
      <c r="D247" s="27"/>
      <c r="E247" s="38"/>
      <c r="F247" s="27"/>
      <c r="G247" s="27"/>
      <c r="H247" s="99"/>
      <c r="M247" s="27"/>
      <c r="N247" s="48"/>
    </row>
    <row r="248" spans="1:14" s="7" customFormat="1" x14ac:dyDescent="0.35">
      <c r="A248" s="113"/>
      <c r="B248" s="27"/>
      <c r="C248" s="48"/>
      <c r="D248" s="27"/>
      <c r="E248" s="38"/>
      <c r="F248" s="27"/>
      <c r="G248" s="27"/>
      <c r="H248" s="99"/>
      <c r="M248" s="27"/>
      <c r="N248" s="48"/>
    </row>
    <row r="249" spans="1:14" s="7" customFormat="1" x14ac:dyDescent="0.35">
      <c r="A249" s="113"/>
      <c r="B249" s="27"/>
      <c r="C249" s="48"/>
      <c r="D249" s="27"/>
      <c r="E249" s="38"/>
      <c r="F249" s="27"/>
      <c r="G249" s="27"/>
      <c r="H249" s="99"/>
      <c r="M249" s="27"/>
      <c r="N249" s="48"/>
    </row>
    <row r="250" spans="1:14" s="7" customFormat="1" x14ac:dyDescent="0.35">
      <c r="A250" s="113"/>
      <c r="B250" s="27"/>
      <c r="C250" s="48"/>
      <c r="D250" s="27"/>
      <c r="E250" s="38"/>
      <c r="F250" s="27"/>
      <c r="G250" s="27"/>
      <c r="H250" s="99"/>
      <c r="M250" s="27"/>
      <c r="N250" s="48"/>
    </row>
    <row r="251" spans="1:14" s="7" customFormat="1" x14ac:dyDescent="0.35">
      <c r="A251" s="113"/>
      <c r="B251" s="27"/>
      <c r="C251" s="48"/>
      <c r="D251" s="27"/>
      <c r="E251" s="38"/>
      <c r="F251" s="27"/>
      <c r="G251" s="27"/>
      <c r="H251" s="99"/>
      <c r="M251" s="27"/>
      <c r="N251" s="48"/>
    </row>
    <row r="252" spans="1:14" s="7" customFormat="1" x14ac:dyDescent="0.35">
      <c r="A252" s="113"/>
      <c r="B252" s="27"/>
      <c r="C252" s="48"/>
      <c r="D252" s="27"/>
      <c r="E252" s="38"/>
      <c r="F252" s="27"/>
      <c r="G252" s="27"/>
      <c r="H252" s="99"/>
      <c r="M252" s="27"/>
      <c r="N252" s="48"/>
    </row>
    <row r="253" spans="1:14" s="7" customFormat="1" x14ac:dyDescent="0.35">
      <c r="A253" s="113"/>
      <c r="B253" s="27"/>
      <c r="C253" s="48"/>
      <c r="D253" s="27"/>
      <c r="E253" s="38"/>
      <c r="F253" s="27"/>
      <c r="G253" s="27"/>
      <c r="H253" s="99"/>
      <c r="M253" s="27"/>
      <c r="N253" s="48"/>
    </row>
    <row r="254" spans="1:14" s="7" customFormat="1" x14ac:dyDescent="0.35">
      <c r="A254" s="113"/>
      <c r="B254" s="27"/>
      <c r="C254" s="48"/>
      <c r="D254" s="27"/>
      <c r="E254" s="38"/>
      <c r="F254" s="27"/>
      <c r="G254" s="27"/>
      <c r="H254" s="99"/>
      <c r="M254" s="27"/>
      <c r="N254" s="48"/>
    </row>
    <row r="255" spans="1:14" s="7" customFormat="1" x14ac:dyDescent="0.35">
      <c r="A255" s="113"/>
      <c r="B255" s="27"/>
      <c r="C255" s="48"/>
      <c r="D255" s="27"/>
      <c r="E255" s="38"/>
      <c r="F255" s="27"/>
      <c r="G255" s="27"/>
      <c r="H255" s="99"/>
      <c r="M255" s="27"/>
      <c r="N255" s="48"/>
    </row>
    <row r="256" spans="1:14" s="7" customFormat="1" x14ac:dyDescent="0.35">
      <c r="A256" s="113"/>
      <c r="B256" s="27"/>
      <c r="C256" s="48"/>
      <c r="D256" s="27"/>
      <c r="E256" s="38"/>
      <c r="F256" s="27"/>
      <c r="G256" s="27"/>
      <c r="H256" s="99"/>
      <c r="M256" s="27"/>
      <c r="N256" s="48"/>
    </row>
    <row r="257" spans="1:14" s="7" customFormat="1" x14ac:dyDescent="0.35">
      <c r="A257" s="113"/>
      <c r="B257" s="27"/>
      <c r="C257" s="48"/>
      <c r="D257" s="27"/>
      <c r="E257" s="38"/>
      <c r="F257" s="27"/>
      <c r="G257" s="27"/>
      <c r="H257" s="99"/>
      <c r="M257" s="27"/>
      <c r="N257" s="48"/>
    </row>
    <row r="258" spans="1:14" s="7" customFormat="1" x14ac:dyDescent="0.35">
      <c r="A258" s="113"/>
      <c r="B258" s="27"/>
      <c r="C258" s="48"/>
      <c r="D258" s="27"/>
      <c r="E258" s="38"/>
      <c r="F258" s="27"/>
      <c r="G258" s="27"/>
      <c r="H258" s="99"/>
      <c r="M258" s="27"/>
      <c r="N258" s="48"/>
    </row>
    <row r="259" spans="1:14" s="7" customFormat="1" x14ac:dyDescent="0.35">
      <c r="A259" s="113"/>
      <c r="B259" s="27"/>
      <c r="C259" s="48"/>
      <c r="D259" s="27"/>
      <c r="E259" s="38"/>
      <c r="F259" s="27"/>
      <c r="G259" s="27"/>
      <c r="H259" s="99"/>
      <c r="M259" s="27"/>
      <c r="N259" s="48"/>
    </row>
    <row r="260" spans="1:14" s="7" customFormat="1" x14ac:dyDescent="0.35">
      <c r="A260" s="113"/>
      <c r="B260" s="27"/>
      <c r="C260" s="48"/>
      <c r="D260" s="27"/>
      <c r="E260" s="38"/>
      <c r="F260" s="27"/>
      <c r="G260" s="27"/>
      <c r="H260" s="99"/>
      <c r="M260" s="27"/>
      <c r="N260" s="48"/>
    </row>
    <row r="261" spans="1:14" s="7" customFormat="1" x14ac:dyDescent="0.35">
      <c r="A261" s="113"/>
      <c r="B261" s="27"/>
      <c r="C261" s="48"/>
      <c r="D261" s="27"/>
      <c r="E261" s="38"/>
      <c r="F261" s="27"/>
      <c r="G261" s="27"/>
      <c r="H261" s="99"/>
      <c r="M261" s="27"/>
      <c r="N261" s="48"/>
    </row>
    <row r="262" spans="1:14" s="7" customFormat="1" x14ac:dyDescent="0.35">
      <c r="A262" s="113"/>
      <c r="B262" s="27"/>
      <c r="C262" s="48"/>
      <c r="D262" s="27"/>
      <c r="E262" s="38"/>
      <c r="F262" s="27"/>
      <c r="G262" s="27"/>
      <c r="H262" s="99"/>
      <c r="M262" s="27"/>
      <c r="N262" s="48"/>
    </row>
    <row r="263" spans="1:14" s="7" customFormat="1" x14ac:dyDescent="0.35">
      <c r="A263" s="113"/>
      <c r="B263" s="27"/>
      <c r="C263" s="48"/>
      <c r="D263" s="27"/>
      <c r="E263" s="38"/>
      <c r="F263" s="27"/>
      <c r="G263" s="27"/>
      <c r="H263" s="99"/>
      <c r="M263" s="27"/>
      <c r="N263" s="48"/>
    </row>
    <row r="264" spans="1:14" s="7" customFormat="1" x14ac:dyDescent="0.35">
      <c r="A264" s="113"/>
      <c r="B264" s="27"/>
      <c r="C264" s="48"/>
      <c r="D264" s="27"/>
      <c r="E264" s="38"/>
      <c r="F264" s="27"/>
      <c r="G264" s="27"/>
      <c r="H264" s="99"/>
      <c r="M264" s="27"/>
      <c r="N264" s="48"/>
    </row>
    <row r="265" spans="1:14" s="7" customFormat="1" x14ac:dyDescent="0.35">
      <c r="A265" s="113"/>
      <c r="B265" s="27"/>
      <c r="C265" s="48"/>
      <c r="D265" s="27"/>
      <c r="E265" s="38"/>
      <c r="F265" s="27"/>
      <c r="G265" s="27"/>
      <c r="H265" s="99"/>
      <c r="M265" s="27"/>
      <c r="N265" s="48"/>
    </row>
    <row r="266" spans="1:14" s="7" customFormat="1" x14ac:dyDescent="0.35">
      <c r="A266" s="113"/>
      <c r="B266" s="27"/>
      <c r="C266" s="48"/>
      <c r="D266" s="27"/>
      <c r="E266" s="38"/>
      <c r="F266" s="27"/>
      <c r="G266" s="27"/>
      <c r="H266" s="99"/>
      <c r="M266" s="27"/>
      <c r="N266" s="48"/>
    </row>
    <row r="267" spans="1:14" s="7" customFormat="1" x14ac:dyDescent="0.35">
      <c r="A267" s="113"/>
      <c r="B267" s="27"/>
      <c r="C267" s="48"/>
      <c r="D267" s="27"/>
      <c r="E267" s="38"/>
      <c r="F267" s="27"/>
      <c r="G267" s="27"/>
      <c r="H267" s="99"/>
      <c r="M267" s="27"/>
      <c r="N267" s="48"/>
    </row>
    <row r="268" spans="1:14" s="7" customFormat="1" x14ac:dyDescent="0.35">
      <c r="A268" s="113"/>
      <c r="B268" s="27"/>
      <c r="C268" s="48"/>
      <c r="D268" s="27"/>
      <c r="E268" s="38"/>
      <c r="F268" s="27"/>
      <c r="G268" s="27"/>
      <c r="H268" s="99"/>
      <c r="M268" s="27"/>
      <c r="N268" s="48"/>
    </row>
    <row r="269" spans="1:14" s="7" customFormat="1" x14ac:dyDescent="0.35">
      <c r="A269" s="113"/>
      <c r="B269" s="27"/>
      <c r="C269" s="48"/>
      <c r="D269" s="27"/>
      <c r="E269" s="38"/>
      <c r="F269" s="27"/>
      <c r="G269" s="27"/>
      <c r="H269" s="99"/>
      <c r="M269" s="27"/>
      <c r="N269" s="48"/>
    </row>
    <row r="270" spans="1:14" s="7" customFormat="1" x14ac:dyDescent="0.35">
      <c r="A270" s="113"/>
      <c r="B270" s="27"/>
      <c r="C270" s="48"/>
      <c r="D270" s="27"/>
      <c r="E270" s="38"/>
      <c r="F270" s="27"/>
      <c r="G270" s="27"/>
      <c r="H270" s="99"/>
      <c r="M270" s="27"/>
      <c r="N270" s="48"/>
    </row>
    <row r="271" spans="1:14" s="7" customFormat="1" x14ac:dyDescent="0.35">
      <c r="A271" s="113"/>
      <c r="B271" s="27"/>
      <c r="C271" s="48"/>
      <c r="D271" s="27"/>
      <c r="E271" s="38"/>
      <c r="F271" s="27"/>
      <c r="G271" s="27"/>
      <c r="H271" s="99"/>
      <c r="M271" s="27"/>
      <c r="N271" s="48"/>
    </row>
    <row r="272" spans="1:14" s="7" customFormat="1" x14ac:dyDescent="0.35">
      <c r="A272" s="113"/>
      <c r="B272" s="27"/>
      <c r="C272" s="48"/>
      <c r="D272" s="27"/>
      <c r="E272" s="38"/>
      <c r="F272" s="27"/>
      <c r="G272" s="27"/>
      <c r="H272" s="99"/>
      <c r="M272" s="27"/>
      <c r="N272" s="48"/>
    </row>
    <row r="273" spans="1:14" s="7" customFormat="1" x14ac:dyDescent="0.35">
      <c r="A273" s="113"/>
      <c r="B273" s="27"/>
      <c r="C273" s="48"/>
      <c r="D273" s="27"/>
      <c r="E273" s="38"/>
      <c r="F273" s="27"/>
      <c r="G273" s="27"/>
      <c r="H273" s="99"/>
      <c r="M273" s="27"/>
      <c r="N273" s="48"/>
    </row>
    <row r="274" spans="1:14" s="7" customFormat="1" x14ac:dyDescent="0.35">
      <c r="A274" s="113"/>
      <c r="B274" s="27"/>
      <c r="C274" s="48"/>
      <c r="D274" s="27"/>
      <c r="E274" s="38"/>
      <c r="F274" s="27"/>
      <c r="G274" s="27"/>
      <c r="H274" s="99"/>
      <c r="M274" s="27"/>
      <c r="N274" s="48"/>
    </row>
    <row r="275" spans="1:14" s="7" customFormat="1" x14ac:dyDescent="0.35">
      <c r="A275" s="113"/>
      <c r="B275" s="27"/>
      <c r="C275" s="48"/>
      <c r="D275" s="27"/>
      <c r="E275" s="38"/>
      <c r="F275" s="27"/>
      <c r="G275" s="27"/>
      <c r="H275" s="99"/>
      <c r="M275" s="27"/>
      <c r="N275" s="48"/>
    </row>
    <row r="276" spans="1:14" s="7" customFormat="1" x14ac:dyDescent="0.35">
      <c r="A276" s="113"/>
      <c r="B276" s="27"/>
      <c r="C276" s="48"/>
      <c r="D276" s="27"/>
      <c r="E276" s="38"/>
      <c r="F276" s="27"/>
      <c r="G276" s="27"/>
      <c r="H276" s="99"/>
      <c r="M276" s="27"/>
      <c r="N276" s="48"/>
    </row>
    <row r="277" spans="1:14" s="7" customFormat="1" x14ac:dyDescent="0.35">
      <c r="A277" s="113"/>
      <c r="B277" s="27"/>
      <c r="C277" s="48"/>
      <c r="D277" s="27"/>
      <c r="E277" s="38"/>
      <c r="F277" s="27"/>
      <c r="G277" s="27"/>
      <c r="H277" s="99"/>
      <c r="M277" s="27"/>
      <c r="N277" s="48"/>
    </row>
    <row r="278" spans="1:14" s="7" customFormat="1" x14ac:dyDescent="0.35">
      <c r="A278" s="113"/>
      <c r="B278" s="27"/>
      <c r="C278" s="48"/>
      <c r="D278" s="27"/>
      <c r="E278" s="38"/>
      <c r="F278" s="27"/>
      <c r="G278" s="27"/>
      <c r="H278" s="99"/>
      <c r="M278" s="27"/>
      <c r="N278" s="48"/>
    </row>
    <row r="279" spans="1:14" s="7" customFormat="1" x14ac:dyDescent="0.35">
      <c r="A279" s="113"/>
      <c r="B279" s="27"/>
      <c r="C279" s="48"/>
      <c r="D279" s="27"/>
      <c r="E279" s="38"/>
      <c r="F279" s="27"/>
      <c r="G279" s="27"/>
      <c r="H279" s="99"/>
      <c r="M279" s="27"/>
      <c r="N279" s="48"/>
    </row>
    <row r="280" spans="1:14" s="7" customFormat="1" x14ac:dyDescent="0.35">
      <c r="A280" s="113"/>
      <c r="B280" s="27"/>
      <c r="C280" s="48"/>
      <c r="D280" s="27"/>
      <c r="E280" s="38"/>
      <c r="F280" s="27"/>
      <c r="G280" s="27"/>
      <c r="H280" s="99"/>
      <c r="M280" s="27"/>
      <c r="N280" s="48"/>
    </row>
    <row r="281" spans="1:14" s="7" customFormat="1" x14ac:dyDescent="0.35">
      <c r="A281" s="113"/>
      <c r="B281" s="27"/>
      <c r="C281" s="48"/>
      <c r="D281" s="27"/>
      <c r="E281" s="38"/>
      <c r="F281" s="27"/>
      <c r="G281" s="27"/>
      <c r="H281" s="99"/>
      <c r="M281" s="27"/>
      <c r="N281" s="48"/>
    </row>
    <row r="282" spans="1:14" s="7" customFormat="1" x14ac:dyDescent="0.35">
      <c r="A282" s="113"/>
      <c r="B282" s="27"/>
      <c r="C282" s="48"/>
      <c r="D282" s="27"/>
      <c r="E282" s="38"/>
      <c r="F282" s="27"/>
      <c r="G282" s="27"/>
      <c r="H282" s="99"/>
      <c r="M282" s="27"/>
      <c r="N282" s="48"/>
    </row>
    <row r="283" spans="1:14" s="7" customFormat="1" x14ac:dyDescent="0.35">
      <c r="A283" s="113"/>
      <c r="B283" s="27"/>
      <c r="C283" s="48"/>
      <c r="D283" s="27"/>
      <c r="E283" s="38"/>
      <c r="F283" s="27"/>
      <c r="G283" s="27"/>
      <c r="H283" s="99"/>
      <c r="M283" s="27"/>
      <c r="N283" s="48"/>
    </row>
    <row r="284" spans="1:14" s="7" customFormat="1" x14ac:dyDescent="0.35">
      <c r="A284" s="113"/>
      <c r="B284" s="27"/>
      <c r="C284" s="48"/>
      <c r="D284" s="27"/>
      <c r="E284" s="38"/>
      <c r="F284" s="27"/>
      <c r="G284" s="27"/>
      <c r="H284" s="99"/>
      <c r="M284" s="27"/>
      <c r="N284" s="48"/>
    </row>
    <row r="285" spans="1:14" s="7" customFormat="1" x14ac:dyDescent="0.35">
      <c r="A285" s="113"/>
      <c r="B285" s="27"/>
      <c r="C285" s="48"/>
      <c r="D285" s="27"/>
      <c r="E285" s="38"/>
      <c r="F285" s="27"/>
      <c r="G285" s="27"/>
      <c r="H285" s="99"/>
      <c r="M285" s="27"/>
      <c r="N285" s="48"/>
    </row>
    <row r="286" spans="1:14" s="7" customFormat="1" x14ac:dyDescent="0.35">
      <c r="A286" s="113"/>
      <c r="B286" s="27"/>
      <c r="C286" s="48"/>
      <c r="D286" s="27"/>
      <c r="E286" s="38"/>
      <c r="F286" s="27"/>
      <c r="G286" s="27"/>
      <c r="H286" s="99"/>
      <c r="M286" s="27"/>
      <c r="N286" s="48"/>
    </row>
    <row r="287" spans="1:14" s="7" customFormat="1" x14ac:dyDescent="0.35">
      <c r="A287" s="113"/>
      <c r="B287" s="27"/>
      <c r="C287" s="48"/>
      <c r="D287" s="27"/>
      <c r="E287" s="38"/>
      <c r="F287" s="27"/>
      <c r="G287" s="27"/>
      <c r="H287" s="99"/>
      <c r="M287" s="27"/>
      <c r="N287" s="48"/>
    </row>
    <row r="288" spans="1:14" s="7" customFormat="1" x14ac:dyDescent="0.35">
      <c r="A288" s="113"/>
      <c r="B288" s="27"/>
      <c r="C288" s="48"/>
      <c r="D288" s="27"/>
      <c r="E288" s="38"/>
      <c r="F288" s="27"/>
      <c r="G288" s="27"/>
      <c r="H288" s="99"/>
      <c r="M288" s="27"/>
      <c r="N288" s="48"/>
    </row>
    <row r="289" spans="1:14" s="7" customFormat="1" x14ac:dyDescent="0.35">
      <c r="A289" s="113"/>
      <c r="B289" s="27"/>
      <c r="C289" s="48"/>
      <c r="D289" s="27"/>
      <c r="E289" s="38"/>
      <c r="F289" s="27"/>
      <c r="G289" s="27"/>
      <c r="H289" s="99"/>
      <c r="M289" s="27"/>
      <c r="N289" s="48"/>
    </row>
    <row r="290" spans="1:14" s="7" customFormat="1" x14ac:dyDescent="0.35">
      <c r="A290" s="113"/>
      <c r="B290" s="27"/>
      <c r="C290" s="48"/>
      <c r="D290" s="27"/>
      <c r="E290" s="38"/>
      <c r="F290" s="27"/>
      <c r="G290" s="27"/>
      <c r="H290" s="99"/>
      <c r="M290" s="27"/>
      <c r="N290" s="48"/>
    </row>
    <row r="291" spans="1:14" s="7" customFormat="1" x14ac:dyDescent="0.35">
      <c r="A291" s="113"/>
      <c r="B291" s="27"/>
      <c r="C291" s="48"/>
      <c r="D291" s="27"/>
      <c r="E291" s="38"/>
      <c r="F291" s="27"/>
      <c r="G291" s="27"/>
      <c r="H291" s="99"/>
      <c r="M291" s="27"/>
      <c r="N291" s="48"/>
    </row>
    <row r="292" spans="1:14" s="7" customFormat="1" x14ac:dyDescent="0.35">
      <c r="A292" s="113"/>
      <c r="B292" s="27"/>
      <c r="C292" s="48"/>
      <c r="D292" s="27"/>
      <c r="E292" s="38"/>
      <c r="F292" s="27"/>
      <c r="G292" s="27"/>
      <c r="H292" s="99"/>
      <c r="M292" s="27"/>
      <c r="N292" s="48"/>
    </row>
    <row r="293" spans="1:14" s="7" customFormat="1" x14ac:dyDescent="0.35">
      <c r="A293" s="113"/>
      <c r="B293" s="27"/>
      <c r="C293" s="48"/>
      <c r="D293" s="27"/>
      <c r="E293" s="38"/>
      <c r="F293" s="27"/>
      <c r="G293" s="27"/>
      <c r="H293" s="99"/>
      <c r="M293" s="27"/>
      <c r="N293" s="48"/>
    </row>
    <row r="294" spans="1:14" s="7" customFormat="1" x14ac:dyDescent="0.35">
      <c r="A294" s="113"/>
      <c r="B294" s="27"/>
      <c r="C294" s="48"/>
      <c r="D294" s="27"/>
      <c r="E294" s="38"/>
      <c r="F294" s="27"/>
      <c r="G294" s="27"/>
      <c r="H294" s="99"/>
      <c r="M294" s="27"/>
      <c r="N294" s="48"/>
    </row>
    <row r="295" spans="1:14" s="7" customFormat="1" x14ac:dyDescent="0.35">
      <c r="A295" s="113"/>
      <c r="B295" s="27"/>
      <c r="C295" s="48"/>
      <c r="D295" s="27"/>
      <c r="E295" s="38"/>
      <c r="F295" s="27"/>
      <c r="G295" s="27"/>
      <c r="H295" s="99"/>
      <c r="M295" s="27"/>
      <c r="N295" s="48"/>
    </row>
    <row r="296" spans="1:14" s="7" customFormat="1" x14ac:dyDescent="0.35">
      <c r="A296" s="113"/>
      <c r="B296" s="27"/>
      <c r="C296" s="48"/>
      <c r="D296" s="27"/>
      <c r="E296" s="38"/>
      <c r="F296" s="27"/>
      <c r="G296" s="27"/>
      <c r="H296" s="99"/>
      <c r="M296" s="27"/>
      <c r="N296" s="48"/>
    </row>
    <row r="297" spans="1:14" s="7" customFormat="1" x14ac:dyDescent="0.35">
      <c r="A297" s="113"/>
      <c r="B297" s="27"/>
      <c r="C297" s="48"/>
      <c r="D297" s="27"/>
      <c r="E297" s="38"/>
      <c r="F297" s="27"/>
      <c r="G297" s="27"/>
      <c r="H297" s="99"/>
      <c r="M297" s="27"/>
      <c r="N297" s="48"/>
    </row>
    <row r="298" spans="1:14" s="7" customFormat="1" x14ac:dyDescent="0.35">
      <c r="A298" s="113"/>
      <c r="B298" s="27"/>
      <c r="C298" s="48"/>
      <c r="D298" s="27"/>
      <c r="E298" s="38"/>
      <c r="F298" s="27"/>
      <c r="G298" s="27"/>
      <c r="H298" s="99"/>
      <c r="M298" s="27"/>
      <c r="N298" s="48"/>
    </row>
    <row r="299" spans="1:14" s="7" customFormat="1" x14ac:dyDescent="0.35">
      <c r="A299" s="113"/>
      <c r="B299" s="27"/>
      <c r="C299" s="48"/>
      <c r="D299" s="27"/>
      <c r="E299" s="38"/>
      <c r="F299" s="27"/>
      <c r="G299" s="27"/>
      <c r="H299" s="99"/>
      <c r="M299" s="27"/>
      <c r="N299" s="48"/>
    </row>
    <row r="300" spans="1:14" s="7" customFormat="1" x14ac:dyDescent="0.35">
      <c r="A300" s="113"/>
      <c r="B300" s="27"/>
      <c r="C300" s="48"/>
      <c r="D300" s="27"/>
      <c r="E300" s="38"/>
      <c r="F300" s="27"/>
      <c r="G300" s="27"/>
      <c r="H300" s="99"/>
      <c r="M300" s="27"/>
      <c r="N300" s="48"/>
    </row>
    <row r="301" spans="1:14" s="7" customFormat="1" x14ac:dyDescent="0.35">
      <c r="A301" s="113"/>
      <c r="B301" s="27"/>
      <c r="C301" s="48"/>
      <c r="D301" s="27"/>
      <c r="E301" s="38"/>
      <c r="F301" s="27"/>
      <c r="G301" s="27"/>
      <c r="H301" s="99"/>
      <c r="M301" s="27"/>
      <c r="N301" s="48"/>
    </row>
    <row r="302" spans="1:14" s="7" customFormat="1" x14ac:dyDescent="0.35">
      <c r="A302" s="113"/>
      <c r="B302" s="27"/>
      <c r="C302" s="48"/>
      <c r="D302" s="27"/>
      <c r="E302" s="38"/>
      <c r="F302" s="27"/>
      <c r="G302" s="27"/>
      <c r="H302" s="99"/>
      <c r="M302" s="27"/>
      <c r="N302" s="48"/>
    </row>
    <row r="303" spans="1:14" s="7" customFormat="1" x14ac:dyDescent="0.35">
      <c r="A303" s="113"/>
      <c r="B303" s="27"/>
      <c r="C303" s="48"/>
      <c r="D303" s="27"/>
      <c r="E303" s="38"/>
      <c r="F303" s="27"/>
      <c r="G303" s="27"/>
      <c r="H303" s="99"/>
      <c r="M303" s="27"/>
      <c r="N303" s="48"/>
    </row>
    <row r="304" spans="1:14" s="7" customFormat="1" x14ac:dyDescent="0.35">
      <c r="A304" s="113"/>
      <c r="B304" s="27"/>
      <c r="C304" s="48"/>
      <c r="D304" s="27"/>
      <c r="E304" s="38"/>
      <c r="F304" s="27"/>
      <c r="G304" s="27"/>
      <c r="H304" s="99"/>
      <c r="M304" s="27"/>
      <c r="N304" s="48"/>
    </row>
    <row r="305" spans="1:14" s="7" customFormat="1" x14ac:dyDescent="0.35">
      <c r="A305" s="113"/>
      <c r="B305" s="27"/>
      <c r="C305" s="48"/>
      <c r="D305" s="27"/>
      <c r="E305" s="38"/>
      <c r="F305" s="27"/>
      <c r="G305" s="27"/>
      <c r="H305" s="99"/>
      <c r="M305" s="27"/>
      <c r="N305" s="48"/>
    </row>
    <row r="306" spans="1:14" s="7" customFormat="1" x14ac:dyDescent="0.35">
      <c r="A306" s="113"/>
      <c r="B306" s="27"/>
      <c r="C306" s="48"/>
      <c r="D306" s="27"/>
      <c r="E306" s="38"/>
      <c r="F306" s="27"/>
      <c r="G306" s="27"/>
      <c r="H306" s="99"/>
      <c r="M306" s="27"/>
      <c r="N306" s="48"/>
    </row>
    <row r="307" spans="1:14" s="7" customFormat="1" x14ac:dyDescent="0.35">
      <c r="A307" s="113"/>
      <c r="B307" s="27"/>
      <c r="C307" s="48"/>
      <c r="D307" s="27"/>
      <c r="E307" s="38"/>
      <c r="F307" s="27"/>
      <c r="G307" s="27"/>
      <c r="H307" s="99"/>
      <c r="M307" s="27"/>
      <c r="N307" s="48"/>
    </row>
    <row r="308" spans="1:14" s="7" customFormat="1" x14ac:dyDescent="0.35">
      <c r="A308" s="113"/>
      <c r="B308" s="27"/>
      <c r="C308" s="48"/>
      <c r="D308" s="27"/>
      <c r="E308" s="38"/>
      <c r="F308" s="27"/>
      <c r="G308" s="27"/>
      <c r="H308" s="99"/>
      <c r="M308" s="27"/>
      <c r="N308" s="48"/>
    </row>
    <row r="309" spans="1:14" s="7" customFormat="1" x14ac:dyDescent="0.35">
      <c r="A309" s="113"/>
      <c r="B309" s="27"/>
      <c r="C309" s="48"/>
      <c r="D309" s="27"/>
      <c r="E309" s="38"/>
      <c r="F309" s="27"/>
      <c r="G309" s="27"/>
      <c r="H309" s="99"/>
      <c r="M309" s="27"/>
      <c r="N309" s="48"/>
    </row>
    <row r="310" spans="1:14" s="7" customFormat="1" x14ac:dyDescent="0.35">
      <c r="A310" s="113"/>
      <c r="B310" s="27"/>
      <c r="C310" s="48"/>
      <c r="D310" s="27"/>
      <c r="E310" s="38"/>
      <c r="F310" s="27"/>
      <c r="G310" s="27"/>
      <c r="H310" s="99"/>
      <c r="M310" s="27"/>
      <c r="N310" s="48"/>
    </row>
    <row r="311" spans="1:14" s="7" customFormat="1" x14ac:dyDescent="0.35">
      <c r="A311" s="113"/>
      <c r="B311" s="27"/>
      <c r="C311" s="48"/>
      <c r="D311" s="27"/>
      <c r="E311" s="38"/>
      <c r="F311" s="27"/>
      <c r="G311" s="27"/>
      <c r="H311" s="99"/>
      <c r="M311" s="27"/>
      <c r="N311" s="48"/>
    </row>
    <row r="312" spans="1:14" s="7" customFormat="1" x14ac:dyDescent="0.35">
      <c r="A312" s="113"/>
      <c r="B312" s="27"/>
      <c r="C312" s="48"/>
      <c r="D312" s="27"/>
      <c r="E312" s="38"/>
      <c r="F312" s="27"/>
      <c r="G312" s="27"/>
      <c r="H312" s="99"/>
      <c r="M312" s="27"/>
      <c r="N312" s="48"/>
    </row>
    <row r="313" spans="1:14" s="7" customFormat="1" x14ac:dyDescent="0.35">
      <c r="A313" s="113"/>
      <c r="B313" s="27"/>
      <c r="C313" s="48"/>
      <c r="D313" s="27"/>
      <c r="E313" s="38"/>
      <c r="F313" s="27"/>
      <c r="G313" s="27"/>
      <c r="H313" s="99"/>
      <c r="M313" s="27"/>
      <c r="N313" s="48"/>
    </row>
    <row r="314" spans="1:14" s="7" customFormat="1" x14ac:dyDescent="0.35">
      <c r="A314" s="113"/>
      <c r="B314" s="27"/>
      <c r="C314" s="48"/>
      <c r="D314" s="27"/>
      <c r="E314" s="38"/>
      <c r="F314" s="27"/>
      <c r="G314" s="27"/>
      <c r="H314" s="99"/>
      <c r="M314" s="27"/>
      <c r="N314" s="48"/>
    </row>
    <row r="315" spans="1:14" s="7" customFormat="1" x14ac:dyDescent="0.35">
      <c r="A315" s="113"/>
      <c r="B315" s="27"/>
      <c r="C315" s="48"/>
      <c r="D315" s="27"/>
      <c r="E315" s="38"/>
      <c r="F315" s="27"/>
      <c r="G315" s="27"/>
      <c r="H315" s="99"/>
      <c r="M315" s="27"/>
      <c r="N315" s="48"/>
    </row>
    <row r="316" spans="1:14" s="7" customFormat="1" x14ac:dyDescent="0.35">
      <c r="A316" s="113"/>
      <c r="B316" s="27"/>
      <c r="C316" s="48"/>
      <c r="D316" s="27"/>
      <c r="E316" s="38"/>
      <c r="F316" s="27"/>
      <c r="G316" s="27"/>
      <c r="H316" s="99"/>
      <c r="M316" s="27"/>
      <c r="N316" s="48"/>
    </row>
    <row r="317" spans="1:14" s="7" customFormat="1" x14ac:dyDescent="0.35">
      <c r="A317" s="113"/>
      <c r="B317" s="27"/>
      <c r="C317" s="48"/>
      <c r="D317" s="27"/>
      <c r="E317" s="38"/>
      <c r="F317" s="27"/>
      <c r="G317" s="27"/>
      <c r="H317" s="99"/>
      <c r="M317" s="27"/>
      <c r="N317" s="48"/>
    </row>
    <row r="318" spans="1:14" s="7" customFormat="1" x14ac:dyDescent="0.35">
      <c r="A318" s="113"/>
      <c r="B318" s="27"/>
      <c r="C318" s="48"/>
      <c r="D318" s="27"/>
      <c r="E318" s="38"/>
      <c r="F318" s="27"/>
      <c r="G318" s="27"/>
      <c r="H318" s="99"/>
      <c r="M318" s="27"/>
      <c r="N318" s="48"/>
    </row>
    <row r="319" spans="1:14" s="7" customFormat="1" x14ac:dyDescent="0.35">
      <c r="A319" s="113"/>
      <c r="B319" s="27"/>
      <c r="C319" s="48"/>
      <c r="D319" s="27"/>
      <c r="E319" s="38"/>
      <c r="F319" s="27"/>
      <c r="G319" s="27"/>
      <c r="H319" s="99"/>
      <c r="M319" s="27"/>
      <c r="N319" s="48"/>
    </row>
    <row r="320" spans="1:14" s="7" customFormat="1" x14ac:dyDescent="0.35">
      <c r="A320" s="113"/>
      <c r="B320" s="27"/>
      <c r="C320" s="48"/>
      <c r="D320" s="27"/>
      <c r="E320" s="38"/>
      <c r="F320" s="27"/>
      <c r="G320" s="27"/>
      <c r="H320" s="99"/>
      <c r="M320" s="27"/>
      <c r="N320" s="48"/>
    </row>
    <row r="321" spans="1:14" s="7" customFormat="1" x14ac:dyDescent="0.35">
      <c r="A321" s="113"/>
      <c r="B321" s="27"/>
      <c r="C321" s="48"/>
      <c r="D321" s="27"/>
      <c r="E321" s="38"/>
      <c r="F321" s="27"/>
      <c r="G321" s="27"/>
      <c r="H321" s="99"/>
      <c r="M321" s="27"/>
      <c r="N321" s="48"/>
    </row>
    <row r="322" spans="1:14" s="7" customFormat="1" x14ac:dyDescent="0.35">
      <c r="A322" s="113"/>
      <c r="B322" s="27"/>
      <c r="C322" s="48"/>
      <c r="D322" s="27"/>
      <c r="E322" s="38"/>
      <c r="F322" s="27"/>
      <c r="G322" s="27"/>
      <c r="H322" s="99"/>
      <c r="M322" s="27"/>
      <c r="N322" s="48"/>
    </row>
    <row r="323" spans="1:14" s="7" customFormat="1" x14ac:dyDescent="0.35">
      <c r="A323" s="113"/>
      <c r="B323" s="27"/>
      <c r="C323" s="48"/>
      <c r="D323" s="27"/>
      <c r="E323" s="38"/>
      <c r="F323" s="27"/>
      <c r="G323" s="27"/>
      <c r="H323" s="99"/>
      <c r="M323" s="27"/>
      <c r="N323" s="48"/>
    </row>
    <row r="324" spans="1:14" s="7" customFormat="1" x14ac:dyDescent="0.35">
      <c r="A324" s="113"/>
      <c r="B324" s="27"/>
      <c r="C324" s="48"/>
      <c r="D324" s="27"/>
      <c r="E324" s="38"/>
      <c r="F324" s="27"/>
      <c r="G324" s="27"/>
      <c r="H324" s="99"/>
      <c r="M324" s="27"/>
      <c r="N324" s="48"/>
    </row>
    <row r="325" spans="1:14" s="7" customFormat="1" x14ac:dyDescent="0.35">
      <c r="A325" s="113"/>
      <c r="B325" s="27"/>
      <c r="C325" s="48"/>
      <c r="D325" s="27"/>
      <c r="E325" s="38"/>
      <c r="F325" s="27"/>
      <c r="G325" s="27"/>
      <c r="H325" s="99"/>
      <c r="M325" s="27"/>
      <c r="N325" s="48"/>
    </row>
    <row r="326" spans="1:14" s="7" customFormat="1" x14ac:dyDescent="0.35">
      <c r="A326" s="113"/>
      <c r="B326" s="27"/>
      <c r="C326" s="48"/>
      <c r="D326" s="27"/>
      <c r="E326" s="38"/>
      <c r="F326" s="27"/>
      <c r="G326" s="27"/>
      <c r="H326" s="99"/>
      <c r="M326" s="27"/>
      <c r="N326" s="48"/>
    </row>
    <row r="327" spans="1:14" s="7" customFormat="1" x14ac:dyDescent="0.35">
      <c r="A327" s="113"/>
      <c r="B327" s="27"/>
      <c r="C327" s="48"/>
      <c r="D327" s="27"/>
      <c r="E327" s="38"/>
      <c r="F327" s="27"/>
      <c r="G327" s="27"/>
      <c r="H327" s="99"/>
      <c r="M327" s="27"/>
      <c r="N327" s="48"/>
    </row>
    <row r="328" spans="1:14" s="7" customFormat="1" x14ac:dyDescent="0.35">
      <c r="A328" s="113"/>
      <c r="B328" s="27"/>
      <c r="C328" s="48"/>
      <c r="D328" s="27"/>
      <c r="E328" s="38"/>
      <c r="F328" s="27"/>
      <c r="G328" s="27"/>
      <c r="H328" s="99"/>
      <c r="M328" s="27"/>
      <c r="N328" s="48"/>
    </row>
    <row r="329" spans="1:14" s="7" customFormat="1" x14ac:dyDescent="0.35">
      <c r="A329" s="113"/>
      <c r="B329" s="27"/>
      <c r="C329" s="48"/>
      <c r="D329" s="27"/>
      <c r="E329" s="38"/>
      <c r="F329" s="27"/>
      <c r="G329" s="27"/>
      <c r="H329" s="99"/>
      <c r="M329" s="27"/>
      <c r="N329" s="48"/>
    </row>
    <row r="330" spans="1:14" s="7" customFormat="1" x14ac:dyDescent="0.35">
      <c r="A330" s="113"/>
      <c r="B330" s="27"/>
      <c r="C330" s="48"/>
      <c r="D330" s="27"/>
      <c r="E330" s="38"/>
      <c r="F330" s="27"/>
      <c r="G330" s="27"/>
      <c r="H330" s="99"/>
      <c r="M330" s="27"/>
      <c r="N330" s="48"/>
    </row>
    <row r="331" spans="1:14" s="7" customFormat="1" x14ac:dyDescent="0.35">
      <c r="A331" s="113"/>
      <c r="B331" s="27"/>
      <c r="C331" s="48"/>
      <c r="D331" s="27"/>
      <c r="E331" s="38"/>
      <c r="F331" s="27"/>
      <c r="G331" s="27"/>
      <c r="H331" s="99"/>
      <c r="M331" s="27"/>
      <c r="N331" s="48"/>
    </row>
    <row r="332" spans="1:14" s="7" customFormat="1" x14ac:dyDescent="0.35">
      <c r="A332" s="113"/>
      <c r="B332" s="27"/>
      <c r="C332" s="48"/>
      <c r="D332" s="27"/>
      <c r="E332" s="38"/>
      <c r="F332" s="27"/>
      <c r="G332" s="27"/>
      <c r="H332" s="99"/>
      <c r="M332" s="27"/>
      <c r="N332" s="48"/>
    </row>
    <row r="333" spans="1:14" s="7" customFormat="1" x14ac:dyDescent="0.35">
      <c r="A333" s="113"/>
      <c r="B333" s="27"/>
      <c r="C333" s="48"/>
      <c r="D333" s="27"/>
      <c r="E333" s="38"/>
      <c r="F333" s="27"/>
      <c r="G333" s="27"/>
      <c r="H333" s="99"/>
      <c r="M333" s="27"/>
      <c r="N333" s="48"/>
    </row>
    <row r="334" spans="1:14" s="7" customFormat="1" x14ac:dyDescent="0.35">
      <c r="A334" s="113"/>
      <c r="B334" s="27"/>
      <c r="C334" s="48"/>
      <c r="D334" s="27"/>
      <c r="E334" s="38"/>
      <c r="F334" s="27"/>
      <c r="G334" s="27"/>
      <c r="H334" s="99"/>
      <c r="M334" s="27"/>
      <c r="N334" s="48"/>
    </row>
    <row r="335" spans="1:14" s="7" customFormat="1" x14ac:dyDescent="0.35">
      <c r="A335" s="113"/>
      <c r="B335" s="27"/>
      <c r="C335" s="48"/>
      <c r="D335" s="27"/>
      <c r="E335" s="38"/>
      <c r="F335" s="27"/>
      <c r="G335" s="27"/>
      <c r="H335" s="99"/>
      <c r="M335" s="27"/>
      <c r="N335" s="48"/>
    </row>
    <row r="336" spans="1:14" s="7" customFormat="1" x14ac:dyDescent="0.35">
      <c r="A336" s="113"/>
      <c r="B336" s="27"/>
      <c r="C336" s="48"/>
      <c r="D336" s="27"/>
      <c r="E336" s="38"/>
      <c r="F336" s="27"/>
      <c r="G336" s="27"/>
      <c r="H336" s="99"/>
      <c r="M336" s="27"/>
      <c r="N336" s="48"/>
    </row>
    <row r="337" spans="1:14" s="7" customFormat="1" x14ac:dyDescent="0.35">
      <c r="A337" s="113"/>
      <c r="B337" s="27"/>
      <c r="C337" s="48"/>
      <c r="D337" s="27"/>
      <c r="E337" s="38"/>
      <c r="F337" s="27"/>
      <c r="G337" s="27"/>
      <c r="H337" s="99"/>
      <c r="M337" s="27"/>
      <c r="N337" s="48"/>
    </row>
    <row r="338" spans="1:14" s="7" customFormat="1" x14ac:dyDescent="0.35">
      <c r="A338" s="113"/>
      <c r="B338" s="27"/>
      <c r="C338" s="48"/>
      <c r="D338" s="27"/>
      <c r="E338" s="38"/>
      <c r="F338" s="27"/>
      <c r="G338" s="27"/>
      <c r="H338" s="99"/>
      <c r="M338" s="27"/>
      <c r="N338" s="48"/>
    </row>
    <row r="339" spans="1:14" s="7" customFormat="1" x14ac:dyDescent="0.35">
      <c r="A339" s="113"/>
      <c r="B339" s="27"/>
      <c r="C339" s="48"/>
      <c r="D339" s="27"/>
      <c r="E339" s="38"/>
      <c r="F339" s="27"/>
      <c r="G339" s="27"/>
      <c r="H339" s="99"/>
      <c r="M339" s="27"/>
      <c r="N339" s="48"/>
    </row>
    <row r="340" spans="1:14" s="7" customFormat="1" x14ac:dyDescent="0.35">
      <c r="A340" s="113"/>
      <c r="B340" s="27"/>
      <c r="C340" s="48"/>
      <c r="D340" s="27"/>
      <c r="E340" s="38"/>
      <c r="F340" s="27"/>
      <c r="G340" s="27"/>
      <c r="H340" s="99"/>
      <c r="M340" s="27"/>
      <c r="N340" s="48"/>
    </row>
    <row r="341" spans="1:14" s="7" customFormat="1" x14ac:dyDescent="0.35">
      <c r="A341" s="113"/>
      <c r="B341" s="27"/>
      <c r="C341" s="48"/>
      <c r="D341" s="27"/>
      <c r="E341" s="38"/>
      <c r="F341" s="27"/>
      <c r="G341" s="27"/>
      <c r="H341" s="99"/>
      <c r="M341" s="27"/>
      <c r="N341" s="48"/>
    </row>
    <row r="342" spans="1:14" s="7" customFormat="1" x14ac:dyDescent="0.35">
      <c r="A342" s="113"/>
      <c r="B342" s="27"/>
      <c r="C342" s="48"/>
      <c r="D342" s="27"/>
      <c r="E342" s="38"/>
      <c r="F342" s="27"/>
      <c r="G342" s="27"/>
      <c r="H342" s="99"/>
      <c r="M342" s="27"/>
      <c r="N342" s="48"/>
    </row>
    <row r="343" spans="1:14" s="7" customFormat="1" x14ac:dyDescent="0.35">
      <c r="A343" s="113"/>
      <c r="B343" s="27"/>
      <c r="C343" s="48"/>
      <c r="D343" s="27"/>
      <c r="E343" s="38"/>
      <c r="F343" s="27"/>
      <c r="G343" s="27"/>
      <c r="H343" s="99"/>
      <c r="M343" s="27"/>
      <c r="N343" s="48"/>
    </row>
    <row r="344" spans="1:14" s="7" customFormat="1" x14ac:dyDescent="0.35">
      <c r="A344" s="113"/>
      <c r="B344" s="27"/>
      <c r="C344" s="48"/>
      <c r="D344" s="27"/>
      <c r="E344" s="38"/>
      <c r="F344" s="27"/>
      <c r="G344" s="27"/>
      <c r="H344" s="99"/>
      <c r="M344" s="27"/>
      <c r="N344" s="48"/>
    </row>
    <row r="345" spans="1:14" s="7" customFormat="1" x14ac:dyDescent="0.35">
      <c r="A345" s="113"/>
      <c r="B345" s="27"/>
      <c r="C345" s="48"/>
      <c r="D345" s="27"/>
      <c r="E345" s="38"/>
      <c r="F345" s="27"/>
      <c r="G345" s="27"/>
      <c r="H345" s="99"/>
      <c r="M345" s="27"/>
      <c r="N345" s="48"/>
    </row>
    <row r="346" spans="1:14" s="7" customFormat="1" x14ac:dyDescent="0.35">
      <c r="A346" s="113"/>
      <c r="B346" s="27"/>
      <c r="C346" s="48"/>
      <c r="D346" s="27"/>
      <c r="E346" s="38"/>
      <c r="F346" s="27"/>
      <c r="G346" s="27"/>
      <c r="H346" s="99"/>
      <c r="M346" s="27"/>
      <c r="N346" s="48"/>
    </row>
    <row r="347" spans="1:14" s="7" customFormat="1" x14ac:dyDescent="0.35">
      <c r="A347" s="113"/>
      <c r="B347" s="27"/>
      <c r="C347" s="48"/>
      <c r="D347" s="27"/>
      <c r="E347" s="38"/>
      <c r="F347" s="27"/>
      <c r="G347" s="27"/>
      <c r="H347" s="99"/>
      <c r="M347" s="27"/>
      <c r="N347" s="48"/>
    </row>
    <row r="348" spans="1:14" s="7" customFormat="1" x14ac:dyDescent="0.35">
      <c r="A348" s="113"/>
      <c r="B348" s="27"/>
      <c r="C348" s="48"/>
      <c r="D348" s="27"/>
      <c r="E348" s="38"/>
      <c r="F348" s="27"/>
      <c r="G348" s="27"/>
      <c r="H348" s="99"/>
      <c r="M348" s="27"/>
      <c r="N348" s="48"/>
    </row>
    <row r="349" spans="1:14" s="7" customFormat="1" x14ac:dyDescent="0.35">
      <c r="A349" s="113"/>
      <c r="B349" s="27"/>
      <c r="C349" s="48"/>
      <c r="D349" s="27"/>
      <c r="E349" s="38"/>
      <c r="F349" s="27"/>
      <c r="G349" s="27"/>
      <c r="H349" s="99"/>
      <c r="M349" s="27"/>
      <c r="N349" s="48"/>
    </row>
    <row r="350" spans="1:14" s="7" customFormat="1" x14ac:dyDescent="0.35">
      <c r="A350" s="113"/>
      <c r="B350" s="27"/>
      <c r="C350" s="48"/>
      <c r="D350" s="27"/>
      <c r="E350" s="38"/>
      <c r="F350" s="27"/>
      <c r="G350" s="27"/>
      <c r="H350" s="99"/>
      <c r="M350" s="27"/>
      <c r="N350" s="48"/>
    </row>
    <row r="351" spans="1:14" s="7" customFormat="1" x14ac:dyDescent="0.35">
      <c r="A351" s="113"/>
      <c r="B351" s="27"/>
      <c r="C351" s="48"/>
      <c r="D351" s="27"/>
      <c r="E351" s="38"/>
      <c r="F351" s="27"/>
      <c r="G351" s="27"/>
      <c r="H351" s="99"/>
      <c r="M351" s="27"/>
      <c r="N351" s="48"/>
    </row>
    <row r="352" spans="1:14" s="7" customFormat="1" x14ac:dyDescent="0.35">
      <c r="A352" s="113"/>
      <c r="B352" s="27"/>
      <c r="C352" s="48"/>
      <c r="D352" s="27"/>
      <c r="E352" s="38"/>
      <c r="F352" s="27"/>
      <c r="G352" s="27"/>
      <c r="H352" s="99"/>
      <c r="M352" s="27"/>
      <c r="N352" s="48"/>
    </row>
    <row r="353" spans="1:14" s="7" customFormat="1" x14ac:dyDescent="0.35">
      <c r="A353" s="113"/>
      <c r="B353" s="27"/>
      <c r="C353" s="48"/>
      <c r="D353" s="27"/>
      <c r="E353" s="38"/>
      <c r="F353" s="27"/>
      <c r="G353" s="27"/>
      <c r="H353" s="99"/>
      <c r="M353" s="27"/>
      <c r="N353" s="48"/>
    </row>
    <row r="354" spans="1:14" s="7" customFormat="1" x14ac:dyDescent="0.35">
      <c r="A354" s="113"/>
      <c r="B354" s="27"/>
      <c r="C354" s="48"/>
      <c r="D354" s="27"/>
      <c r="E354" s="38"/>
      <c r="F354" s="27"/>
      <c r="G354" s="27"/>
      <c r="H354" s="99"/>
      <c r="M354" s="27"/>
      <c r="N354" s="48"/>
    </row>
    <row r="355" spans="1:14" s="7" customFormat="1" x14ac:dyDescent="0.35">
      <c r="A355" s="113"/>
      <c r="B355" s="27"/>
      <c r="C355" s="48"/>
      <c r="D355" s="27"/>
      <c r="E355" s="38"/>
      <c r="F355" s="27"/>
      <c r="G355" s="27"/>
      <c r="H355" s="99"/>
      <c r="M355" s="27"/>
      <c r="N355" s="48"/>
    </row>
    <row r="356" spans="1:14" s="7" customFormat="1" x14ac:dyDescent="0.35">
      <c r="A356" s="113"/>
      <c r="B356" s="27"/>
      <c r="C356" s="48"/>
      <c r="D356" s="27"/>
      <c r="E356" s="38"/>
      <c r="F356" s="27"/>
      <c r="G356" s="27"/>
      <c r="H356" s="99"/>
      <c r="M356" s="27"/>
      <c r="N356" s="48"/>
    </row>
    <row r="357" spans="1:14" s="7" customFormat="1" x14ac:dyDescent="0.35">
      <c r="A357" s="113"/>
      <c r="B357" s="27"/>
      <c r="C357" s="48"/>
      <c r="D357" s="27"/>
      <c r="E357" s="38"/>
      <c r="F357" s="27"/>
      <c r="G357" s="27"/>
      <c r="H357" s="99"/>
      <c r="M357" s="27"/>
      <c r="N357" s="48"/>
    </row>
    <row r="358" spans="1:14" s="7" customFormat="1" x14ac:dyDescent="0.35">
      <c r="A358" s="113"/>
      <c r="B358" s="27"/>
      <c r="C358" s="48"/>
      <c r="D358" s="27"/>
      <c r="E358" s="38"/>
      <c r="F358" s="27"/>
      <c r="G358" s="27"/>
      <c r="H358" s="99"/>
      <c r="M358" s="27"/>
      <c r="N358" s="48"/>
    </row>
    <row r="359" spans="1:14" s="7" customFormat="1" x14ac:dyDescent="0.35">
      <c r="A359" s="113"/>
      <c r="B359" s="27"/>
      <c r="C359" s="48"/>
      <c r="D359" s="27"/>
      <c r="E359" s="38"/>
      <c r="F359" s="27"/>
      <c r="G359" s="27"/>
      <c r="H359" s="99"/>
      <c r="M359" s="27"/>
      <c r="N359" s="48"/>
    </row>
    <row r="360" spans="1:14" s="7" customFormat="1" x14ac:dyDescent="0.35">
      <c r="A360" s="113"/>
      <c r="B360" s="27"/>
      <c r="C360" s="48"/>
      <c r="D360" s="27"/>
      <c r="E360" s="38"/>
      <c r="F360" s="27"/>
      <c r="G360" s="27"/>
      <c r="H360" s="99"/>
      <c r="M360" s="27"/>
      <c r="N360" s="48"/>
    </row>
    <row r="361" spans="1:14" s="7" customFormat="1" x14ac:dyDescent="0.35">
      <c r="A361" s="113"/>
      <c r="B361" s="27"/>
      <c r="C361" s="48"/>
      <c r="D361" s="27"/>
      <c r="E361" s="38"/>
      <c r="F361" s="27"/>
      <c r="G361" s="27"/>
      <c r="H361" s="99"/>
      <c r="M361" s="27"/>
      <c r="N361" s="48"/>
    </row>
    <row r="362" spans="1:14" s="7" customFormat="1" x14ac:dyDescent="0.35">
      <c r="A362" s="113"/>
      <c r="B362" s="27"/>
      <c r="C362" s="48"/>
      <c r="D362" s="27"/>
      <c r="E362" s="38"/>
      <c r="F362" s="27"/>
      <c r="G362" s="27"/>
      <c r="H362" s="99"/>
      <c r="M362" s="27"/>
      <c r="N362" s="48"/>
    </row>
    <row r="363" spans="1:14" s="7" customFormat="1" x14ac:dyDescent="0.35">
      <c r="A363" s="113"/>
      <c r="B363" s="27"/>
      <c r="C363" s="48"/>
      <c r="D363" s="27"/>
      <c r="E363" s="38"/>
      <c r="F363" s="27"/>
      <c r="G363" s="27"/>
      <c r="H363" s="99"/>
      <c r="M363" s="27"/>
      <c r="N363" s="48"/>
    </row>
    <row r="364" spans="1:14" s="7" customFormat="1" x14ac:dyDescent="0.35">
      <c r="A364" s="113"/>
      <c r="B364" s="27"/>
      <c r="C364" s="48"/>
      <c r="D364" s="27"/>
      <c r="E364" s="38"/>
      <c r="F364" s="27"/>
      <c r="G364" s="27"/>
      <c r="H364" s="99"/>
      <c r="M364" s="27"/>
      <c r="N364" s="48"/>
    </row>
    <row r="365" spans="1:14" s="7" customFormat="1" x14ac:dyDescent="0.35">
      <c r="A365" s="113"/>
      <c r="B365" s="27"/>
      <c r="C365" s="48"/>
      <c r="D365" s="27"/>
      <c r="E365" s="38"/>
      <c r="F365" s="27"/>
      <c r="G365" s="27"/>
      <c r="H365" s="99"/>
      <c r="M365" s="27"/>
      <c r="N365" s="48"/>
    </row>
    <row r="366" spans="1:14" s="7" customFormat="1" x14ac:dyDescent="0.35">
      <c r="A366" s="113"/>
      <c r="B366" s="27"/>
      <c r="C366" s="48"/>
      <c r="D366" s="27"/>
      <c r="E366" s="38"/>
      <c r="F366" s="27"/>
      <c r="G366" s="27"/>
      <c r="H366" s="99"/>
      <c r="M366" s="27"/>
      <c r="N366" s="48"/>
    </row>
    <row r="367" spans="1:14" s="7" customFormat="1" x14ac:dyDescent="0.35">
      <c r="A367" s="113"/>
      <c r="B367" s="27"/>
      <c r="C367" s="48"/>
      <c r="D367" s="27"/>
      <c r="E367" s="38"/>
      <c r="F367" s="27"/>
      <c r="G367" s="27"/>
      <c r="H367" s="99"/>
      <c r="M367" s="27"/>
      <c r="N367" s="48"/>
    </row>
    <row r="368" spans="1:14" s="7" customFormat="1" x14ac:dyDescent="0.35">
      <c r="A368" s="113"/>
      <c r="B368" s="27"/>
      <c r="C368" s="48"/>
      <c r="D368" s="27"/>
      <c r="E368" s="38"/>
      <c r="F368" s="27"/>
      <c r="G368" s="27"/>
      <c r="H368" s="99"/>
      <c r="M368" s="27"/>
      <c r="N368" s="48"/>
    </row>
    <row r="369" spans="1:14" s="7" customFormat="1" x14ac:dyDescent="0.35">
      <c r="A369" s="113"/>
      <c r="B369" s="27"/>
      <c r="C369" s="48"/>
      <c r="D369" s="27"/>
      <c r="E369" s="38"/>
      <c r="F369" s="27"/>
      <c r="G369" s="27"/>
      <c r="H369" s="99"/>
      <c r="M369" s="27"/>
      <c r="N369" s="48"/>
    </row>
    <row r="370" spans="1:14" s="7" customFormat="1" x14ac:dyDescent="0.35">
      <c r="A370" s="113"/>
      <c r="B370" s="27"/>
      <c r="C370" s="48"/>
      <c r="D370" s="27"/>
      <c r="E370" s="38"/>
      <c r="F370" s="27"/>
      <c r="G370" s="27"/>
      <c r="H370" s="99"/>
      <c r="M370" s="27"/>
      <c r="N370" s="48"/>
    </row>
    <row r="371" spans="1:14" s="7" customFormat="1" x14ac:dyDescent="0.35">
      <c r="A371" s="113"/>
      <c r="B371" s="27"/>
      <c r="C371" s="48"/>
      <c r="D371" s="27"/>
      <c r="E371" s="38"/>
      <c r="F371" s="27"/>
      <c r="G371" s="27"/>
      <c r="H371" s="99"/>
      <c r="M371" s="27"/>
      <c r="N371" s="48"/>
    </row>
    <row r="372" spans="1:14" s="7" customFormat="1" x14ac:dyDescent="0.35">
      <c r="A372" s="113"/>
      <c r="B372" s="27"/>
      <c r="C372" s="48"/>
      <c r="D372" s="27"/>
      <c r="E372" s="38"/>
      <c r="F372" s="27"/>
      <c r="G372" s="27"/>
      <c r="H372" s="99"/>
      <c r="M372" s="27"/>
      <c r="N372" s="48"/>
    </row>
    <row r="373" spans="1:14" s="7" customFormat="1" x14ac:dyDescent="0.35">
      <c r="A373" s="113"/>
      <c r="B373" s="27"/>
      <c r="C373" s="48"/>
      <c r="D373" s="27"/>
      <c r="E373" s="38"/>
      <c r="F373" s="27"/>
      <c r="G373" s="27"/>
      <c r="H373" s="99"/>
      <c r="M373" s="27"/>
      <c r="N373" s="48"/>
    </row>
    <row r="374" spans="1:14" s="7" customFormat="1" x14ac:dyDescent="0.35">
      <c r="A374" s="113"/>
      <c r="B374" s="27"/>
      <c r="C374" s="48"/>
      <c r="D374" s="27"/>
      <c r="E374" s="38"/>
      <c r="F374" s="27"/>
      <c r="G374" s="27"/>
      <c r="H374" s="99"/>
      <c r="M374" s="27"/>
      <c r="N374" s="48"/>
    </row>
    <row r="375" spans="1:14" s="7" customFormat="1" x14ac:dyDescent="0.35">
      <c r="A375" s="113"/>
      <c r="B375" s="27"/>
      <c r="C375" s="48"/>
      <c r="D375" s="27"/>
      <c r="E375" s="38"/>
      <c r="F375" s="27"/>
      <c r="G375" s="27"/>
      <c r="H375" s="99"/>
      <c r="M375" s="27"/>
      <c r="N375" s="48"/>
    </row>
    <row r="376" spans="1:14" s="7" customFormat="1" x14ac:dyDescent="0.35">
      <c r="A376" s="113"/>
      <c r="B376" s="27"/>
      <c r="C376" s="48"/>
      <c r="D376" s="27"/>
      <c r="E376" s="38"/>
      <c r="F376" s="27"/>
      <c r="G376" s="27"/>
      <c r="H376" s="99"/>
      <c r="M376" s="27"/>
      <c r="N376" s="48"/>
    </row>
    <row r="377" spans="1:14" s="7" customFormat="1" x14ac:dyDescent="0.35">
      <c r="A377" s="113"/>
      <c r="B377" s="27"/>
      <c r="C377" s="48"/>
      <c r="D377" s="27"/>
      <c r="E377" s="38"/>
      <c r="F377" s="27"/>
      <c r="G377" s="27"/>
      <c r="H377" s="99"/>
      <c r="M377" s="27"/>
      <c r="N377" s="48"/>
    </row>
    <row r="378" spans="1:14" s="7" customFormat="1" x14ac:dyDescent="0.35">
      <c r="A378" s="113"/>
      <c r="B378" s="27"/>
      <c r="C378" s="48"/>
      <c r="D378" s="27"/>
      <c r="E378" s="38"/>
      <c r="F378" s="27"/>
      <c r="G378" s="27"/>
      <c r="H378" s="99"/>
      <c r="M378" s="27"/>
      <c r="N378" s="48"/>
    </row>
    <row r="379" spans="1:14" s="7" customFormat="1" x14ac:dyDescent="0.35">
      <c r="A379" s="113"/>
      <c r="B379" s="27"/>
      <c r="C379" s="48"/>
      <c r="D379" s="27"/>
      <c r="E379" s="38"/>
      <c r="F379" s="27"/>
      <c r="G379" s="27"/>
      <c r="H379" s="99"/>
      <c r="M379" s="27"/>
      <c r="N379" s="48"/>
    </row>
    <row r="380" spans="1:14" s="7" customFormat="1" x14ac:dyDescent="0.35">
      <c r="A380" s="113"/>
      <c r="B380" s="27"/>
      <c r="C380" s="48"/>
      <c r="D380" s="27"/>
      <c r="E380" s="38"/>
      <c r="F380" s="27"/>
      <c r="G380" s="27"/>
      <c r="H380" s="99"/>
      <c r="M380" s="27"/>
      <c r="N380" s="48"/>
    </row>
    <row r="381" spans="1:14" s="7" customFormat="1" x14ac:dyDescent="0.35">
      <c r="A381" s="113"/>
      <c r="B381" s="27"/>
      <c r="C381" s="48"/>
      <c r="D381" s="27"/>
      <c r="E381" s="38"/>
      <c r="F381" s="27"/>
      <c r="G381" s="27"/>
      <c r="H381" s="99"/>
      <c r="M381" s="27"/>
      <c r="N381" s="48"/>
    </row>
    <row r="382" spans="1:14" s="7" customFormat="1" x14ac:dyDescent="0.35">
      <c r="A382" s="113"/>
      <c r="B382" s="27"/>
      <c r="C382" s="48"/>
      <c r="D382" s="27"/>
      <c r="E382" s="38"/>
      <c r="F382" s="27"/>
      <c r="G382" s="27"/>
      <c r="H382" s="99"/>
      <c r="M382" s="27"/>
      <c r="N382" s="48"/>
    </row>
    <row r="383" spans="1:14" s="7" customFormat="1" x14ac:dyDescent="0.35">
      <c r="A383" s="113"/>
      <c r="B383" s="27"/>
      <c r="C383" s="48"/>
      <c r="D383" s="27"/>
      <c r="E383" s="38"/>
      <c r="F383" s="27"/>
      <c r="G383" s="27"/>
      <c r="H383" s="99"/>
      <c r="M383" s="27"/>
      <c r="N383" s="48"/>
    </row>
    <row r="384" spans="1:14" s="7" customFormat="1" x14ac:dyDescent="0.35">
      <c r="A384" s="113"/>
      <c r="B384" s="27"/>
      <c r="C384" s="48"/>
      <c r="D384" s="27"/>
      <c r="E384" s="38"/>
      <c r="F384" s="27"/>
      <c r="G384" s="27"/>
      <c r="H384" s="99"/>
      <c r="M384" s="27"/>
      <c r="N384" s="48"/>
    </row>
    <row r="385" spans="1:14" s="7" customFormat="1" x14ac:dyDescent="0.35">
      <c r="A385" s="113"/>
      <c r="B385" s="27"/>
      <c r="C385" s="48"/>
      <c r="D385" s="27"/>
      <c r="E385" s="38"/>
      <c r="F385" s="27"/>
      <c r="G385" s="27"/>
      <c r="H385" s="99"/>
      <c r="M385" s="27"/>
      <c r="N385" s="48"/>
    </row>
    <row r="386" spans="1:14" s="7" customFormat="1" x14ac:dyDescent="0.35">
      <c r="A386" s="113"/>
      <c r="B386" s="27"/>
      <c r="C386" s="48"/>
      <c r="D386" s="27"/>
      <c r="E386" s="38"/>
      <c r="F386" s="27"/>
      <c r="G386" s="27"/>
      <c r="H386" s="99"/>
      <c r="M386" s="27"/>
      <c r="N386" s="48"/>
    </row>
    <row r="387" spans="1:14" s="7" customFormat="1" x14ac:dyDescent="0.35">
      <c r="A387" s="113"/>
      <c r="B387" s="27"/>
      <c r="C387" s="48"/>
      <c r="D387" s="27"/>
      <c r="E387" s="38"/>
      <c r="F387" s="27"/>
      <c r="G387" s="27"/>
      <c r="H387" s="99"/>
      <c r="M387" s="27"/>
      <c r="N387" s="48"/>
    </row>
    <row r="388" spans="1:14" s="7" customFormat="1" x14ac:dyDescent="0.35">
      <c r="A388" s="113"/>
      <c r="B388" s="27"/>
      <c r="C388" s="48"/>
      <c r="D388" s="27"/>
      <c r="E388" s="38"/>
      <c r="F388" s="27"/>
      <c r="G388" s="27"/>
      <c r="H388" s="99"/>
      <c r="M388" s="27"/>
      <c r="N388" s="48"/>
    </row>
    <row r="389" spans="1:14" s="7" customFormat="1" x14ac:dyDescent="0.35">
      <c r="A389" s="113"/>
      <c r="B389" s="27"/>
      <c r="C389" s="48"/>
      <c r="D389" s="27"/>
      <c r="E389" s="38"/>
      <c r="F389" s="27"/>
      <c r="G389" s="27"/>
      <c r="H389" s="99"/>
      <c r="M389" s="27"/>
      <c r="N389" s="48"/>
    </row>
    <row r="390" spans="1:14" s="7" customFormat="1" x14ac:dyDescent="0.35">
      <c r="A390" s="113"/>
      <c r="B390" s="27"/>
      <c r="C390" s="48"/>
      <c r="D390" s="27"/>
      <c r="E390" s="38"/>
      <c r="F390" s="27"/>
      <c r="G390" s="27"/>
      <c r="H390" s="99"/>
      <c r="M390" s="27"/>
      <c r="N390" s="48"/>
    </row>
    <row r="391" spans="1:14" s="7" customFormat="1" x14ac:dyDescent="0.35">
      <c r="A391" s="113"/>
      <c r="B391" s="27"/>
      <c r="C391" s="48"/>
      <c r="D391" s="27"/>
      <c r="E391" s="38"/>
      <c r="F391" s="27"/>
      <c r="G391" s="27"/>
      <c r="H391" s="99"/>
      <c r="M391" s="27"/>
      <c r="N391" s="48"/>
    </row>
    <row r="392" spans="1:14" s="7" customFormat="1" x14ac:dyDescent="0.35">
      <c r="A392" s="113"/>
      <c r="B392" s="27"/>
      <c r="C392" s="48"/>
      <c r="D392" s="27"/>
      <c r="E392" s="38"/>
      <c r="F392" s="27"/>
      <c r="G392" s="27"/>
      <c r="H392" s="99"/>
      <c r="M392" s="27"/>
      <c r="N392" s="48"/>
    </row>
    <row r="393" spans="1:14" s="7" customFormat="1" x14ac:dyDescent="0.35">
      <c r="A393" s="113"/>
      <c r="B393" s="27"/>
      <c r="C393" s="48"/>
      <c r="D393" s="27"/>
      <c r="E393" s="38"/>
      <c r="F393" s="27"/>
      <c r="G393" s="27"/>
      <c r="H393" s="99"/>
      <c r="M393" s="27"/>
      <c r="N393" s="48"/>
    </row>
    <row r="394" spans="1:14" s="7" customFormat="1" x14ac:dyDescent="0.35">
      <c r="A394" s="113"/>
      <c r="B394" s="27"/>
      <c r="C394" s="48"/>
      <c r="D394" s="27"/>
      <c r="E394" s="38"/>
      <c r="F394" s="27"/>
      <c r="G394" s="27"/>
      <c r="H394" s="99"/>
      <c r="M394" s="27"/>
      <c r="N394" s="48"/>
    </row>
    <row r="395" spans="1:14" s="7" customFormat="1" x14ac:dyDescent="0.35">
      <c r="A395" s="113"/>
      <c r="B395" s="27"/>
      <c r="C395" s="48"/>
      <c r="D395" s="27"/>
      <c r="E395" s="38"/>
      <c r="F395" s="27"/>
      <c r="G395" s="27"/>
      <c r="H395" s="99"/>
      <c r="M395" s="27"/>
      <c r="N395" s="48"/>
    </row>
    <row r="396" spans="1:14" s="7" customFormat="1" x14ac:dyDescent="0.35">
      <c r="A396" s="113"/>
      <c r="B396" s="27"/>
      <c r="C396" s="48"/>
      <c r="D396" s="27"/>
      <c r="E396" s="38"/>
      <c r="F396" s="27"/>
      <c r="G396" s="27"/>
      <c r="H396" s="99"/>
      <c r="M396" s="27"/>
      <c r="N396" s="48"/>
    </row>
    <row r="397" spans="1:14" s="7" customFormat="1" x14ac:dyDescent="0.35">
      <c r="A397" s="113"/>
      <c r="B397" s="27"/>
      <c r="C397" s="48"/>
      <c r="D397" s="27"/>
      <c r="E397" s="38"/>
      <c r="F397" s="27"/>
      <c r="G397" s="27"/>
      <c r="H397" s="99"/>
      <c r="M397" s="27"/>
      <c r="N397" s="48"/>
    </row>
    <row r="398" spans="1:14" s="7" customFormat="1" x14ac:dyDescent="0.35">
      <c r="A398" s="113"/>
      <c r="B398" s="27"/>
      <c r="C398" s="48"/>
      <c r="D398" s="27"/>
      <c r="E398" s="38"/>
      <c r="F398" s="27"/>
      <c r="G398" s="27"/>
      <c r="H398" s="99"/>
      <c r="M398" s="27"/>
      <c r="N398" s="48"/>
    </row>
    <row r="399" spans="1:14" s="7" customFormat="1" x14ac:dyDescent="0.35">
      <c r="A399" s="113"/>
      <c r="B399" s="27"/>
      <c r="C399" s="48"/>
      <c r="D399" s="27"/>
      <c r="E399" s="38"/>
      <c r="F399" s="27"/>
      <c r="G399" s="27"/>
      <c r="H399" s="99"/>
      <c r="M399" s="27"/>
      <c r="N399" s="48"/>
    </row>
    <row r="400" spans="1:14" s="7" customFormat="1" x14ac:dyDescent="0.35">
      <c r="A400" s="113"/>
      <c r="B400" s="27"/>
      <c r="C400" s="48"/>
      <c r="D400" s="27"/>
      <c r="E400" s="38"/>
      <c r="F400" s="27"/>
      <c r="G400" s="27"/>
      <c r="H400" s="99"/>
      <c r="M400" s="27"/>
      <c r="N400" s="48"/>
    </row>
    <row r="401" spans="1:14" s="7" customFormat="1" x14ac:dyDescent="0.35">
      <c r="A401" s="113"/>
      <c r="B401" s="27"/>
      <c r="C401" s="48"/>
      <c r="D401" s="27"/>
      <c r="E401" s="38"/>
      <c r="F401" s="27"/>
      <c r="G401" s="27"/>
      <c r="H401" s="99"/>
      <c r="M401" s="27"/>
      <c r="N401" s="48"/>
    </row>
    <row r="402" spans="1:14" s="7" customFormat="1" x14ac:dyDescent="0.35">
      <c r="A402" s="113"/>
      <c r="B402" s="27"/>
      <c r="C402" s="48"/>
      <c r="D402" s="27"/>
      <c r="E402" s="38"/>
      <c r="F402" s="27"/>
      <c r="G402" s="27"/>
      <c r="H402" s="99"/>
      <c r="M402" s="27"/>
      <c r="N402" s="48"/>
    </row>
    <row r="403" spans="1:14" s="7" customFormat="1" x14ac:dyDescent="0.35">
      <c r="A403" s="113"/>
      <c r="B403" s="27"/>
      <c r="C403" s="48"/>
      <c r="D403" s="27"/>
      <c r="E403" s="38"/>
      <c r="F403" s="27"/>
      <c r="G403" s="27"/>
      <c r="H403" s="99"/>
      <c r="M403" s="27"/>
      <c r="N403" s="48"/>
    </row>
    <row r="404" spans="1:14" s="7" customFormat="1" x14ac:dyDescent="0.35">
      <c r="A404" s="113"/>
      <c r="B404" s="27"/>
      <c r="C404" s="48"/>
      <c r="D404" s="27"/>
      <c r="E404" s="38"/>
      <c r="F404" s="27"/>
      <c r="G404" s="27"/>
      <c r="H404" s="99"/>
      <c r="M404" s="27"/>
      <c r="N404" s="48"/>
    </row>
    <row r="405" spans="1:14" s="7" customFormat="1" x14ac:dyDescent="0.35">
      <c r="A405" s="113"/>
      <c r="B405" s="27"/>
      <c r="C405" s="48"/>
      <c r="D405" s="27"/>
      <c r="E405" s="38"/>
      <c r="F405" s="27"/>
      <c r="G405" s="27"/>
      <c r="H405" s="99"/>
      <c r="M405" s="27"/>
      <c r="N405" s="48"/>
    </row>
    <row r="406" spans="1:14" s="7" customFormat="1" x14ac:dyDescent="0.35">
      <c r="A406" s="113"/>
      <c r="B406" s="27"/>
      <c r="C406" s="48"/>
      <c r="D406" s="27"/>
      <c r="E406" s="38"/>
      <c r="F406" s="27"/>
      <c r="G406" s="27"/>
      <c r="H406" s="99"/>
      <c r="M406" s="27"/>
      <c r="N406" s="48"/>
    </row>
    <row r="407" spans="1:14" s="7" customFormat="1" x14ac:dyDescent="0.35">
      <c r="A407" s="113"/>
      <c r="B407" s="27"/>
      <c r="C407" s="48"/>
      <c r="D407" s="27"/>
      <c r="E407" s="38"/>
      <c r="F407" s="27"/>
      <c r="G407" s="27"/>
      <c r="H407" s="99"/>
      <c r="M407" s="27"/>
      <c r="N407" s="48"/>
    </row>
    <row r="408" spans="1:14" s="7" customFormat="1" x14ac:dyDescent="0.35">
      <c r="A408" s="113"/>
      <c r="B408" s="27"/>
      <c r="C408" s="48"/>
      <c r="D408" s="27"/>
      <c r="E408" s="38"/>
      <c r="F408" s="27"/>
      <c r="G408" s="27"/>
      <c r="H408" s="99"/>
      <c r="M408" s="27"/>
      <c r="N408" s="48"/>
    </row>
    <row r="409" spans="1:14" s="7" customFormat="1" x14ac:dyDescent="0.35">
      <c r="A409" s="113"/>
      <c r="B409" s="27"/>
      <c r="C409" s="48"/>
      <c r="D409" s="27"/>
      <c r="E409" s="38"/>
      <c r="F409" s="27"/>
      <c r="G409" s="27"/>
      <c r="H409" s="99"/>
      <c r="M409" s="27"/>
      <c r="N409" s="48"/>
    </row>
    <row r="410" spans="1:14" s="7" customFormat="1" x14ac:dyDescent="0.35">
      <c r="A410" s="113"/>
      <c r="B410" s="27"/>
      <c r="C410" s="48"/>
      <c r="D410" s="27"/>
      <c r="E410" s="38"/>
      <c r="F410" s="27"/>
      <c r="G410" s="27"/>
      <c r="H410" s="99"/>
      <c r="M410" s="27"/>
      <c r="N410" s="48"/>
    </row>
    <row r="411" spans="1:14" s="7" customFormat="1" x14ac:dyDescent="0.35">
      <c r="A411" s="113"/>
      <c r="B411" s="27"/>
      <c r="C411" s="48"/>
      <c r="D411" s="27"/>
      <c r="E411" s="38"/>
      <c r="F411" s="27"/>
      <c r="G411" s="27"/>
      <c r="H411" s="99"/>
      <c r="M411" s="27"/>
      <c r="N411" s="48"/>
    </row>
    <row r="412" spans="1:14" s="7" customFormat="1" x14ac:dyDescent="0.35">
      <c r="A412" s="113"/>
      <c r="B412" s="27"/>
      <c r="C412" s="48"/>
      <c r="D412" s="27"/>
      <c r="E412" s="38"/>
      <c r="F412" s="27"/>
      <c r="G412" s="27"/>
      <c r="H412" s="99"/>
      <c r="M412" s="27"/>
      <c r="N412" s="48"/>
    </row>
    <row r="413" spans="1:14" s="7" customFormat="1" x14ac:dyDescent="0.35">
      <c r="A413" s="113"/>
      <c r="B413" s="27"/>
      <c r="C413" s="48"/>
      <c r="D413" s="27"/>
      <c r="E413" s="38"/>
      <c r="F413" s="27"/>
      <c r="G413" s="27"/>
      <c r="H413" s="99"/>
      <c r="M413" s="27"/>
      <c r="N413" s="48"/>
    </row>
    <row r="414" spans="1:14" s="7" customFormat="1" x14ac:dyDescent="0.35">
      <c r="A414" s="113"/>
      <c r="B414" s="27"/>
      <c r="C414" s="48"/>
      <c r="D414" s="27"/>
      <c r="E414" s="38"/>
      <c r="F414" s="27"/>
      <c r="G414" s="27"/>
      <c r="H414" s="99"/>
      <c r="M414" s="27"/>
      <c r="N414" s="48"/>
    </row>
    <row r="415" spans="1:14" s="7" customFormat="1" x14ac:dyDescent="0.35">
      <c r="A415" s="113"/>
      <c r="B415" s="27"/>
      <c r="C415" s="48"/>
      <c r="D415" s="27"/>
      <c r="E415" s="38"/>
      <c r="F415" s="27"/>
      <c r="G415" s="27"/>
      <c r="H415" s="99"/>
      <c r="M415" s="27"/>
      <c r="N415" s="48"/>
    </row>
    <row r="416" spans="1:14" s="7" customFormat="1" x14ac:dyDescent="0.35">
      <c r="A416" s="113"/>
      <c r="B416" s="27"/>
      <c r="C416" s="48"/>
      <c r="D416" s="27"/>
      <c r="E416" s="38"/>
      <c r="F416" s="27"/>
      <c r="G416" s="27"/>
      <c r="H416" s="99"/>
      <c r="M416" s="27"/>
      <c r="N416" s="48"/>
    </row>
    <row r="417" spans="1:14" s="7" customFormat="1" x14ac:dyDescent="0.35">
      <c r="A417" s="113"/>
      <c r="B417" s="27"/>
      <c r="C417" s="48"/>
      <c r="D417" s="27"/>
      <c r="E417" s="38"/>
      <c r="F417" s="27"/>
      <c r="G417" s="27"/>
      <c r="H417" s="99"/>
      <c r="M417" s="27"/>
      <c r="N417" s="48"/>
    </row>
    <row r="418" spans="1:14" s="7" customFormat="1" x14ac:dyDescent="0.35">
      <c r="A418" s="113"/>
      <c r="B418" s="27"/>
      <c r="C418" s="48"/>
      <c r="D418" s="27"/>
      <c r="E418" s="38"/>
      <c r="F418" s="27"/>
      <c r="G418" s="27"/>
      <c r="H418" s="99"/>
      <c r="M418" s="27"/>
      <c r="N418" s="48"/>
    </row>
    <row r="419" spans="1:14" s="7" customFormat="1" x14ac:dyDescent="0.35">
      <c r="A419" s="113"/>
      <c r="B419" s="27"/>
      <c r="C419" s="48"/>
      <c r="D419" s="27"/>
      <c r="E419" s="38"/>
      <c r="F419" s="27"/>
      <c r="G419" s="27"/>
      <c r="H419" s="99"/>
      <c r="M419" s="27"/>
      <c r="N419" s="48"/>
    </row>
    <row r="420" spans="1:14" s="7" customFormat="1" x14ac:dyDescent="0.35">
      <c r="A420" s="113"/>
      <c r="B420" s="27"/>
      <c r="C420" s="48"/>
      <c r="D420" s="27"/>
      <c r="E420" s="38"/>
      <c r="F420" s="27"/>
      <c r="G420" s="27"/>
      <c r="H420" s="99"/>
      <c r="M420" s="27"/>
      <c r="N420" s="48"/>
    </row>
    <row r="421" spans="1:14" s="7" customFormat="1" x14ac:dyDescent="0.35">
      <c r="A421" s="113"/>
      <c r="B421" s="27"/>
      <c r="C421" s="48"/>
      <c r="D421" s="27"/>
      <c r="E421" s="38"/>
      <c r="F421" s="27"/>
      <c r="G421" s="27"/>
      <c r="H421" s="99"/>
      <c r="M421" s="27"/>
      <c r="N421" s="48"/>
    </row>
    <row r="422" spans="1:14" s="7" customFormat="1" x14ac:dyDescent="0.35">
      <c r="A422" s="113"/>
      <c r="B422" s="27"/>
      <c r="C422" s="48"/>
      <c r="D422" s="27"/>
      <c r="E422" s="38"/>
      <c r="F422" s="27"/>
      <c r="G422" s="27"/>
      <c r="H422" s="99"/>
      <c r="M422" s="27"/>
      <c r="N422" s="48"/>
    </row>
    <row r="423" spans="1:14" s="7" customFormat="1" x14ac:dyDescent="0.35">
      <c r="A423" s="113"/>
      <c r="B423" s="27"/>
      <c r="C423" s="48"/>
      <c r="D423" s="27"/>
      <c r="E423" s="38"/>
      <c r="F423" s="27"/>
      <c r="G423" s="27"/>
      <c r="H423" s="99"/>
      <c r="M423" s="27"/>
      <c r="N423" s="48"/>
    </row>
    <row r="424" spans="1:14" s="7" customFormat="1" x14ac:dyDescent="0.35">
      <c r="A424" s="113"/>
      <c r="B424" s="27"/>
      <c r="C424" s="48"/>
      <c r="D424" s="27"/>
      <c r="E424" s="38"/>
      <c r="F424" s="27"/>
      <c r="G424" s="27"/>
      <c r="H424" s="99"/>
      <c r="M424" s="27"/>
      <c r="N424" s="48"/>
    </row>
    <row r="425" spans="1:14" s="7" customFormat="1" x14ac:dyDescent="0.35">
      <c r="A425" s="113"/>
      <c r="B425" s="27"/>
      <c r="C425" s="48"/>
      <c r="D425" s="27"/>
      <c r="E425" s="38"/>
      <c r="F425" s="27"/>
      <c r="G425" s="27"/>
      <c r="H425" s="99"/>
      <c r="M425" s="27"/>
      <c r="N425" s="48"/>
    </row>
    <row r="426" spans="1:14" s="7" customFormat="1" x14ac:dyDescent="0.35">
      <c r="A426" s="113"/>
      <c r="B426" s="27"/>
      <c r="C426" s="48"/>
      <c r="D426" s="27"/>
      <c r="E426" s="38"/>
      <c r="F426" s="27"/>
      <c r="G426" s="27"/>
      <c r="H426" s="99"/>
      <c r="M426" s="27"/>
      <c r="N426" s="48"/>
    </row>
    <row r="427" spans="1:14" s="7" customFormat="1" x14ac:dyDescent="0.35">
      <c r="A427" s="113"/>
      <c r="B427" s="27"/>
      <c r="C427" s="48"/>
      <c r="D427" s="27"/>
      <c r="E427" s="38"/>
      <c r="F427" s="27"/>
      <c r="G427" s="27"/>
      <c r="H427" s="99"/>
      <c r="M427" s="27"/>
      <c r="N427" s="48"/>
    </row>
    <row r="428" spans="1:14" s="7" customFormat="1" x14ac:dyDescent="0.35">
      <c r="A428" s="113"/>
      <c r="B428" s="27"/>
      <c r="C428" s="48"/>
      <c r="D428" s="27"/>
      <c r="E428" s="38"/>
      <c r="F428" s="27"/>
      <c r="G428" s="27"/>
      <c r="H428" s="99"/>
      <c r="M428" s="27"/>
      <c r="N428" s="48"/>
    </row>
    <row r="429" spans="1:14" s="7" customFormat="1" x14ac:dyDescent="0.35">
      <c r="A429" s="113"/>
      <c r="B429" s="27"/>
      <c r="C429" s="48"/>
      <c r="D429" s="27"/>
      <c r="E429" s="38"/>
      <c r="F429" s="27"/>
      <c r="G429" s="27"/>
      <c r="H429" s="99"/>
      <c r="M429" s="27"/>
      <c r="N429" s="48"/>
    </row>
    <row r="430" spans="1:14" s="7" customFormat="1" x14ac:dyDescent="0.35">
      <c r="A430" s="113"/>
      <c r="B430" s="27"/>
      <c r="C430" s="48"/>
      <c r="D430" s="27"/>
      <c r="E430" s="38"/>
      <c r="F430" s="27"/>
      <c r="G430" s="27"/>
      <c r="H430" s="99"/>
      <c r="M430" s="27"/>
      <c r="N430" s="48"/>
    </row>
    <row r="431" spans="1:14" s="7" customFormat="1" x14ac:dyDescent="0.35">
      <c r="A431" s="113"/>
      <c r="B431" s="27"/>
      <c r="C431" s="48"/>
      <c r="D431" s="27"/>
      <c r="E431" s="38"/>
      <c r="F431" s="27"/>
      <c r="G431" s="27"/>
      <c r="H431" s="99"/>
      <c r="M431" s="27"/>
      <c r="N431" s="48"/>
    </row>
    <row r="432" spans="1:14" s="7" customFormat="1" x14ac:dyDescent="0.35">
      <c r="A432" s="113"/>
      <c r="B432" s="27"/>
      <c r="C432" s="48"/>
      <c r="D432" s="27"/>
      <c r="E432" s="38"/>
      <c r="F432" s="27"/>
      <c r="G432" s="27"/>
      <c r="H432" s="99"/>
      <c r="M432" s="27"/>
      <c r="N432" s="48"/>
    </row>
    <row r="433" spans="1:14" s="7" customFormat="1" x14ac:dyDescent="0.35">
      <c r="A433" s="113"/>
      <c r="B433" s="27"/>
      <c r="C433" s="48"/>
      <c r="D433" s="27"/>
      <c r="E433" s="38"/>
      <c r="F433" s="27"/>
      <c r="G433" s="27"/>
      <c r="H433" s="99"/>
      <c r="M433" s="27"/>
      <c r="N433" s="48"/>
    </row>
    <row r="434" spans="1:14" s="7" customFormat="1" x14ac:dyDescent="0.35">
      <c r="A434" s="113"/>
      <c r="B434" s="27"/>
      <c r="C434" s="48"/>
      <c r="D434" s="27"/>
      <c r="E434" s="38"/>
      <c r="F434" s="27"/>
      <c r="G434" s="27"/>
      <c r="H434" s="99"/>
      <c r="M434" s="27"/>
      <c r="N434" s="48"/>
    </row>
    <row r="435" spans="1:14" s="7" customFormat="1" x14ac:dyDescent="0.35">
      <c r="A435" s="113"/>
      <c r="B435" s="27"/>
      <c r="C435" s="48"/>
      <c r="D435" s="27"/>
      <c r="E435" s="38"/>
      <c r="F435" s="27"/>
      <c r="G435" s="27"/>
      <c r="H435" s="99"/>
      <c r="M435" s="27"/>
      <c r="N435" s="48"/>
    </row>
    <row r="436" spans="1:14" s="7" customFormat="1" x14ac:dyDescent="0.35">
      <c r="A436" s="113"/>
      <c r="B436" s="27"/>
      <c r="C436" s="48"/>
      <c r="D436" s="27"/>
      <c r="E436" s="38"/>
      <c r="F436" s="27"/>
      <c r="G436" s="27"/>
      <c r="H436" s="99"/>
      <c r="M436" s="27"/>
      <c r="N436" s="48"/>
    </row>
    <row r="437" spans="1:14" s="7" customFormat="1" x14ac:dyDescent="0.35">
      <c r="A437" s="113"/>
      <c r="B437" s="27"/>
      <c r="C437" s="48"/>
      <c r="D437" s="27"/>
      <c r="E437" s="38"/>
      <c r="F437" s="27"/>
      <c r="G437" s="27"/>
      <c r="H437" s="99"/>
      <c r="M437" s="27"/>
      <c r="N437" s="48"/>
    </row>
    <row r="438" spans="1:14" s="7" customFormat="1" x14ac:dyDescent="0.35">
      <c r="A438" s="113"/>
      <c r="B438" s="27"/>
      <c r="C438" s="48"/>
      <c r="D438" s="27"/>
      <c r="E438" s="38"/>
      <c r="F438" s="27"/>
      <c r="G438" s="27"/>
      <c r="H438" s="99"/>
      <c r="M438" s="27"/>
      <c r="N438" s="48"/>
    </row>
    <row r="439" spans="1:14" s="7" customFormat="1" x14ac:dyDescent="0.35">
      <c r="A439" s="113"/>
      <c r="B439" s="27"/>
      <c r="C439" s="48"/>
      <c r="D439" s="27"/>
      <c r="E439" s="38"/>
      <c r="F439" s="27"/>
      <c r="G439" s="27"/>
      <c r="H439" s="99"/>
      <c r="M439" s="27"/>
      <c r="N439" s="48"/>
    </row>
    <row r="440" spans="1:14" s="7" customFormat="1" x14ac:dyDescent="0.35">
      <c r="A440" s="113"/>
      <c r="B440" s="27"/>
      <c r="C440" s="48"/>
      <c r="D440" s="27"/>
      <c r="E440" s="38"/>
      <c r="F440" s="27"/>
      <c r="G440" s="27"/>
      <c r="H440" s="99"/>
      <c r="M440" s="27"/>
      <c r="N440" s="48"/>
    </row>
    <row r="441" spans="1:14" s="7" customFormat="1" x14ac:dyDescent="0.35">
      <c r="A441" s="113"/>
      <c r="B441" s="27"/>
      <c r="C441" s="48"/>
      <c r="D441" s="27"/>
      <c r="E441" s="38"/>
      <c r="F441" s="27"/>
      <c r="G441" s="27"/>
      <c r="H441" s="99"/>
      <c r="M441" s="27"/>
      <c r="N441" s="48"/>
    </row>
    <row r="442" spans="1:14" s="7" customFormat="1" x14ac:dyDescent="0.35">
      <c r="A442" s="113"/>
      <c r="B442" s="27"/>
      <c r="C442" s="48"/>
      <c r="D442" s="27"/>
      <c r="E442" s="38"/>
      <c r="F442" s="27"/>
      <c r="G442" s="27"/>
      <c r="H442" s="99"/>
      <c r="M442" s="27"/>
      <c r="N442" s="48"/>
    </row>
    <row r="443" spans="1:14" s="7" customFormat="1" x14ac:dyDescent="0.35">
      <c r="A443" s="113"/>
      <c r="B443" s="27"/>
      <c r="C443" s="48"/>
      <c r="D443" s="27"/>
      <c r="E443" s="38"/>
      <c r="F443" s="27"/>
      <c r="G443" s="27"/>
      <c r="H443" s="99"/>
      <c r="M443" s="27"/>
      <c r="N443" s="48"/>
    </row>
    <row r="444" spans="1:14" s="7" customFormat="1" x14ac:dyDescent="0.35">
      <c r="A444" s="113"/>
      <c r="B444" s="27"/>
      <c r="C444" s="48"/>
      <c r="D444" s="27"/>
      <c r="E444" s="38"/>
      <c r="F444" s="27"/>
      <c r="G444" s="27"/>
      <c r="H444" s="99"/>
      <c r="M444" s="27"/>
      <c r="N444" s="48"/>
    </row>
    <row r="445" spans="1:14" s="7" customFormat="1" x14ac:dyDescent="0.35">
      <c r="A445" s="113"/>
      <c r="B445" s="27"/>
      <c r="C445" s="48"/>
      <c r="D445" s="27"/>
      <c r="E445" s="38"/>
      <c r="F445" s="27"/>
      <c r="G445" s="27"/>
      <c r="H445" s="99"/>
      <c r="M445" s="27"/>
      <c r="N445" s="48"/>
    </row>
    <row r="446" spans="1:14" s="7" customFormat="1" x14ac:dyDescent="0.35">
      <c r="A446" s="113"/>
      <c r="B446" s="27"/>
      <c r="C446" s="48"/>
      <c r="D446" s="27"/>
      <c r="E446" s="38"/>
      <c r="F446" s="27"/>
      <c r="G446" s="27"/>
      <c r="H446" s="99"/>
      <c r="M446" s="27"/>
      <c r="N446" s="48"/>
    </row>
    <row r="447" spans="1:14" s="7" customFormat="1" x14ac:dyDescent="0.35">
      <c r="A447" s="113"/>
      <c r="B447" s="27"/>
      <c r="C447" s="48"/>
      <c r="D447" s="27"/>
      <c r="E447" s="38"/>
      <c r="F447" s="27"/>
      <c r="G447" s="27"/>
      <c r="H447" s="99"/>
      <c r="M447" s="27"/>
      <c r="N447" s="48"/>
    </row>
    <row r="448" spans="1:14" s="7" customFormat="1" x14ac:dyDescent="0.35">
      <c r="A448" s="113"/>
      <c r="B448" s="27"/>
      <c r="C448" s="48"/>
      <c r="D448" s="27"/>
      <c r="E448" s="38"/>
      <c r="F448" s="27"/>
      <c r="G448" s="27"/>
      <c r="H448" s="99"/>
      <c r="M448" s="27"/>
      <c r="N448" s="48"/>
    </row>
    <row r="449" spans="1:14" s="7" customFormat="1" x14ac:dyDescent="0.35">
      <c r="A449" s="113"/>
      <c r="B449" s="27"/>
      <c r="C449" s="48"/>
      <c r="D449" s="27"/>
      <c r="E449" s="38"/>
      <c r="F449" s="27"/>
      <c r="G449" s="27"/>
      <c r="H449" s="99"/>
      <c r="M449" s="27"/>
      <c r="N449" s="48"/>
    </row>
    <row r="450" spans="1:14" s="7" customFormat="1" x14ac:dyDescent="0.35">
      <c r="A450" s="113"/>
      <c r="B450" s="27"/>
      <c r="C450" s="48"/>
      <c r="D450" s="27"/>
      <c r="E450" s="38"/>
      <c r="F450" s="27"/>
      <c r="G450" s="27"/>
      <c r="H450" s="99"/>
      <c r="M450" s="27"/>
      <c r="N450" s="48"/>
    </row>
    <row r="451" spans="1:14" s="7" customFormat="1" x14ac:dyDescent="0.35">
      <c r="A451" s="113"/>
      <c r="B451" s="27"/>
      <c r="C451" s="48"/>
      <c r="D451" s="27"/>
      <c r="E451" s="38"/>
      <c r="F451" s="27"/>
      <c r="G451" s="27"/>
      <c r="H451" s="99"/>
      <c r="M451" s="27"/>
      <c r="N451" s="48"/>
    </row>
    <row r="452" spans="1:14" s="7" customFormat="1" x14ac:dyDescent="0.35">
      <c r="A452" s="113"/>
      <c r="B452" s="27"/>
      <c r="C452" s="48"/>
      <c r="D452" s="27"/>
      <c r="E452" s="38"/>
      <c r="F452" s="27"/>
      <c r="G452" s="27"/>
      <c r="H452" s="99"/>
      <c r="M452" s="27"/>
      <c r="N452" s="48"/>
    </row>
    <row r="453" spans="1:14" s="7" customFormat="1" x14ac:dyDescent="0.35">
      <c r="A453" s="113"/>
      <c r="B453" s="27"/>
      <c r="C453" s="48"/>
      <c r="D453" s="27"/>
      <c r="E453" s="38"/>
      <c r="F453" s="27"/>
      <c r="G453" s="27"/>
      <c r="H453" s="99"/>
      <c r="M453" s="27"/>
      <c r="N453" s="48"/>
    </row>
    <row r="454" spans="1:14" s="7" customFormat="1" x14ac:dyDescent="0.35">
      <c r="A454" s="113"/>
      <c r="B454" s="27"/>
      <c r="C454" s="48"/>
      <c r="D454" s="27"/>
      <c r="E454" s="38"/>
      <c r="F454" s="27"/>
      <c r="G454" s="27"/>
      <c r="H454" s="99"/>
      <c r="M454" s="27"/>
      <c r="N454" s="48"/>
    </row>
    <row r="455" spans="1:14" s="7" customFormat="1" x14ac:dyDescent="0.35">
      <c r="A455" s="113"/>
      <c r="B455" s="27"/>
      <c r="C455" s="48"/>
      <c r="D455" s="27"/>
      <c r="E455" s="38"/>
      <c r="F455" s="27"/>
      <c r="G455" s="27"/>
      <c r="H455" s="99"/>
      <c r="M455" s="27"/>
      <c r="N455" s="48"/>
    </row>
    <row r="456" spans="1:14" s="7" customFormat="1" x14ac:dyDescent="0.35">
      <c r="A456" s="113"/>
      <c r="B456" s="27"/>
      <c r="C456" s="48"/>
      <c r="D456" s="27"/>
      <c r="E456" s="38"/>
      <c r="F456" s="27"/>
      <c r="G456" s="27"/>
      <c r="H456" s="99"/>
      <c r="M456" s="27"/>
      <c r="N456" s="48"/>
    </row>
    <row r="457" spans="1:14" s="7" customFormat="1" x14ac:dyDescent="0.35">
      <c r="A457" s="113"/>
      <c r="B457" s="27"/>
      <c r="C457" s="48"/>
      <c r="D457" s="27"/>
      <c r="E457" s="38"/>
      <c r="F457" s="27"/>
      <c r="G457" s="27"/>
      <c r="H457" s="99"/>
      <c r="M457" s="27"/>
      <c r="N457" s="48"/>
    </row>
    <row r="458" spans="1:14" s="7" customFormat="1" x14ac:dyDescent="0.35">
      <c r="A458" s="113"/>
      <c r="B458" s="27"/>
      <c r="C458" s="48"/>
      <c r="D458" s="27"/>
      <c r="E458" s="38"/>
      <c r="F458" s="27"/>
      <c r="G458" s="27"/>
      <c r="H458" s="99"/>
      <c r="M458" s="27"/>
      <c r="N458" s="48"/>
    </row>
    <row r="459" spans="1:14" s="7" customFormat="1" x14ac:dyDescent="0.35">
      <c r="A459" s="113"/>
      <c r="B459" s="27"/>
      <c r="C459" s="48"/>
      <c r="D459" s="27"/>
      <c r="E459" s="38"/>
      <c r="F459" s="27"/>
      <c r="G459" s="27"/>
      <c r="H459" s="99"/>
      <c r="M459" s="27"/>
      <c r="N459" s="48"/>
    </row>
    <row r="460" spans="1:14" s="7" customFormat="1" x14ac:dyDescent="0.35">
      <c r="A460" s="113"/>
      <c r="B460" s="27"/>
      <c r="C460" s="48"/>
      <c r="D460" s="27"/>
      <c r="E460" s="38"/>
      <c r="F460" s="27"/>
      <c r="G460" s="27"/>
      <c r="H460" s="99"/>
      <c r="M460" s="27"/>
      <c r="N460" s="48"/>
    </row>
    <row r="461" spans="1:14" s="7" customFormat="1" x14ac:dyDescent="0.35">
      <c r="A461" s="113"/>
      <c r="B461" s="27"/>
      <c r="C461" s="48"/>
      <c r="D461" s="27"/>
      <c r="E461" s="38"/>
      <c r="F461" s="27"/>
      <c r="G461" s="27"/>
      <c r="H461" s="99"/>
      <c r="M461" s="27"/>
      <c r="N461" s="48"/>
    </row>
    <row r="462" spans="1:14" s="7" customFormat="1" x14ac:dyDescent="0.35">
      <c r="A462" s="113"/>
      <c r="B462" s="27"/>
      <c r="C462" s="48"/>
      <c r="D462" s="27"/>
      <c r="E462" s="38"/>
      <c r="F462" s="27"/>
      <c r="G462" s="27"/>
      <c r="H462" s="99"/>
      <c r="M462" s="27"/>
      <c r="N462" s="48"/>
    </row>
    <row r="463" spans="1:14" s="7" customFormat="1" x14ac:dyDescent="0.35">
      <c r="A463" s="113"/>
      <c r="B463" s="27"/>
      <c r="C463" s="48"/>
      <c r="D463" s="27"/>
      <c r="E463" s="38"/>
      <c r="F463" s="27"/>
      <c r="G463" s="27"/>
      <c r="H463" s="99"/>
      <c r="M463" s="27"/>
      <c r="N463" s="48"/>
    </row>
    <row r="464" spans="1:14" s="7" customFormat="1" x14ac:dyDescent="0.35">
      <c r="A464" s="113"/>
      <c r="B464" s="27"/>
      <c r="C464" s="48"/>
      <c r="D464" s="27"/>
      <c r="E464" s="38"/>
      <c r="F464" s="27"/>
      <c r="G464" s="27"/>
      <c r="H464" s="99"/>
      <c r="M464" s="27"/>
      <c r="N464" s="48"/>
    </row>
    <row r="465" spans="1:14" s="7" customFormat="1" x14ac:dyDescent="0.35">
      <c r="A465" s="113"/>
      <c r="B465" s="27"/>
      <c r="C465" s="48"/>
      <c r="D465" s="27"/>
      <c r="E465" s="38"/>
      <c r="F465" s="27"/>
      <c r="G465" s="27"/>
      <c r="H465" s="99"/>
      <c r="M465" s="27"/>
      <c r="N465" s="48"/>
    </row>
    <row r="466" spans="1:14" s="7" customFormat="1" x14ac:dyDescent="0.35">
      <c r="A466" s="113"/>
      <c r="B466" s="27"/>
      <c r="C466" s="48"/>
      <c r="D466" s="27"/>
      <c r="E466" s="38"/>
      <c r="F466" s="27"/>
      <c r="G466" s="27"/>
      <c r="H466" s="99"/>
      <c r="M466" s="27"/>
      <c r="N466" s="48"/>
    </row>
    <row r="467" spans="1:14" s="7" customFormat="1" x14ac:dyDescent="0.35">
      <c r="A467" s="113"/>
      <c r="B467" s="27"/>
      <c r="C467" s="48"/>
      <c r="D467" s="27"/>
      <c r="E467" s="38"/>
      <c r="F467" s="27"/>
      <c r="G467" s="27"/>
      <c r="H467" s="99"/>
      <c r="M467" s="27"/>
      <c r="N467" s="48"/>
    </row>
    <row r="468" spans="1:14" s="7" customFormat="1" x14ac:dyDescent="0.35">
      <c r="A468" s="113"/>
      <c r="B468" s="27"/>
      <c r="C468" s="48"/>
      <c r="D468" s="27"/>
      <c r="E468" s="38"/>
      <c r="F468" s="27"/>
      <c r="G468" s="27"/>
      <c r="H468" s="99"/>
      <c r="M468" s="27"/>
      <c r="N468" s="48"/>
    </row>
    <row r="469" spans="1:14" s="7" customFormat="1" x14ac:dyDescent="0.35">
      <c r="A469" s="113"/>
      <c r="B469" s="27"/>
      <c r="C469" s="48"/>
      <c r="D469" s="27"/>
      <c r="E469" s="38"/>
      <c r="F469" s="27"/>
      <c r="G469" s="27"/>
      <c r="H469" s="99"/>
      <c r="M469" s="27"/>
      <c r="N469" s="48"/>
    </row>
    <row r="470" spans="1:14" s="7" customFormat="1" x14ac:dyDescent="0.35">
      <c r="A470" s="113"/>
      <c r="B470" s="27"/>
      <c r="C470" s="48"/>
      <c r="D470" s="27"/>
      <c r="E470" s="38"/>
      <c r="F470" s="27"/>
      <c r="G470" s="27"/>
      <c r="H470" s="99"/>
      <c r="M470" s="27"/>
      <c r="N470" s="48"/>
    </row>
    <row r="471" spans="1:14" s="7" customFormat="1" x14ac:dyDescent="0.35">
      <c r="A471" s="113"/>
      <c r="B471" s="27"/>
      <c r="C471" s="48"/>
      <c r="D471" s="27"/>
      <c r="E471" s="38"/>
      <c r="F471" s="27"/>
      <c r="G471" s="27"/>
      <c r="H471" s="99"/>
      <c r="M471" s="27"/>
      <c r="N471" s="48"/>
    </row>
    <row r="472" spans="1:14" s="7" customFormat="1" x14ac:dyDescent="0.35">
      <c r="A472" s="113"/>
      <c r="B472" s="27"/>
      <c r="C472" s="48"/>
      <c r="D472" s="27"/>
      <c r="E472" s="38"/>
      <c r="F472" s="27"/>
      <c r="G472" s="27"/>
      <c r="H472" s="99"/>
      <c r="M472" s="27"/>
      <c r="N472" s="48"/>
    </row>
    <row r="473" spans="1:14" s="7" customFormat="1" x14ac:dyDescent="0.35">
      <c r="A473" s="113"/>
      <c r="B473" s="27"/>
      <c r="C473" s="48"/>
      <c r="D473" s="27"/>
      <c r="E473" s="38"/>
      <c r="F473" s="27"/>
      <c r="G473" s="27"/>
      <c r="H473" s="99"/>
      <c r="M473" s="27"/>
      <c r="N473" s="48"/>
    </row>
    <row r="474" spans="1:14" s="7" customFormat="1" x14ac:dyDescent="0.35">
      <c r="A474" s="113"/>
      <c r="B474" s="27"/>
      <c r="C474" s="48"/>
      <c r="D474" s="27"/>
      <c r="E474" s="38"/>
      <c r="F474" s="27"/>
      <c r="G474" s="27"/>
      <c r="H474" s="99"/>
      <c r="M474" s="27"/>
      <c r="N474" s="48"/>
    </row>
    <row r="475" spans="1:14" s="7" customFormat="1" x14ac:dyDescent="0.35">
      <c r="A475" s="113"/>
      <c r="B475" s="27"/>
      <c r="C475" s="48"/>
      <c r="D475" s="27"/>
      <c r="E475" s="38"/>
      <c r="F475" s="27"/>
      <c r="G475" s="27"/>
      <c r="H475" s="99"/>
      <c r="M475" s="27"/>
      <c r="N475" s="48"/>
    </row>
    <row r="476" spans="1:14" s="7" customFormat="1" x14ac:dyDescent="0.35">
      <c r="A476" s="113"/>
      <c r="B476" s="27"/>
      <c r="C476" s="48"/>
      <c r="D476" s="27"/>
      <c r="E476" s="38"/>
      <c r="F476" s="27"/>
      <c r="G476" s="27"/>
      <c r="H476" s="99"/>
      <c r="M476" s="27"/>
      <c r="N476" s="48"/>
    </row>
    <row r="477" spans="1:14" s="7" customFormat="1" x14ac:dyDescent="0.35">
      <c r="A477" s="113"/>
      <c r="B477" s="27"/>
      <c r="C477" s="48"/>
      <c r="D477" s="27"/>
      <c r="E477" s="38"/>
      <c r="F477" s="27"/>
      <c r="G477" s="27"/>
      <c r="H477" s="99"/>
      <c r="M477" s="27"/>
      <c r="N477" s="48"/>
    </row>
    <row r="478" spans="1:14" s="7" customFormat="1" x14ac:dyDescent="0.35">
      <c r="A478" s="113"/>
      <c r="B478" s="27"/>
      <c r="C478" s="48"/>
      <c r="D478" s="27"/>
      <c r="E478" s="38"/>
      <c r="F478" s="27"/>
      <c r="G478" s="27"/>
      <c r="H478" s="99"/>
      <c r="M478" s="27"/>
      <c r="N478" s="48"/>
    </row>
    <row r="479" spans="1:14" s="7" customFormat="1" x14ac:dyDescent="0.35">
      <c r="A479" s="113"/>
      <c r="B479" s="27"/>
      <c r="C479" s="48"/>
      <c r="D479" s="27"/>
      <c r="E479" s="38"/>
      <c r="F479" s="27"/>
      <c r="G479" s="27"/>
      <c r="H479" s="99"/>
      <c r="M479" s="27"/>
      <c r="N479" s="48"/>
    </row>
    <row r="480" spans="1:14" s="7" customFormat="1" x14ac:dyDescent="0.35">
      <c r="A480" s="113"/>
      <c r="B480" s="27"/>
      <c r="C480" s="48"/>
      <c r="D480" s="27"/>
      <c r="E480" s="38"/>
      <c r="F480" s="27"/>
      <c r="G480" s="27"/>
      <c r="H480" s="99"/>
      <c r="M480" s="27"/>
      <c r="N480" s="48"/>
    </row>
    <row r="481" spans="1:14" s="7" customFormat="1" x14ac:dyDescent="0.35">
      <c r="A481" s="113"/>
      <c r="B481" s="27"/>
      <c r="C481" s="48"/>
      <c r="D481" s="27"/>
      <c r="E481" s="38"/>
      <c r="F481" s="27"/>
      <c r="G481" s="27"/>
      <c r="H481" s="99"/>
      <c r="M481" s="27"/>
      <c r="N481" s="48"/>
    </row>
    <row r="482" spans="1:14" s="7" customFormat="1" x14ac:dyDescent="0.35">
      <c r="A482" s="113"/>
      <c r="B482" s="27"/>
      <c r="C482" s="48"/>
      <c r="D482" s="27"/>
      <c r="E482" s="38"/>
      <c r="F482" s="27"/>
      <c r="G482" s="27"/>
      <c r="H482" s="99"/>
      <c r="M482" s="27"/>
      <c r="N482" s="48"/>
    </row>
    <row r="483" spans="1:14" s="7" customFormat="1" x14ac:dyDescent="0.35">
      <c r="A483" s="113"/>
      <c r="B483" s="27"/>
      <c r="C483" s="48"/>
      <c r="D483" s="27"/>
      <c r="E483" s="38"/>
      <c r="F483" s="27"/>
      <c r="G483" s="27"/>
      <c r="H483" s="99"/>
      <c r="M483" s="27"/>
      <c r="N483" s="48"/>
    </row>
    <row r="484" spans="1:14" s="7" customFormat="1" x14ac:dyDescent="0.35">
      <c r="A484" s="113"/>
      <c r="B484" s="27"/>
      <c r="C484" s="48"/>
      <c r="D484" s="27"/>
      <c r="E484" s="38"/>
      <c r="F484" s="27"/>
      <c r="G484" s="27"/>
      <c r="H484" s="99"/>
      <c r="M484" s="27"/>
      <c r="N484" s="48"/>
    </row>
    <row r="485" spans="1:14" s="7" customFormat="1" x14ac:dyDescent="0.35">
      <c r="A485" s="113"/>
      <c r="B485" s="27"/>
      <c r="C485" s="48"/>
      <c r="D485" s="27"/>
      <c r="E485" s="38"/>
      <c r="F485" s="27"/>
      <c r="G485" s="27"/>
      <c r="H485" s="99"/>
      <c r="M485" s="27"/>
      <c r="N485" s="48"/>
    </row>
    <row r="486" spans="1:14" s="7" customFormat="1" x14ac:dyDescent="0.35">
      <c r="A486" s="113"/>
      <c r="B486" s="27"/>
      <c r="C486" s="48"/>
      <c r="D486" s="27"/>
      <c r="E486" s="38"/>
      <c r="F486" s="27"/>
      <c r="G486" s="27"/>
      <c r="H486" s="99"/>
      <c r="M486" s="27"/>
      <c r="N486" s="48"/>
    </row>
    <row r="487" spans="1:14" s="7" customFormat="1" x14ac:dyDescent="0.35">
      <c r="A487" s="113"/>
      <c r="B487" s="27"/>
      <c r="C487" s="48"/>
      <c r="D487" s="27"/>
      <c r="E487" s="38"/>
      <c r="F487" s="27"/>
      <c r="G487" s="27"/>
      <c r="H487" s="99"/>
      <c r="M487" s="27"/>
      <c r="N487" s="48"/>
    </row>
    <row r="488" spans="1:14" s="7" customFormat="1" x14ac:dyDescent="0.35">
      <c r="A488" s="113"/>
      <c r="B488" s="27"/>
      <c r="C488" s="48"/>
      <c r="D488" s="27"/>
      <c r="E488" s="38"/>
      <c r="F488" s="27"/>
      <c r="G488" s="27"/>
      <c r="H488" s="99"/>
      <c r="M488" s="27"/>
      <c r="N488" s="48"/>
    </row>
    <row r="489" spans="1:14" s="7" customFormat="1" x14ac:dyDescent="0.35">
      <c r="A489" s="113"/>
      <c r="B489" s="27"/>
      <c r="C489" s="48"/>
      <c r="D489" s="27"/>
      <c r="E489" s="38"/>
      <c r="F489" s="27"/>
      <c r="G489" s="27"/>
      <c r="H489" s="99"/>
      <c r="M489" s="27"/>
      <c r="N489" s="48"/>
    </row>
    <row r="490" spans="1:14" s="7" customFormat="1" x14ac:dyDescent="0.35">
      <c r="A490" s="113"/>
      <c r="B490" s="27"/>
      <c r="C490" s="48"/>
      <c r="D490" s="27"/>
      <c r="E490" s="38"/>
      <c r="F490" s="27"/>
      <c r="G490" s="27"/>
      <c r="H490" s="99"/>
      <c r="M490" s="27"/>
      <c r="N490" s="48"/>
    </row>
    <row r="491" spans="1:14" s="7" customFormat="1" x14ac:dyDescent="0.35">
      <c r="A491" s="113"/>
      <c r="B491" s="27"/>
      <c r="C491" s="48"/>
      <c r="D491" s="27"/>
      <c r="E491" s="38"/>
      <c r="F491" s="27"/>
      <c r="G491" s="27"/>
      <c r="H491" s="99"/>
      <c r="M491" s="27"/>
      <c r="N491" s="48"/>
    </row>
    <row r="492" spans="1:14" s="7" customFormat="1" x14ac:dyDescent="0.35">
      <c r="A492" s="113"/>
      <c r="B492" s="27"/>
      <c r="C492" s="48"/>
      <c r="D492" s="27"/>
      <c r="E492" s="38"/>
      <c r="F492" s="27"/>
      <c r="G492" s="27"/>
      <c r="H492" s="99"/>
      <c r="M492" s="27"/>
      <c r="N492" s="48"/>
    </row>
    <row r="493" spans="1:14" s="7" customFormat="1" x14ac:dyDescent="0.35">
      <c r="A493" s="113"/>
      <c r="B493" s="27"/>
      <c r="C493" s="48"/>
      <c r="D493" s="27"/>
      <c r="E493" s="38"/>
      <c r="F493" s="27"/>
      <c r="G493" s="27"/>
      <c r="H493" s="99"/>
      <c r="M493" s="27"/>
      <c r="N493" s="48"/>
    </row>
    <row r="494" spans="1:14" s="7" customFormat="1" x14ac:dyDescent="0.35">
      <c r="A494" s="113"/>
      <c r="B494" s="27"/>
      <c r="C494" s="48"/>
      <c r="D494" s="27"/>
      <c r="E494" s="38"/>
      <c r="F494" s="27"/>
      <c r="G494" s="27"/>
      <c r="H494" s="99"/>
      <c r="M494" s="27"/>
      <c r="N494" s="48"/>
    </row>
    <row r="495" spans="1:14" s="7" customFormat="1" x14ac:dyDescent="0.35">
      <c r="A495" s="113"/>
      <c r="B495" s="27"/>
      <c r="C495" s="48"/>
      <c r="D495" s="27"/>
      <c r="E495" s="38"/>
      <c r="F495" s="27"/>
      <c r="G495" s="27"/>
      <c r="H495" s="99"/>
      <c r="M495" s="27"/>
      <c r="N495" s="48"/>
    </row>
    <row r="496" spans="1:14" s="7" customFormat="1" x14ac:dyDescent="0.35">
      <c r="A496" s="113"/>
      <c r="B496" s="27"/>
      <c r="C496" s="48"/>
      <c r="D496" s="27"/>
      <c r="E496" s="38"/>
      <c r="F496" s="27"/>
      <c r="G496" s="27"/>
      <c r="H496" s="99"/>
      <c r="M496" s="27"/>
      <c r="N496" s="48"/>
    </row>
    <row r="497" spans="1:14" s="7" customFormat="1" x14ac:dyDescent="0.35">
      <c r="A497" s="113"/>
      <c r="B497" s="27"/>
      <c r="C497" s="48"/>
      <c r="D497" s="27"/>
      <c r="E497" s="38"/>
      <c r="F497" s="27"/>
      <c r="G497" s="27"/>
      <c r="H497" s="99"/>
      <c r="M497" s="27"/>
      <c r="N497" s="48"/>
    </row>
    <row r="498" spans="1:14" s="7" customFormat="1" x14ac:dyDescent="0.35">
      <c r="A498" s="113"/>
      <c r="B498" s="27"/>
      <c r="C498" s="48"/>
      <c r="D498" s="27"/>
      <c r="E498" s="38"/>
      <c r="F498" s="27"/>
      <c r="G498" s="27"/>
      <c r="H498" s="99"/>
      <c r="M498" s="27"/>
      <c r="N498" s="48"/>
    </row>
    <row r="499" spans="1:14" s="7" customFormat="1" x14ac:dyDescent="0.35">
      <c r="A499" s="113"/>
      <c r="B499" s="27"/>
      <c r="C499" s="48"/>
      <c r="D499" s="27"/>
      <c r="E499" s="38"/>
      <c r="F499" s="27"/>
      <c r="G499" s="27"/>
      <c r="H499" s="99"/>
      <c r="M499" s="27"/>
      <c r="N499" s="48"/>
    </row>
    <row r="500" spans="1:14" s="7" customFormat="1" x14ac:dyDescent="0.35">
      <c r="A500" s="113"/>
      <c r="B500" s="27"/>
      <c r="C500" s="48"/>
      <c r="D500" s="27"/>
      <c r="E500" s="38"/>
      <c r="F500" s="27"/>
      <c r="G500" s="27"/>
      <c r="H500" s="99"/>
      <c r="M500" s="27"/>
      <c r="N500" s="48"/>
    </row>
    <row r="501" spans="1:14" s="7" customFormat="1" x14ac:dyDescent="0.35">
      <c r="A501" s="113"/>
      <c r="B501" s="27"/>
      <c r="C501" s="48"/>
      <c r="D501" s="27"/>
      <c r="E501" s="38"/>
      <c r="F501" s="27"/>
      <c r="G501" s="27"/>
      <c r="H501" s="99"/>
      <c r="M501" s="27"/>
      <c r="N501" s="48"/>
    </row>
    <row r="502" spans="1:14" s="7" customFormat="1" x14ac:dyDescent="0.35">
      <c r="A502" s="113"/>
      <c r="B502" s="27"/>
      <c r="C502" s="48"/>
      <c r="D502" s="27"/>
      <c r="E502" s="38"/>
      <c r="F502" s="27"/>
      <c r="G502" s="27"/>
      <c r="H502" s="99"/>
      <c r="M502" s="27"/>
      <c r="N502" s="48"/>
    </row>
    <row r="503" spans="1:14" s="7" customFormat="1" x14ac:dyDescent="0.35">
      <c r="A503" s="113"/>
      <c r="B503" s="27"/>
      <c r="C503" s="48"/>
      <c r="D503" s="27"/>
      <c r="E503" s="38"/>
      <c r="F503" s="27"/>
      <c r="G503" s="27"/>
      <c r="H503" s="99"/>
      <c r="M503" s="27"/>
      <c r="N503" s="48"/>
    </row>
    <row r="504" spans="1:14" s="7" customFormat="1" x14ac:dyDescent="0.35">
      <c r="A504" s="113"/>
      <c r="B504" s="27"/>
      <c r="C504" s="48"/>
      <c r="D504" s="27"/>
      <c r="E504" s="38"/>
      <c r="F504" s="27"/>
      <c r="G504" s="27"/>
      <c r="H504" s="99"/>
      <c r="M504" s="27"/>
      <c r="N504" s="48"/>
    </row>
    <row r="505" spans="1:14" s="7" customFormat="1" x14ac:dyDescent="0.35">
      <c r="A505" s="113"/>
      <c r="B505" s="27"/>
      <c r="C505" s="48"/>
      <c r="D505" s="27"/>
      <c r="E505" s="38"/>
      <c r="F505" s="27"/>
      <c r="G505" s="27"/>
      <c r="H505" s="99"/>
      <c r="M505" s="27"/>
      <c r="N505" s="48"/>
    </row>
    <row r="506" spans="1:14" s="7" customFormat="1" x14ac:dyDescent="0.35">
      <c r="A506" s="113"/>
      <c r="B506" s="27"/>
      <c r="C506" s="48"/>
      <c r="D506" s="27"/>
      <c r="E506" s="38"/>
      <c r="F506" s="27"/>
      <c r="G506" s="27"/>
      <c r="H506" s="99"/>
      <c r="M506" s="27"/>
      <c r="N506" s="48"/>
    </row>
    <row r="507" spans="1:14" s="7" customFormat="1" x14ac:dyDescent="0.35">
      <c r="A507" s="113"/>
      <c r="B507" s="27"/>
      <c r="C507" s="48"/>
      <c r="D507" s="27"/>
      <c r="E507" s="38"/>
      <c r="F507" s="27"/>
      <c r="G507" s="27"/>
      <c r="H507" s="99"/>
      <c r="M507" s="27"/>
      <c r="N507" s="48"/>
    </row>
    <row r="508" spans="1:14" s="7" customFormat="1" x14ac:dyDescent="0.35">
      <c r="A508" s="113"/>
      <c r="B508" s="27"/>
      <c r="C508" s="48"/>
      <c r="D508" s="27"/>
      <c r="E508" s="38"/>
      <c r="F508" s="27"/>
      <c r="G508" s="27"/>
      <c r="H508" s="99"/>
      <c r="M508" s="27"/>
      <c r="N508" s="48"/>
    </row>
    <row r="509" spans="1:14" s="7" customFormat="1" x14ac:dyDescent="0.35">
      <c r="A509" s="113"/>
      <c r="B509" s="27"/>
      <c r="C509" s="48"/>
      <c r="D509" s="27"/>
      <c r="E509" s="38"/>
      <c r="F509" s="27"/>
      <c r="G509" s="27"/>
      <c r="H509" s="99"/>
      <c r="M509" s="27"/>
      <c r="N509" s="48"/>
    </row>
    <row r="510" spans="1:14" s="7" customFormat="1" x14ac:dyDescent="0.35">
      <c r="A510" s="113"/>
      <c r="B510" s="27"/>
      <c r="C510" s="48"/>
      <c r="D510" s="27"/>
      <c r="E510" s="38"/>
      <c r="F510" s="27"/>
      <c r="G510" s="27"/>
      <c r="H510" s="99"/>
      <c r="M510" s="27"/>
      <c r="N510" s="48"/>
    </row>
    <row r="511" spans="1:14" s="7" customFormat="1" x14ac:dyDescent="0.35">
      <c r="A511" s="113"/>
      <c r="B511" s="27"/>
      <c r="C511" s="48"/>
      <c r="D511" s="27"/>
      <c r="E511" s="38"/>
      <c r="F511" s="27"/>
      <c r="G511" s="27"/>
      <c r="H511" s="99"/>
      <c r="M511" s="27"/>
      <c r="N511" s="48"/>
    </row>
    <row r="512" spans="1:14" s="7" customFormat="1" x14ac:dyDescent="0.35">
      <c r="A512" s="113"/>
      <c r="B512" s="27"/>
      <c r="C512" s="48"/>
      <c r="D512" s="27"/>
      <c r="E512" s="38"/>
      <c r="F512" s="27"/>
      <c r="G512" s="27"/>
      <c r="H512" s="99"/>
      <c r="M512" s="27"/>
      <c r="N512" s="48"/>
    </row>
    <row r="513" spans="1:14" s="7" customFormat="1" x14ac:dyDescent="0.35">
      <c r="A513" s="113"/>
      <c r="B513" s="27"/>
      <c r="C513" s="48"/>
      <c r="D513" s="27"/>
      <c r="E513" s="38"/>
      <c r="F513" s="27"/>
      <c r="G513" s="27"/>
      <c r="H513" s="99"/>
      <c r="M513" s="27"/>
      <c r="N513" s="48"/>
    </row>
    <row r="514" spans="1:14" s="7" customFormat="1" x14ac:dyDescent="0.35">
      <c r="A514" s="113"/>
      <c r="B514" s="27"/>
      <c r="C514" s="48"/>
      <c r="D514" s="27"/>
      <c r="E514" s="38"/>
      <c r="F514" s="27"/>
      <c r="G514" s="27"/>
      <c r="H514" s="99"/>
      <c r="M514" s="27"/>
      <c r="N514" s="48"/>
    </row>
    <row r="515" spans="1:14" s="7" customFormat="1" x14ac:dyDescent="0.35">
      <c r="A515" s="113"/>
      <c r="B515" s="27"/>
      <c r="C515" s="48"/>
      <c r="D515" s="27"/>
      <c r="E515" s="38"/>
      <c r="F515" s="27"/>
      <c r="G515" s="27"/>
      <c r="H515" s="99"/>
      <c r="M515" s="27"/>
      <c r="N515" s="48"/>
    </row>
    <row r="516" spans="1:14" s="7" customFormat="1" x14ac:dyDescent="0.35">
      <c r="A516" s="113"/>
      <c r="B516" s="27"/>
      <c r="C516" s="48"/>
      <c r="D516" s="27"/>
      <c r="E516" s="38"/>
      <c r="F516" s="27"/>
      <c r="G516" s="27"/>
      <c r="H516" s="99"/>
      <c r="M516" s="27"/>
      <c r="N516" s="48"/>
    </row>
    <row r="517" spans="1:14" s="7" customFormat="1" x14ac:dyDescent="0.35">
      <c r="A517" s="113"/>
      <c r="B517" s="27"/>
      <c r="C517" s="48"/>
      <c r="D517" s="27"/>
      <c r="E517" s="38"/>
      <c r="F517" s="27"/>
      <c r="G517" s="27"/>
      <c r="H517" s="99"/>
      <c r="M517" s="27"/>
      <c r="N517" s="48"/>
    </row>
    <row r="518" spans="1:14" s="7" customFormat="1" x14ac:dyDescent="0.35">
      <c r="A518" s="113"/>
      <c r="B518" s="27"/>
      <c r="C518" s="48"/>
      <c r="D518" s="27"/>
      <c r="E518" s="38"/>
      <c r="F518" s="27"/>
      <c r="G518" s="27"/>
      <c r="H518" s="99"/>
      <c r="M518" s="27"/>
      <c r="N518" s="48"/>
    </row>
    <row r="519" spans="1:14" s="7" customFormat="1" x14ac:dyDescent="0.35">
      <c r="A519" s="113"/>
      <c r="B519" s="27"/>
      <c r="C519" s="48"/>
      <c r="D519" s="27"/>
      <c r="E519" s="38"/>
      <c r="F519" s="27"/>
      <c r="G519" s="27"/>
      <c r="H519" s="99"/>
      <c r="M519" s="27"/>
      <c r="N519" s="48"/>
    </row>
    <row r="520" spans="1:14" s="7" customFormat="1" x14ac:dyDescent="0.35">
      <c r="A520" s="113"/>
      <c r="B520" s="27"/>
      <c r="C520" s="48"/>
      <c r="D520" s="27"/>
      <c r="E520" s="38"/>
      <c r="F520" s="27"/>
      <c r="G520" s="27"/>
      <c r="H520" s="99"/>
      <c r="M520" s="27"/>
      <c r="N520" s="48"/>
    </row>
    <row r="521" spans="1:14" s="7" customFormat="1" x14ac:dyDescent="0.35">
      <c r="A521" s="113"/>
      <c r="B521" s="27"/>
      <c r="C521" s="48"/>
      <c r="D521" s="27"/>
      <c r="E521" s="38"/>
      <c r="F521" s="27"/>
      <c r="G521" s="27"/>
      <c r="H521" s="99"/>
      <c r="M521" s="27"/>
      <c r="N521" s="48"/>
    </row>
    <row r="522" spans="1:14" s="7" customFormat="1" x14ac:dyDescent="0.35">
      <c r="A522" s="113"/>
      <c r="B522" s="27"/>
      <c r="C522" s="48"/>
      <c r="D522" s="27"/>
      <c r="E522" s="38"/>
      <c r="F522" s="27"/>
      <c r="G522" s="27"/>
      <c r="H522" s="99"/>
      <c r="M522" s="27"/>
      <c r="N522" s="48"/>
    </row>
    <row r="523" spans="1:14" s="7" customFormat="1" x14ac:dyDescent="0.35">
      <c r="A523" s="113"/>
      <c r="B523" s="27"/>
      <c r="C523" s="48"/>
      <c r="D523" s="27"/>
      <c r="E523" s="38"/>
      <c r="F523" s="27"/>
      <c r="G523" s="27"/>
      <c r="H523" s="99"/>
      <c r="M523" s="27"/>
      <c r="N523" s="48"/>
    </row>
    <row r="524" spans="1:14" s="7" customFormat="1" x14ac:dyDescent="0.35">
      <c r="A524" s="113"/>
      <c r="B524" s="27"/>
      <c r="C524" s="48"/>
      <c r="D524" s="27"/>
      <c r="E524" s="38"/>
      <c r="F524" s="27"/>
      <c r="G524" s="27"/>
      <c r="H524" s="99"/>
      <c r="M524" s="27"/>
      <c r="N524" s="48"/>
    </row>
    <row r="525" spans="1:14" s="7" customFormat="1" x14ac:dyDescent="0.35">
      <c r="A525" s="113"/>
      <c r="B525" s="27"/>
      <c r="C525" s="48"/>
      <c r="D525" s="27"/>
      <c r="E525" s="38"/>
      <c r="F525" s="27"/>
      <c r="G525" s="27"/>
      <c r="H525" s="99"/>
      <c r="M525" s="27"/>
      <c r="N525" s="48"/>
    </row>
    <row r="526" spans="1:14" s="7" customFormat="1" x14ac:dyDescent="0.35">
      <c r="A526" s="113"/>
      <c r="B526" s="27"/>
      <c r="C526" s="48"/>
      <c r="D526" s="27"/>
      <c r="E526" s="38"/>
      <c r="F526" s="27"/>
      <c r="G526" s="27"/>
      <c r="H526" s="99"/>
      <c r="M526" s="27"/>
      <c r="N526" s="48"/>
    </row>
    <row r="527" spans="1:14" s="7" customFormat="1" x14ac:dyDescent="0.35">
      <c r="A527" s="113"/>
      <c r="B527" s="27"/>
      <c r="C527" s="48"/>
      <c r="D527" s="27"/>
      <c r="E527" s="38"/>
      <c r="F527" s="27"/>
      <c r="G527" s="27"/>
      <c r="H527" s="99"/>
      <c r="M527" s="27"/>
      <c r="N527" s="48"/>
    </row>
    <row r="528" spans="1:14" s="7" customFormat="1" x14ac:dyDescent="0.35">
      <c r="A528" s="113"/>
      <c r="B528" s="27"/>
      <c r="C528" s="48"/>
      <c r="D528" s="27"/>
      <c r="E528" s="38"/>
      <c r="F528" s="27"/>
      <c r="G528" s="27"/>
      <c r="H528" s="99"/>
      <c r="M528" s="27"/>
      <c r="N528" s="48"/>
    </row>
    <row r="529" spans="1:14" s="7" customFormat="1" x14ac:dyDescent="0.35">
      <c r="A529" s="113"/>
      <c r="B529" s="27"/>
      <c r="C529" s="48"/>
      <c r="D529" s="27"/>
      <c r="E529" s="38"/>
      <c r="F529" s="27"/>
      <c r="G529" s="27"/>
      <c r="H529" s="99"/>
      <c r="M529" s="27"/>
      <c r="N529" s="48"/>
    </row>
    <row r="530" spans="1:14" s="7" customFormat="1" x14ac:dyDescent="0.35">
      <c r="A530" s="113"/>
      <c r="B530" s="27"/>
      <c r="C530" s="48"/>
      <c r="D530" s="27"/>
      <c r="E530" s="38"/>
      <c r="F530" s="27"/>
      <c r="G530" s="27"/>
      <c r="H530" s="99"/>
      <c r="M530" s="27"/>
      <c r="N530" s="48"/>
    </row>
    <row r="531" spans="1:14" s="7" customFormat="1" x14ac:dyDescent="0.35">
      <c r="A531" s="113"/>
      <c r="B531" s="27"/>
      <c r="C531" s="48"/>
      <c r="D531" s="27"/>
      <c r="E531" s="38"/>
      <c r="F531" s="27"/>
      <c r="G531" s="27"/>
      <c r="H531" s="99"/>
      <c r="M531" s="27"/>
      <c r="N531" s="48"/>
    </row>
    <row r="532" spans="1:14" s="7" customFormat="1" x14ac:dyDescent="0.35">
      <c r="A532" s="113"/>
      <c r="B532" s="27"/>
      <c r="C532" s="48"/>
      <c r="D532" s="27"/>
      <c r="E532" s="38"/>
      <c r="F532" s="27"/>
      <c r="G532" s="27"/>
      <c r="H532" s="99"/>
      <c r="M532" s="27"/>
      <c r="N532" s="48"/>
    </row>
    <row r="533" spans="1:14" s="7" customFormat="1" x14ac:dyDescent="0.35">
      <c r="A533" s="113"/>
      <c r="B533" s="27"/>
      <c r="C533" s="48"/>
      <c r="D533" s="27"/>
      <c r="E533" s="38"/>
      <c r="F533" s="27"/>
      <c r="G533" s="27"/>
      <c r="H533" s="99"/>
      <c r="M533" s="27"/>
      <c r="N533" s="48"/>
    </row>
    <row r="534" spans="1:14" s="7" customFormat="1" x14ac:dyDescent="0.35">
      <c r="A534" s="113"/>
      <c r="B534" s="27"/>
      <c r="C534" s="48"/>
      <c r="D534" s="27"/>
      <c r="E534" s="38"/>
      <c r="F534" s="27"/>
      <c r="G534" s="27"/>
      <c r="H534" s="99"/>
      <c r="M534" s="27"/>
      <c r="N534" s="48"/>
    </row>
    <row r="535" spans="1:14" s="7" customFormat="1" x14ac:dyDescent="0.35">
      <c r="A535" s="113"/>
      <c r="B535" s="27"/>
      <c r="C535" s="48"/>
      <c r="D535" s="27"/>
      <c r="E535" s="38"/>
      <c r="F535" s="27"/>
      <c r="G535" s="27"/>
      <c r="H535" s="99"/>
      <c r="M535" s="27"/>
      <c r="N535" s="48"/>
    </row>
    <row r="536" spans="1:14" s="7" customFormat="1" x14ac:dyDescent="0.35">
      <c r="A536" s="113"/>
      <c r="B536" s="27"/>
      <c r="C536" s="48"/>
      <c r="D536" s="27"/>
      <c r="E536" s="38"/>
      <c r="F536" s="27"/>
      <c r="G536" s="27"/>
      <c r="H536" s="99"/>
      <c r="M536" s="27"/>
      <c r="N536" s="48"/>
    </row>
    <row r="537" spans="1:14" s="7" customFormat="1" x14ac:dyDescent="0.35">
      <c r="A537" s="113"/>
      <c r="B537" s="27"/>
      <c r="C537" s="48"/>
      <c r="D537" s="27"/>
      <c r="E537" s="38"/>
      <c r="F537" s="27"/>
      <c r="G537" s="27"/>
      <c r="H537" s="99"/>
      <c r="M537" s="27"/>
      <c r="N537" s="48"/>
    </row>
    <row r="538" spans="1:14" s="7" customFormat="1" x14ac:dyDescent="0.35">
      <c r="A538" s="113"/>
      <c r="B538" s="27"/>
      <c r="C538" s="48"/>
      <c r="D538" s="27"/>
      <c r="E538" s="38"/>
      <c r="F538" s="27"/>
      <c r="G538" s="27"/>
      <c r="H538" s="99"/>
      <c r="M538" s="27"/>
      <c r="N538" s="48"/>
    </row>
    <row r="539" spans="1:14" s="7" customFormat="1" x14ac:dyDescent="0.35">
      <c r="A539" s="113"/>
      <c r="B539" s="27"/>
      <c r="C539" s="48"/>
      <c r="D539" s="27"/>
      <c r="E539" s="38"/>
      <c r="F539" s="27"/>
      <c r="G539" s="27"/>
      <c r="H539" s="99"/>
      <c r="M539" s="27"/>
      <c r="N539" s="48"/>
    </row>
    <row r="540" spans="1:14" s="7" customFormat="1" x14ac:dyDescent="0.35">
      <c r="A540" s="113"/>
      <c r="B540" s="27"/>
      <c r="C540" s="48"/>
      <c r="D540" s="27"/>
      <c r="E540" s="38"/>
      <c r="F540" s="27"/>
      <c r="G540" s="27"/>
      <c r="H540" s="99"/>
      <c r="M540" s="27"/>
      <c r="N540" s="48"/>
    </row>
    <row r="541" spans="1:14" s="7" customFormat="1" x14ac:dyDescent="0.35">
      <c r="A541" s="113"/>
      <c r="B541" s="27"/>
      <c r="C541" s="48"/>
      <c r="D541" s="27"/>
      <c r="E541" s="38"/>
      <c r="F541" s="27"/>
      <c r="G541" s="27"/>
      <c r="H541" s="99"/>
      <c r="M541" s="27"/>
      <c r="N541" s="48"/>
    </row>
    <row r="542" spans="1:14" s="7" customFormat="1" x14ac:dyDescent="0.35">
      <c r="A542" s="113"/>
      <c r="B542" s="27"/>
      <c r="C542" s="48"/>
      <c r="D542" s="27"/>
      <c r="E542" s="38"/>
      <c r="F542" s="27"/>
      <c r="G542" s="27"/>
      <c r="H542" s="99"/>
      <c r="M542" s="27"/>
      <c r="N542" s="48"/>
    </row>
    <row r="543" spans="1:14" s="7" customFormat="1" x14ac:dyDescent="0.35">
      <c r="A543" s="113"/>
      <c r="B543" s="27"/>
      <c r="C543" s="48"/>
      <c r="D543" s="27"/>
      <c r="E543" s="38"/>
      <c r="F543" s="27"/>
      <c r="G543" s="27"/>
      <c r="H543" s="99"/>
      <c r="M543" s="27"/>
      <c r="N543" s="48"/>
    </row>
    <row r="544" spans="1:14" s="7" customFormat="1" x14ac:dyDescent="0.35">
      <c r="A544" s="113"/>
      <c r="B544" s="27"/>
      <c r="C544" s="48"/>
      <c r="D544" s="27"/>
      <c r="E544" s="38"/>
      <c r="F544" s="27"/>
      <c r="G544" s="27"/>
      <c r="H544" s="99"/>
      <c r="M544" s="27"/>
      <c r="N544" s="48"/>
    </row>
    <row r="545" spans="1:14" s="7" customFormat="1" x14ac:dyDescent="0.35">
      <c r="A545" s="113"/>
      <c r="B545" s="27"/>
      <c r="C545" s="48"/>
      <c r="D545" s="27"/>
      <c r="E545" s="38"/>
      <c r="F545" s="27"/>
      <c r="G545" s="27"/>
      <c r="H545" s="99"/>
      <c r="M545" s="27"/>
      <c r="N545" s="48"/>
    </row>
    <row r="546" spans="1:14" s="7" customFormat="1" x14ac:dyDescent="0.35">
      <c r="A546" s="113"/>
      <c r="B546" s="27"/>
      <c r="C546" s="48"/>
      <c r="D546" s="27"/>
      <c r="E546" s="38"/>
      <c r="F546" s="27"/>
      <c r="G546" s="27"/>
      <c r="H546" s="99"/>
      <c r="M546" s="27"/>
      <c r="N546" s="48"/>
    </row>
    <row r="547" spans="1:14" s="7" customFormat="1" x14ac:dyDescent="0.35">
      <c r="A547" s="113"/>
      <c r="B547" s="27"/>
      <c r="C547" s="48"/>
      <c r="D547" s="27"/>
      <c r="E547" s="38"/>
      <c r="F547" s="27"/>
      <c r="G547" s="27"/>
      <c r="H547" s="99"/>
      <c r="M547" s="27"/>
      <c r="N547" s="48"/>
    </row>
    <row r="548" spans="1:14" s="7" customFormat="1" x14ac:dyDescent="0.35">
      <c r="A548" s="113"/>
      <c r="B548" s="27"/>
      <c r="C548" s="48"/>
      <c r="D548" s="27"/>
      <c r="E548" s="38"/>
      <c r="F548" s="27"/>
      <c r="G548" s="27"/>
      <c r="H548" s="99"/>
      <c r="M548" s="27"/>
      <c r="N548" s="48"/>
    </row>
    <row r="549" spans="1:14" s="7" customFormat="1" x14ac:dyDescent="0.35">
      <c r="A549" s="113"/>
      <c r="B549" s="27"/>
      <c r="C549" s="48"/>
      <c r="D549" s="27"/>
      <c r="E549" s="38"/>
      <c r="F549" s="27"/>
      <c r="G549" s="27"/>
      <c r="H549" s="99"/>
      <c r="M549" s="27"/>
      <c r="N549" s="48"/>
    </row>
    <row r="550" spans="1:14" s="7" customFormat="1" x14ac:dyDescent="0.35">
      <c r="A550" s="113"/>
      <c r="B550" s="27"/>
      <c r="C550" s="48"/>
      <c r="D550" s="27"/>
      <c r="E550" s="38"/>
      <c r="F550" s="27"/>
      <c r="G550" s="27"/>
      <c r="H550" s="99"/>
      <c r="M550" s="27"/>
      <c r="N550" s="48"/>
    </row>
    <row r="551" spans="1:14" s="7" customFormat="1" x14ac:dyDescent="0.35">
      <c r="A551" s="113"/>
      <c r="B551" s="27"/>
      <c r="C551" s="48"/>
      <c r="D551" s="27"/>
      <c r="E551" s="38"/>
      <c r="F551" s="27"/>
      <c r="G551" s="27"/>
      <c r="H551" s="99"/>
      <c r="M551" s="27"/>
      <c r="N551" s="48"/>
    </row>
    <row r="552" spans="1:14" s="7" customFormat="1" x14ac:dyDescent="0.35">
      <c r="A552" s="113"/>
      <c r="B552" s="27"/>
      <c r="C552" s="48"/>
      <c r="D552" s="27"/>
      <c r="E552" s="38"/>
      <c r="F552" s="27"/>
      <c r="G552" s="27"/>
      <c r="H552" s="99"/>
      <c r="M552" s="27"/>
      <c r="N552" s="48"/>
    </row>
    <row r="553" spans="1:14" s="7" customFormat="1" x14ac:dyDescent="0.35">
      <c r="A553" s="113"/>
      <c r="B553" s="27"/>
      <c r="C553" s="48"/>
      <c r="D553" s="27"/>
      <c r="E553" s="38"/>
      <c r="F553" s="27"/>
      <c r="G553" s="27"/>
      <c r="H553" s="99"/>
      <c r="M553" s="27"/>
      <c r="N553" s="48"/>
    </row>
    <row r="554" spans="1:14" s="7" customFormat="1" x14ac:dyDescent="0.35">
      <c r="A554" s="113"/>
      <c r="B554" s="27"/>
      <c r="C554" s="48"/>
      <c r="D554" s="27"/>
      <c r="E554" s="38"/>
      <c r="F554" s="27"/>
      <c r="G554" s="27"/>
      <c r="H554" s="99"/>
      <c r="M554" s="27"/>
      <c r="N554" s="48"/>
    </row>
    <row r="555" spans="1:14" s="7" customFormat="1" x14ac:dyDescent="0.35">
      <c r="A555" s="113"/>
      <c r="B555" s="27"/>
      <c r="C555" s="48"/>
      <c r="D555" s="27"/>
      <c r="E555" s="38"/>
      <c r="F555" s="27"/>
      <c r="G555" s="27"/>
      <c r="H555" s="99"/>
      <c r="M555" s="27"/>
      <c r="N555" s="48"/>
    </row>
    <row r="556" spans="1:14" s="7" customFormat="1" x14ac:dyDescent="0.35">
      <c r="A556" s="113"/>
      <c r="B556" s="27"/>
      <c r="C556" s="48"/>
      <c r="D556" s="27"/>
      <c r="E556" s="38"/>
      <c r="F556" s="27"/>
      <c r="G556" s="27"/>
      <c r="H556" s="99"/>
      <c r="M556" s="27"/>
      <c r="N556" s="48"/>
    </row>
    <row r="557" spans="1:14" s="7" customFormat="1" x14ac:dyDescent="0.35">
      <c r="A557" s="113"/>
      <c r="B557" s="27"/>
      <c r="C557" s="48"/>
      <c r="D557" s="27"/>
      <c r="E557" s="38"/>
      <c r="F557" s="27"/>
      <c r="G557" s="27"/>
      <c r="H557" s="99"/>
      <c r="M557" s="27"/>
      <c r="N557" s="48"/>
    </row>
    <row r="558" spans="1:14" s="7" customFormat="1" x14ac:dyDescent="0.35">
      <c r="A558" s="113"/>
      <c r="B558" s="27"/>
      <c r="C558" s="48"/>
      <c r="D558" s="27"/>
      <c r="E558" s="38"/>
      <c r="F558" s="27"/>
      <c r="G558" s="27"/>
      <c r="H558" s="99"/>
      <c r="M558" s="27"/>
      <c r="N558" s="48"/>
    </row>
    <row r="559" spans="1:14" s="7" customFormat="1" x14ac:dyDescent="0.35">
      <c r="A559" s="113"/>
      <c r="B559" s="27"/>
      <c r="C559" s="48"/>
      <c r="D559" s="27"/>
      <c r="E559" s="38"/>
      <c r="F559" s="27"/>
      <c r="G559" s="27"/>
      <c r="H559" s="99"/>
      <c r="M559" s="27"/>
      <c r="N559" s="48"/>
    </row>
    <row r="560" spans="1:14" s="7" customFormat="1" x14ac:dyDescent="0.35">
      <c r="A560" s="113"/>
      <c r="B560" s="27"/>
      <c r="C560" s="48"/>
      <c r="D560" s="27"/>
      <c r="E560" s="38"/>
      <c r="F560" s="27"/>
      <c r="G560" s="27"/>
      <c r="H560" s="99"/>
      <c r="M560" s="27"/>
      <c r="N560" s="48"/>
    </row>
    <row r="561" spans="1:14" s="7" customFormat="1" x14ac:dyDescent="0.35">
      <c r="A561" s="113"/>
      <c r="B561" s="27"/>
      <c r="C561" s="48"/>
      <c r="D561" s="27"/>
      <c r="E561" s="38"/>
      <c r="F561" s="27"/>
      <c r="G561" s="27"/>
      <c r="H561" s="99"/>
      <c r="M561" s="27"/>
      <c r="N561" s="48"/>
    </row>
    <row r="562" spans="1:14" s="7" customFormat="1" x14ac:dyDescent="0.35">
      <c r="A562" s="113"/>
      <c r="B562" s="27"/>
      <c r="C562" s="48"/>
      <c r="D562" s="27"/>
      <c r="E562" s="38"/>
      <c r="F562" s="27"/>
      <c r="G562" s="27"/>
      <c r="H562" s="99"/>
      <c r="M562" s="27"/>
      <c r="N562" s="48"/>
    </row>
    <row r="563" spans="1:14" s="7" customFormat="1" x14ac:dyDescent="0.35">
      <c r="A563" s="113"/>
      <c r="B563" s="27"/>
      <c r="C563" s="48"/>
      <c r="D563" s="27"/>
      <c r="E563" s="38"/>
      <c r="F563" s="27"/>
      <c r="G563" s="27"/>
      <c r="H563" s="99"/>
      <c r="M563" s="27"/>
      <c r="N563" s="48"/>
    </row>
    <row r="564" spans="1:14" s="7" customFormat="1" x14ac:dyDescent="0.35">
      <c r="A564" s="113"/>
      <c r="B564" s="27"/>
      <c r="C564" s="48"/>
      <c r="D564" s="27"/>
      <c r="E564" s="38"/>
      <c r="F564" s="27"/>
      <c r="G564" s="27"/>
      <c r="H564" s="99"/>
      <c r="M564" s="27"/>
      <c r="N564" s="48"/>
    </row>
    <row r="565" spans="1:14" s="7" customFormat="1" x14ac:dyDescent="0.35">
      <c r="A565" s="113"/>
      <c r="B565" s="27"/>
      <c r="C565" s="48"/>
      <c r="D565" s="27"/>
      <c r="E565" s="38"/>
      <c r="F565" s="27"/>
      <c r="G565" s="27"/>
      <c r="H565" s="99"/>
      <c r="M565" s="27"/>
      <c r="N565" s="48"/>
    </row>
    <row r="566" spans="1:14" s="7" customFormat="1" x14ac:dyDescent="0.35">
      <c r="A566" s="113"/>
      <c r="B566" s="27"/>
      <c r="C566" s="48"/>
      <c r="D566" s="27"/>
      <c r="E566" s="38"/>
      <c r="F566" s="27"/>
      <c r="G566" s="27"/>
      <c r="H566" s="99"/>
      <c r="M566" s="27"/>
      <c r="N566" s="48"/>
    </row>
    <row r="567" spans="1:14" s="7" customFormat="1" x14ac:dyDescent="0.35">
      <c r="A567" s="113"/>
      <c r="B567" s="27"/>
      <c r="C567" s="48"/>
      <c r="D567" s="27"/>
      <c r="E567" s="38"/>
      <c r="F567" s="27"/>
      <c r="G567" s="27"/>
      <c r="H567" s="99"/>
      <c r="M567" s="27"/>
      <c r="N567" s="48"/>
    </row>
    <row r="568" spans="1:14" s="7" customFormat="1" x14ac:dyDescent="0.35">
      <c r="A568" s="113"/>
      <c r="B568" s="27"/>
      <c r="C568" s="48"/>
      <c r="D568" s="27"/>
      <c r="E568" s="38"/>
      <c r="F568" s="27"/>
      <c r="G568" s="27"/>
      <c r="H568" s="99"/>
      <c r="M568" s="27"/>
      <c r="N568" s="48"/>
    </row>
    <row r="569" spans="1:14" s="7" customFormat="1" x14ac:dyDescent="0.35">
      <c r="A569" s="113"/>
      <c r="B569" s="27"/>
      <c r="C569" s="48"/>
      <c r="D569" s="27"/>
      <c r="E569" s="38"/>
      <c r="F569" s="27"/>
      <c r="G569" s="27"/>
      <c r="H569" s="99"/>
      <c r="M569" s="27"/>
      <c r="N569" s="48"/>
    </row>
    <row r="570" spans="1:14" s="7" customFormat="1" x14ac:dyDescent="0.35">
      <c r="A570" s="113"/>
      <c r="B570" s="27"/>
      <c r="C570" s="48"/>
      <c r="D570" s="27"/>
      <c r="E570" s="38"/>
      <c r="F570" s="27"/>
      <c r="G570" s="27"/>
      <c r="H570" s="99"/>
      <c r="M570" s="27"/>
      <c r="N570" s="48"/>
    </row>
    <row r="571" spans="1:14" s="7" customFormat="1" x14ac:dyDescent="0.35">
      <c r="A571" s="113"/>
      <c r="B571" s="27"/>
      <c r="C571" s="48"/>
      <c r="D571" s="27"/>
      <c r="E571" s="38"/>
      <c r="F571" s="27"/>
      <c r="G571" s="27"/>
      <c r="H571" s="99"/>
      <c r="M571" s="27"/>
      <c r="N571" s="48"/>
    </row>
    <row r="572" spans="1:14" s="7" customFormat="1" x14ac:dyDescent="0.35">
      <c r="A572" s="113"/>
      <c r="B572" s="27"/>
      <c r="C572" s="48"/>
      <c r="D572" s="27"/>
      <c r="E572" s="38"/>
      <c r="F572" s="27"/>
      <c r="G572" s="27"/>
      <c r="H572" s="99"/>
      <c r="M572" s="27"/>
      <c r="N572" s="48"/>
    </row>
    <row r="573" spans="1:14" s="7" customFormat="1" x14ac:dyDescent="0.35">
      <c r="A573" s="113"/>
      <c r="B573" s="27"/>
      <c r="C573" s="48"/>
      <c r="D573" s="27"/>
      <c r="E573" s="38"/>
      <c r="F573" s="27"/>
      <c r="G573" s="27"/>
      <c r="H573" s="99"/>
      <c r="M573" s="27"/>
      <c r="N573" s="48"/>
    </row>
    <row r="574" spans="1:14" s="7" customFormat="1" x14ac:dyDescent="0.35">
      <c r="A574" s="113"/>
      <c r="B574" s="27"/>
      <c r="C574" s="48"/>
      <c r="D574" s="27"/>
      <c r="E574" s="38"/>
      <c r="F574" s="27"/>
      <c r="G574" s="27"/>
      <c r="H574" s="99"/>
      <c r="M574" s="27"/>
      <c r="N574" s="48"/>
    </row>
    <row r="575" spans="1:14" s="7" customFormat="1" x14ac:dyDescent="0.35">
      <c r="A575" s="113"/>
      <c r="B575" s="27"/>
      <c r="C575" s="48"/>
      <c r="D575" s="27"/>
      <c r="E575" s="38"/>
      <c r="F575" s="27"/>
      <c r="G575" s="27"/>
      <c r="H575" s="99"/>
      <c r="M575" s="27"/>
      <c r="N575" s="48"/>
    </row>
    <row r="576" spans="1:14" s="7" customFormat="1" x14ac:dyDescent="0.35">
      <c r="A576" s="113"/>
      <c r="B576" s="27"/>
      <c r="C576" s="48"/>
      <c r="D576" s="27"/>
      <c r="E576" s="38"/>
      <c r="F576" s="27"/>
      <c r="G576" s="27"/>
      <c r="H576" s="99"/>
      <c r="M576" s="27"/>
      <c r="N576" s="48"/>
    </row>
    <row r="577" spans="1:14" s="7" customFormat="1" x14ac:dyDescent="0.35">
      <c r="A577" s="113"/>
      <c r="B577" s="27"/>
      <c r="C577" s="48"/>
      <c r="D577" s="27"/>
      <c r="E577" s="38"/>
      <c r="F577" s="27"/>
      <c r="G577" s="27"/>
      <c r="H577" s="99"/>
      <c r="M577" s="27"/>
      <c r="N577" s="48"/>
    </row>
    <row r="578" spans="1:14" s="7" customFormat="1" x14ac:dyDescent="0.35">
      <c r="A578" s="113"/>
      <c r="B578" s="27"/>
      <c r="C578" s="48"/>
      <c r="D578" s="27"/>
      <c r="E578" s="38"/>
      <c r="F578" s="27"/>
      <c r="G578" s="27"/>
      <c r="H578" s="99"/>
      <c r="M578" s="27"/>
      <c r="N578" s="48"/>
    </row>
    <row r="579" spans="1:14" s="7" customFormat="1" x14ac:dyDescent="0.35">
      <c r="A579" s="113"/>
      <c r="B579" s="27"/>
      <c r="C579" s="48"/>
      <c r="D579" s="27"/>
      <c r="E579" s="38"/>
      <c r="F579" s="27"/>
      <c r="G579" s="27"/>
      <c r="H579" s="99"/>
      <c r="M579" s="27"/>
      <c r="N579" s="48"/>
    </row>
    <row r="580" spans="1:14" s="7" customFormat="1" x14ac:dyDescent="0.35">
      <c r="A580" s="113"/>
      <c r="B580" s="27"/>
      <c r="C580" s="48"/>
      <c r="D580" s="27"/>
      <c r="E580" s="38"/>
      <c r="F580" s="27"/>
      <c r="G580" s="27"/>
      <c r="H580" s="99"/>
      <c r="M580" s="27"/>
      <c r="N580" s="48"/>
    </row>
    <row r="581" spans="1:14" s="7" customFormat="1" x14ac:dyDescent="0.35">
      <c r="A581" s="113"/>
      <c r="B581" s="27"/>
      <c r="C581" s="48"/>
      <c r="D581" s="27"/>
      <c r="E581" s="38"/>
      <c r="F581" s="27"/>
      <c r="G581" s="27"/>
      <c r="H581" s="99"/>
      <c r="M581" s="27"/>
      <c r="N581" s="48"/>
    </row>
    <row r="582" spans="1:14" s="7" customFormat="1" x14ac:dyDescent="0.35">
      <c r="A582" s="113"/>
      <c r="B582" s="27"/>
      <c r="C582" s="48"/>
      <c r="D582" s="27"/>
      <c r="E582" s="38"/>
      <c r="F582" s="27"/>
      <c r="G582" s="27"/>
      <c r="H582" s="99"/>
      <c r="M582" s="27"/>
      <c r="N582" s="48"/>
    </row>
    <row r="583" spans="1:14" s="7" customFormat="1" x14ac:dyDescent="0.35">
      <c r="A583" s="113"/>
      <c r="B583" s="27"/>
      <c r="C583" s="48"/>
      <c r="D583" s="27"/>
      <c r="E583" s="38"/>
      <c r="F583" s="27"/>
      <c r="G583" s="27"/>
      <c r="H583" s="99"/>
      <c r="M583" s="27"/>
      <c r="N583" s="48"/>
    </row>
    <row r="584" spans="1:14" s="7" customFormat="1" x14ac:dyDescent="0.35">
      <c r="A584" s="113"/>
      <c r="B584" s="27"/>
      <c r="C584" s="48"/>
      <c r="D584" s="27"/>
      <c r="E584" s="38"/>
      <c r="F584" s="27"/>
      <c r="G584" s="27"/>
      <c r="H584" s="99"/>
      <c r="M584" s="27"/>
      <c r="N584" s="48"/>
    </row>
    <row r="585" spans="1:14" s="7" customFormat="1" x14ac:dyDescent="0.35">
      <c r="A585" s="113"/>
      <c r="B585" s="27"/>
      <c r="C585" s="48"/>
      <c r="D585" s="27"/>
      <c r="E585" s="38"/>
      <c r="F585" s="27"/>
      <c r="G585" s="27"/>
      <c r="H585" s="99"/>
      <c r="M585" s="27"/>
      <c r="N585" s="48"/>
    </row>
    <row r="586" spans="1:14" s="7" customFormat="1" x14ac:dyDescent="0.35">
      <c r="A586" s="113"/>
      <c r="B586" s="27"/>
      <c r="C586" s="48"/>
      <c r="D586" s="27"/>
      <c r="E586" s="38"/>
      <c r="F586" s="27"/>
      <c r="G586" s="27"/>
      <c r="H586" s="99"/>
      <c r="M586" s="27"/>
      <c r="N586" s="48"/>
    </row>
    <row r="587" spans="1:14" s="7" customFormat="1" x14ac:dyDescent="0.35">
      <c r="A587" s="113"/>
      <c r="B587" s="27"/>
      <c r="C587" s="48"/>
      <c r="D587" s="27"/>
      <c r="E587" s="38"/>
      <c r="F587" s="27"/>
      <c r="G587" s="27"/>
      <c r="H587" s="99"/>
      <c r="M587" s="27"/>
      <c r="N587" s="48"/>
    </row>
    <row r="588" spans="1:14" s="7" customFormat="1" x14ac:dyDescent="0.35">
      <c r="A588" s="113"/>
      <c r="B588" s="27"/>
      <c r="C588" s="48"/>
      <c r="D588" s="27"/>
      <c r="E588" s="38"/>
      <c r="F588" s="27"/>
      <c r="G588" s="27"/>
      <c r="H588" s="99"/>
      <c r="M588" s="27"/>
      <c r="N588" s="48"/>
    </row>
    <row r="589" spans="1:14" s="7" customFormat="1" x14ac:dyDescent="0.35">
      <c r="A589" s="113"/>
      <c r="B589" s="27"/>
      <c r="C589" s="48"/>
      <c r="D589" s="27"/>
      <c r="E589" s="38"/>
      <c r="F589" s="27"/>
      <c r="G589" s="27"/>
      <c r="H589" s="99"/>
      <c r="M589" s="27"/>
      <c r="N589" s="48"/>
    </row>
    <row r="590" spans="1:14" s="7" customFormat="1" x14ac:dyDescent="0.35">
      <c r="A590" s="113"/>
      <c r="B590" s="27"/>
      <c r="C590" s="48"/>
      <c r="D590" s="27"/>
      <c r="E590" s="38"/>
      <c r="F590" s="27"/>
      <c r="G590" s="27"/>
      <c r="H590" s="99"/>
      <c r="M590" s="27"/>
      <c r="N590" s="48"/>
    </row>
    <row r="591" spans="1:14" s="7" customFormat="1" x14ac:dyDescent="0.35">
      <c r="A591" s="113"/>
      <c r="B591" s="27"/>
      <c r="C591" s="48"/>
      <c r="D591" s="27"/>
      <c r="E591" s="38"/>
      <c r="F591" s="27"/>
      <c r="G591" s="27"/>
      <c r="H591" s="99"/>
      <c r="M591" s="27"/>
      <c r="N591" s="48"/>
    </row>
    <row r="592" spans="1:14" s="7" customFormat="1" x14ac:dyDescent="0.35">
      <c r="A592" s="113"/>
      <c r="B592" s="27"/>
      <c r="C592" s="48"/>
      <c r="D592" s="27"/>
      <c r="E592" s="38"/>
      <c r="F592" s="27"/>
      <c r="G592" s="27"/>
      <c r="H592" s="99"/>
      <c r="M592" s="27"/>
      <c r="N592" s="48"/>
    </row>
    <row r="593" spans="1:14" s="7" customFormat="1" x14ac:dyDescent="0.35">
      <c r="A593" s="113"/>
      <c r="B593" s="27"/>
      <c r="C593" s="48"/>
      <c r="D593" s="27"/>
      <c r="E593" s="38"/>
      <c r="F593" s="27"/>
      <c r="G593" s="27"/>
      <c r="H593" s="99"/>
      <c r="M593" s="27"/>
      <c r="N593" s="48"/>
    </row>
    <row r="594" spans="1:14" s="7" customFormat="1" x14ac:dyDescent="0.35">
      <c r="A594" s="113"/>
      <c r="B594" s="27"/>
      <c r="C594" s="48"/>
      <c r="D594" s="27"/>
      <c r="E594" s="38"/>
      <c r="F594" s="27"/>
      <c r="G594" s="27"/>
      <c r="H594" s="99"/>
      <c r="M594" s="27"/>
      <c r="N594" s="48"/>
    </row>
    <row r="595" spans="1:14" s="7" customFormat="1" x14ac:dyDescent="0.35">
      <c r="A595" s="113"/>
      <c r="B595" s="27"/>
      <c r="C595" s="48"/>
      <c r="D595" s="27"/>
      <c r="E595" s="38"/>
      <c r="F595" s="27"/>
      <c r="G595" s="27"/>
      <c r="H595" s="99"/>
      <c r="M595" s="27"/>
      <c r="N595" s="48"/>
    </row>
    <row r="596" spans="1:14" s="7" customFormat="1" x14ac:dyDescent="0.35">
      <c r="A596" s="113"/>
      <c r="B596" s="27"/>
      <c r="C596" s="48"/>
      <c r="D596" s="27"/>
      <c r="E596" s="38"/>
      <c r="F596" s="27"/>
      <c r="G596" s="27"/>
      <c r="H596" s="99"/>
      <c r="M596" s="27"/>
      <c r="N596" s="48"/>
    </row>
    <row r="597" spans="1:14" s="7" customFormat="1" x14ac:dyDescent="0.35">
      <c r="A597" s="113"/>
      <c r="B597" s="27"/>
      <c r="C597" s="48"/>
      <c r="D597" s="27"/>
      <c r="E597" s="38"/>
      <c r="F597" s="27"/>
      <c r="G597" s="27"/>
      <c r="H597" s="99"/>
      <c r="M597" s="27"/>
      <c r="N597" s="48"/>
    </row>
    <row r="598" spans="1:14" s="7" customFormat="1" x14ac:dyDescent="0.35">
      <c r="A598" s="113"/>
      <c r="B598" s="27"/>
      <c r="C598" s="48"/>
      <c r="D598" s="27"/>
      <c r="E598" s="38"/>
      <c r="F598" s="27"/>
      <c r="G598" s="27"/>
      <c r="H598" s="99"/>
      <c r="M598" s="27"/>
      <c r="N598" s="48"/>
    </row>
    <row r="599" spans="1:14" s="7" customFormat="1" x14ac:dyDescent="0.35">
      <c r="A599" s="113"/>
      <c r="B599" s="27"/>
      <c r="C599" s="48"/>
      <c r="D599" s="27"/>
      <c r="E599" s="38"/>
      <c r="F599" s="27"/>
      <c r="G599" s="27"/>
      <c r="H599" s="99"/>
      <c r="M599" s="27"/>
      <c r="N599" s="48"/>
    </row>
    <row r="600" spans="1:14" s="7" customFormat="1" x14ac:dyDescent="0.35">
      <c r="A600" s="113"/>
      <c r="B600" s="27"/>
      <c r="C600" s="48"/>
      <c r="D600" s="27"/>
      <c r="E600" s="38"/>
      <c r="F600" s="27"/>
      <c r="G600" s="27"/>
      <c r="H600" s="99"/>
      <c r="M600" s="27"/>
      <c r="N600" s="48"/>
    </row>
    <row r="601" spans="1:14" s="7" customFormat="1" x14ac:dyDescent="0.35">
      <c r="A601" s="113"/>
      <c r="B601" s="27"/>
      <c r="C601" s="48"/>
      <c r="D601" s="27"/>
      <c r="E601" s="38"/>
      <c r="F601" s="27"/>
      <c r="G601" s="27"/>
      <c r="H601" s="99"/>
      <c r="M601" s="27"/>
      <c r="N601" s="48"/>
    </row>
    <row r="602" spans="1:14" s="7" customFormat="1" x14ac:dyDescent="0.35">
      <c r="A602" s="113"/>
      <c r="B602" s="27"/>
      <c r="C602" s="48"/>
      <c r="D602" s="27"/>
      <c r="E602" s="38"/>
      <c r="F602" s="27"/>
      <c r="G602" s="27"/>
      <c r="H602" s="99"/>
      <c r="M602" s="27"/>
      <c r="N602" s="48"/>
    </row>
    <row r="603" spans="1:14" s="7" customFormat="1" x14ac:dyDescent="0.35">
      <c r="A603" s="113"/>
      <c r="B603" s="27"/>
      <c r="C603" s="48"/>
      <c r="D603" s="27"/>
      <c r="E603" s="38"/>
      <c r="F603" s="27"/>
      <c r="G603" s="27"/>
      <c r="H603" s="99"/>
      <c r="M603" s="27"/>
      <c r="N603" s="48"/>
    </row>
    <row r="604" spans="1:14" s="7" customFormat="1" x14ac:dyDescent="0.35">
      <c r="A604" s="113"/>
      <c r="B604" s="27"/>
      <c r="C604" s="48"/>
      <c r="D604" s="27"/>
      <c r="E604" s="38"/>
      <c r="F604" s="27"/>
      <c r="G604" s="27"/>
      <c r="H604" s="99"/>
      <c r="M604" s="27"/>
      <c r="N604" s="48"/>
    </row>
    <row r="605" spans="1:14" s="7" customFormat="1" x14ac:dyDescent="0.35">
      <c r="A605" s="113"/>
      <c r="B605" s="27"/>
      <c r="C605" s="48"/>
      <c r="D605" s="27"/>
      <c r="E605" s="38"/>
      <c r="F605" s="27"/>
      <c r="G605" s="27"/>
      <c r="H605" s="99"/>
      <c r="M605" s="27"/>
      <c r="N605" s="48"/>
    </row>
    <row r="606" spans="1:14" s="7" customFormat="1" x14ac:dyDescent="0.35">
      <c r="A606" s="113"/>
      <c r="B606" s="27"/>
      <c r="C606" s="48"/>
      <c r="D606" s="27"/>
      <c r="E606" s="38"/>
      <c r="F606" s="27"/>
      <c r="G606" s="27"/>
      <c r="H606" s="99"/>
      <c r="M606" s="27"/>
      <c r="N606" s="48"/>
    </row>
    <row r="607" spans="1:14" s="7" customFormat="1" x14ac:dyDescent="0.35">
      <c r="A607" s="113"/>
      <c r="B607" s="27"/>
      <c r="C607" s="48"/>
      <c r="D607" s="27"/>
      <c r="E607" s="38"/>
      <c r="F607" s="27"/>
      <c r="G607" s="27"/>
      <c r="H607" s="99"/>
      <c r="M607" s="27"/>
      <c r="N607" s="48"/>
    </row>
    <row r="608" spans="1:14" s="7" customFormat="1" x14ac:dyDescent="0.35">
      <c r="A608" s="113"/>
      <c r="B608" s="27"/>
      <c r="C608" s="48"/>
      <c r="D608" s="27"/>
      <c r="E608" s="38"/>
      <c r="F608" s="27"/>
      <c r="G608" s="27"/>
      <c r="H608" s="99"/>
      <c r="M608" s="27"/>
      <c r="N608" s="48"/>
    </row>
    <row r="609" spans="1:14" s="7" customFormat="1" x14ac:dyDescent="0.35">
      <c r="A609" s="113"/>
      <c r="B609" s="27"/>
      <c r="C609" s="48"/>
      <c r="D609" s="27"/>
      <c r="E609" s="38"/>
      <c r="F609" s="27"/>
      <c r="G609" s="27"/>
      <c r="H609" s="99"/>
      <c r="M609" s="27"/>
      <c r="N609" s="48"/>
    </row>
    <row r="610" spans="1:14" s="7" customFormat="1" x14ac:dyDescent="0.35">
      <c r="A610" s="113"/>
      <c r="B610" s="27"/>
      <c r="C610" s="48"/>
      <c r="D610" s="27"/>
      <c r="E610" s="38"/>
      <c r="F610" s="27"/>
      <c r="G610" s="27"/>
      <c r="H610" s="99"/>
      <c r="M610" s="27"/>
      <c r="N610" s="48"/>
    </row>
    <row r="611" spans="1:14" s="7" customFormat="1" x14ac:dyDescent="0.35">
      <c r="A611" s="113"/>
      <c r="B611" s="27"/>
      <c r="C611" s="48"/>
      <c r="D611" s="27"/>
      <c r="E611" s="38"/>
      <c r="F611" s="27"/>
      <c r="G611" s="27"/>
      <c r="H611" s="99"/>
      <c r="M611" s="27"/>
      <c r="N611" s="48"/>
    </row>
    <row r="612" spans="1:14" s="7" customFormat="1" x14ac:dyDescent="0.35">
      <c r="A612" s="113"/>
      <c r="B612" s="27"/>
      <c r="C612" s="48"/>
      <c r="D612" s="27"/>
      <c r="E612" s="38"/>
      <c r="F612" s="27"/>
      <c r="G612" s="27"/>
      <c r="H612" s="99"/>
      <c r="M612" s="27"/>
      <c r="N612" s="48"/>
    </row>
    <row r="613" spans="1:14" s="7" customFormat="1" x14ac:dyDescent="0.35">
      <c r="A613" s="113"/>
      <c r="B613" s="27"/>
      <c r="C613" s="48"/>
      <c r="D613" s="27"/>
      <c r="E613" s="38"/>
      <c r="F613" s="27"/>
      <c r="G613" s="27"/>
      <c r="H613" s="99"/>
      <c r="M613" s="27"/>
      <c r="N613" s="48"/>
    </row>
    <row r="614" spans="1:14" s="7" customFormat="1" x14ac:dyDescent="0.35">
      <c r="A614" s="113"/>
      <c r="B614" s="27"/>
      <c r="C614" s="48"/>
      <c r="D614" s="27"/>
      <c r="E614" s="38"/>
      <c r="F614" s="27"/>
      <c r="G614" s="27"/>
      <c r="H614" s="99"/>
      <c r="M614" s="27"/>
      <c r="N614" s="48"/>
    </row>
    <row r="615" spans="1:14" s="7" customFormat="1" x14ac:dyDescent="0.35">
      <c r="A615" s="113"/>
      <c r="B615" s="27"/>
      <c r="C615" s="48"/>
      <c r="D615" s="27"/>
      <c r="E615" s="38"/>
      <c r="F615" s="27"/>
      <c r="G615" s="27"/>
      <c r="H615" s="99"/>
      <c r="M615" s="27"/>
      <c r="N615" s="48"/>
    </row>
    <row r="616" spans="1:14" s="7" customFormat="1" x14ac:dyDescent="0.35">
      <c r="A616" s="113"/>
      <c r="B616" s="27"/>
      <c r="C616" s="48"/>
      <c r="D616" s="27"/>
      <c r="E616" s="38"/>
      <c r="F616" s="27"/>
      <c r="G616" s="27"/>
      <c r="H616" s="99"/>
      <c r="M616" s="27"/>
      <c r="N616" s="48"/>
    </row>
    <row r="617" spans="1:14" s="7" customFormat="1" x14ac:dyDescent="0.35">
      <c r="A617" s="113"/>
      <c r="B617" s="27"/>
      <c r="C617" s="48"/>
      <c r="D617" s="27"/>
      <c r="E617" s="38"/>
      <c r="F617" s="27"/>
      <c r="G617" s="27"/>
      <c r="H617" s="99"/>
      <c r="M617" s="27"/>
      <c r="N617" s="48"/>
    </row>
    <row r="618" spans="1:14" s="7" customFormat="1" x14ac:dyDescent="0.35">
      <c r="A618" s="113"/>
      <c r="B618" s="27"/>
      <c r="C618" s="48"/>
      <c r="D618" s="27"/>
      <c r="E618" s="38"/>
      <c r="F618" s="27"/>
      <c r="G618" s="27"/>
      <c r="H618" s="99"/>
      <c r="M618" s="27"/>
      <c r="N618" s="48"/>
    </row>
    <row r="619" spans="1:14" s="7" customFormat="1" x14ac:dyDescent="0.35">
      <c r="A619" s="113"/>
      <c r="B619" s="27"/>
      <c r="C619" s="48"/>
      <c r="D619" s="27"/>
      <c r="E619" s="38"/>
      <c r="F619" s="27"/>
      <c r="G619" s="27"/>
      <c r="H619" s="99"/>
      <c r="M619" s="27"/>
      <c r="N619" s="48"/>
    </row>
    <row r="620" spans="1:14" s="7" customFormat="1" x14ac:dyDescent="0.35">
      <c r="A620" s="113"/>
      <c r="B620" s="27"/>
      <c r="C620" s="48"/>
      <c r="D620" s="27"/>
      <c r="E620" s="38"/>
      <c r="F620" s="27"/>
      <c r="G620" s="27"/>
      <c r="H620" s="99"/>
      <c r="M620" s="27"/>
      <c r="N620" s="48"/>
    </row>
    <row r="621" spans="1:14" s="7" customFormat="1" x14ac:dyDescent="0.35">
      <c r="A621" s="113"/>
      <c r="B621" s="27"/>
      <c r="C621" s="48"/>
      <c r="D621" s="27"/>
      <c r="E621" s="38"/>
      <c r="F621" s="27"/>
      <c r="G621" s="27"/>
      <c r="H621" s="99"/>
      <c r="M621" s="27"/>
      <c r="N621" s="48"/>
    </row>
    <row r="622" spans="1:14" s="7" customFormat="1" x14ac:dyDescent="0.35">
      <c r="A622" s="113"/>
      <c r="B622" s="27"/>
      <c r="C622" s="48"/>
      <c r="D622" s="27"/>
      <c r="E622" s="38"/>
      <c r="F622" s="27"/>
      <c r="G622" s="27"/>
      <c r="H622" s="99"/>
      <c r="M622" s="27"/>
      <c r="N622" s="48"/>
    </row>
    <row r="623" spans="1:14" s="7" customFormat="1" x14ac:dyDescent="0.35">
      <c r="A623" s="113"/>
      <c r="B623" s="27"/>
      <c r="C623" s="48"/>
      <c r="D623" s="27"/>
      <c r="E623" s="38"/>
      <c r="F623" s="27"/>
      <c r="G623" s="27"/>
      <c r="H623" s="99"/>
      <c r="M623" s="27"/>
      <c r="N623" s="48"/>
    </row>
    <row r="624" spans="1:14" s="7" customFormat="1" x14ac:dyDescent="0.35">
      <c r="A624" s="113"/>
      <c r="B624" s="27"/>
      <c r="C624" s="48"/>
      <c r="D624" s="27"/>
      <c r="E624" s="38"/>
      <c r="F624" s="27"/>
      <c r="G624" s="27"/>
      <c r="H624" s="99"/>
      <c r="M624" s="27"/>
      <c r="N624" s="48"/>
    </row>
    <row r="625" spans="1:14" s="7" customFormat="1" x14ac:dyDescent="0.35">
      <c r="A625" s="113"/>
      <c r="B625" s="27"/>
      <c r="C625" s="48"/>
      <c r="D625" s="27"/>
      <c r="E625" s="38"/>
      <c r="F625" s="27"/>
      <c r="G625" s="27"/>
      <c r="H625" s="99"/>
      <c r="M625" s="27"/>
      <c r="N625" s="48"/>
    </row>
    <row r="626" spans="1:14" s="7" customFormat="1" x14ac:dyDescent="0.35">
      <c r="A626" s="113"/>
      <c r="B626" s="27"/>
      <c r="C626" s="48"/>
      <c r="D626" s="27"/>
      <c r="E626" s="38"/>
      <c r="F626" s="27"/>
      <c r="G626" s="27"/>
      <c r="H626" s="99"/>
      <c r="M626" s="27"/>
      <c r="N626" s="48"/>
    </row>
    <row r="627" spans="1:14" s="7" customFormat="1" x14ac:dyDescent="0.35">
      <c r="A627" s="113"/>
      <c r="B627" s="27"/>
      <c r="C627" s="48"/>
      <c r="D627" s="27"/>
      <c r="E627" s="38"/>
      <c r="F627" s="27"/>
      <c r="G627" s="27"/>
      <c r="H627" s="99"/>
      <c r="M627" s="27"/>
      <c r="N627" s="48"/>
    </row>
    <row r="628" spans="1:14" s="7" customFormat="1" x14ac:dyDescent="0.35">
      <c r="A628" s="113"/>
      <c r="B628" s="27"/>
      <c r="C628" s="48"/>
      <c r="D628" s="27"/>
      <c r="E628" s="38"/>
      <c r="F628" s="27"/>
      <c r="G628" s="27"/>
      <c r="H628" s="99"/>
      <c r="M628" s="27"/>
      <c r="N628" s="48"/>
    </row>
    <row r="629" spans="1:14" s="7" customFormat="1" x14ac:dyDescent="0.35">
      <c r="A629" s="113"/>
      <c r="B629" s="27"/>
      <c r="C629" s="48"/>
      <c r="D629" s="27"/>
      <c r="E629" s="38"/>
      <c r="F629" s="27"/>
      <c r="G629" s="27"/>
      <c r="H629" s="99"/>
      <c r="M629" s="27"/>
      <c r="N629" s="48"/>
    </row>
    <row r="630" spans="1:14" s="7" customFormat="1" x14ac:dyDescent="0.35">
      <c r="A630" s="113"/>
      <c r="B630" s="27"/>
      <c r="C630" s="48"/>
      <c r="D630" s="27"/>
      <c r="E630" s="38"/>
      <c r="F630" s="27"/>
      <c r="G630" s="27"/>
      <c r="H630" s="99"/>
      <c r="M630" s="27"/>
      <c r="N630" s="48"/>
    </row>
    <row r="631" spans="1:14" s="7" customFormat="1" x14ac:dyDescent="0.35">
      <c r="A631" s="113"/>
      <c r="B631" s="27"/>
      <c r="C631" s="48"/>
      <c r="D631" s="27"/>
      <c r="E631" s="38"/>
      <c r="F631" s="27"/>
      <c r="G631" s="27"/>
      <c r="H631" s="99"/>
      <c r="M631" s="27"/>
      <c r="N631" s="48"/>
    </row>
    <row r="632" spans="1:14" s="7" customFormat="1" x14ac:dyDescent="0.35">
      <c r="A632" s="113"/>
      <c r="B632" s="27"/>
      <c r="C632" s="48"/>
      <c r="D632" s="27"/>
      <c r="E632" s="38"/>
      <c r="F632" s="27"/>
      <c r="G632" s="27"/>
      <c r="H632" s="99"/>
      <c r="M632" s="27"/>
      <c r="N632" s="48"/>
    </row>
    <row r="633" spans="1:14" s="7" customFormat="1" x14ac:dyDescent="0.35">
      <c r="A633" s="113"/>
      <c r="B633" s="27"/>
      <c r="C633" s="48"/>
      <c r="D633" s="27"/>
      <c r="E633" s="38"/>
      <c r="F633" s="27"/>
      <c r="G633" s="27"/>
      <c r="H633" s="99"/>
      <c r="M633" s="27"/>
      <c r="N633" s="48"/>
    </row>
    <row r="634" spans="1:14" s="7" customFormat="1" x14ac:dyDescent="0.35">
      <c r="A634" s="113"/>
      <c r="B634" s="27"/>
      <c r="C634" s="48"/>
      <c r="D634" s="27"/>
      <c r="E634" s="38"/>
      <c r="F634" s="27"/>
      <c r="G634" s="27"/>
      <c r="H634" s="99"/>
      <c r="M634" s="27"/>
      <c r="N634" s="48"/>
    </row>
    <row r="635" spans="1:14" s="7" customFormat="1" x14ac:dyDescent="0.35">
      <c r="A635" s="113"/>
      <c r="B635" s="27"/>
      <c r="C635" s="48"/>
      <c r="D635" s="27"/>
      <c r="E635" s="38"/>
      <c r="F635" s="27"/>
      <c r="G635" s="27"/>
      <c r="H635" s="99"/>
      <c r="M635" s="27"/>
      <c r="N635" s="48"/>
    </row>
    <row r="636" spans="1:14" s="7" customFormat="1" x14ac:dyDescent="0.35">
      <c r="A636" s="113"/>
      <c r="B636" s="27"/>
      <c r="C636" s="48"/>
      <c r="D636" s="27"/>
      <c r="E636" s="38"/>
      <c r="F636" s="27"/>
      <c r="G636" s="27"/>
      <c r="H636" s="99"/>
      <c r="M636" s="27"/>
      <c r="N636" s="48"/>
    </row>
    <row r="637" spans="1:14" s="7" customFormat="1" x14ac:dyDescent="0.35">
      <c r="A637" s="113"/>
      <c r="B637" s="27"/>
      <c r="C637" s="48"/>
      <c r="D637" s="27"/>
      <c r="E637" s="38"/>
      <c r="F637" s="27"/>
      <c r="G637" s="27"/>
      <c r="H637" s="99"/>
      <c r="M637" s="27"/>
      <c r="N637" s="48"/>
    </row>
    <row r="638" spans="1:14" s="7" customFormat="1" x14ac:dyDescent="0.35">
      <c r="A638" s="113"/>
      <c r="B638" s="27"/>
      <c r="C638" s="48"/>
      <c r="D638" s="27"/>
      <c r="E638" s="38"/>
      <c r="F638" s="27"/>
      <c r="G638" s="27"/>
      <c r="H638" s="99"/>
      <c r="M638" s="27"/>
      <c r="N638" s="48"/>
    </row>
    <row r="639" spans="1:14" s="7" customFormat="1" x14ac:dyDescent="0.35">
      <c r="A639" s="113"/>
      <c r="B639" s="27"/>
      <c r="C639" s="48"/>
      <c r="D639" s="27"/>
      <c r="E639" s="38"/>
      <c r="F639" s="27"/>
      <c r="G639" s="27"/>
      <c r="H639" s="99"/>
      <c r="M639" s="27"/>
      <c r="N639" s="48"/>
    </row>
    <row r="640" spans="1:14" s="7" customFormat="1" x14ac:dyDescent="0.35">
      <c r="A640" s="113"/>
      <c r="B640" s="27"/>
      <c r="C640" s="48"/>
      <c r="D640" s="27"/>
      <c r="E640" s="38"/>
      <c r="F640" s="27"/>
      <c r="G640" s="27"/>
      <c r="H640" s="99"/>
      <c r="M640" s="27"/>
      <c r="N640" s="48"/>
    </row>
    <row r="641" spans="1:14" s="7" customFormat="1" x14ac:dyDescent="0.35">
      <c r="A641" s="113"/>
      <c r="B641" s="27"/>
      <c r="C641" s="48"/>
      <c r="D641" s="27"/>
      <c r="E641" s="38"/>
      <c r="F641" s="27"/>
      <c r="G641" s="27"/>
      <c r="H641" s="99"/>
      <c r="M641" s="27"/>
      <c r="N641" s="48"/>
    </row>
    <row r="642" spans="1:14" s="7" customFormat="1" x14ac:dyDescent="0.35">
      <c r="A642" s="113"/>
      <c r="B642" s="27"/>
      <c r="C642" s="48"/>
      <c r="D642" s="27"/>
      <c r="E642" s="38"/>
      <c r="F642" s="27"/>
      <c r="G642" s="27"/>
      <c r="H642" s="99"/>
      <c r="M642" s="27"/>
      <c r="N642" s="48"/>
    </row>
    <row r="643" spans="1:14" s="7" customFormat="1" x14ac:dyDescent="0.35">
      <c r="A643" s="113"/>
      <c r="B643" s="27"/>
      <c r="C643" s="48"/>
      <c r="D643" s="27"/>
      <c r="E643" s="38"/>
      <c r="F643" s="27"/>
      <c r="G643" s="27"/>
      <c r="H643" s="99"/>
      <c r="M643" s="27"/>
      <c r="N643" s="48"/>
    </row>
    <row r="644" spans="1:14" s="7" customFormat="1" x14ac:dyDescent="0.35">
      <c r="A644" s="113"/>
      <c r="B644" s="27"/>
      <c r="C644" s="48"/>
      <c r="D644" s="27"/>
      <c r="E644" s="38"/>
      <c r="F644" s="27"/>
      <c r="G644" s="27"/>
      <c r="H644" s="99"/>
      <c r="M644" s="27"/>
      <c r="N644" s="48"/>
    </row>
    <row r="645" spans="1:14" s="7" customFormat="1" x14ac:dyDescent="0.35">
      <c r="A645" s="113"/>
      <c r="B645" s="27"/>
      <c r="C645" s="48"/>
      <c r="D645" s="27"/>
      <c r="E645" s="38"/>
      <c r="F645" s="27"/>
      <c r="G645" s="27"/>
      <c r="H645" s="99"/>
      <c r="M645" s="27"/>
      <c r="N645" s="48"/>
    </row>
    <row r="646" spans="1:14" s="7" customFormat="1" x14ac:dyDescent="0.35">
      <c r="A646" s="113"/>
      <c r="B646" s="27"/>
      <c r="C646" s="48"/>
      <c r="D646" s="27"/>
      <c r="E646" s="38"/>
      <c r="F646" s="27"/>
      <c r="G646" s="27"/>
      <c r="H646" s="99"/>
      <c r="M646" s="27"/>
      <c r="N646" s="48"/>
    </row>
    <row r="647" spans="1:14" s="7" customFormat="1" x14ac:dyDescent="0.35">
      <c r="A647" s="113"/>
      <c r="B647" s="27"/>
      <c r="C647" s="48"/>
      <c r="D647" s="27"/>
      <c r="E647" s="38"/>
      <c r="F647" s="27"/>
      <c r="G647" s="27"/>
      <c r="H647" s="99"/>
      <c r="M647" s="27"/>
      <c r="N647" s="48"/>
    </row>
    <row r="648" spans="1:14" s="7" customFormat="1" x14ac:dyDescent="0.35">
      <c r="A648" s="113"/>
      <c r="B648" s="27"/>
      <c r="C648" s="48"/>
      <c r="D648" s="27"/>
      <c r="E648" s="38"/>
      <c r="F648" s="27"/>
      <c r="G648" s="27"/>
      <c r="H648" s="99"/>
      <c r="M648" s="27"/>
      <c r="N648" s="48"/>
    </row>
    <row r="649" spans="1:14" s="7" customFormat="1" x14ac:dyDescent="0.35">
      <c r="A649" s="113"/>
      <c r="B649" s="27"/>
      <c r="C649" s="48"/>
      <c r="D649" s="27"/>
      <c r="E649" s="38"/>
      <c r="F649" s="27"/>
      <c r="G649" s="27"/>
      <c r="H649" s="99"/>
      <c r="M649" s="27"/>
      <c r="N649" s="48"/>
    </row>
    <row r="650" spans="1:14" s="7" customFormat="1" x14ac:dyDescent="0.35">
      <c r="A650" s="113"/>
      <c r="B650" s="27"/>
      <c r="C650" s="48"/>
      <c r="D650" s="27"/>
      <c r="E650" s="38"/>
      <c r="F650" s="27"/>
      <c r="G650" s="27"/>
      <c r="H650" s="99"/>
      <c r="M650" s="27"/>
      <c r="N650" s="48"/>
    </row>
    <row r="651" spans="1:14" s="7" customFormat="1" x14ac:dyDescent="0.35">
      <c r="A651" s="113"/>
      <c r="B651" s="27"/>
      <c r="C651" s="48"/>
      <c r="D651" s="27"/>
      <c r="E651" s="38"/>
      <c r="F651" s="27"/>
      <c r="G651" s="27"/>
      <c r="H651" s="99"/>
      <c r="M651" s="27"/>
      <c r="N651" s="48"/>
    </row>
    <row r="652" spans="1:14" s="7" customFormat="1" x14ac:dyDescent="0.35">
      <c r="A652" s="113"/>
      <c r="B652" s="27"/>
      <c r="C652" s="48"/>
      <c r="D652" s="27"/>
      <c r="E652" s="38"/>
      <c r="F652" s="27"/>
      <c r="G652" s="27"/>
      <c r="H652" s="99"/>
      <c r="M652" s="27"/>
      <c r="N652" s="48"/>
    </row>
    <row r="653" spans="1:14" s="7" customFormat="1" x14ac:dyDescent="0.35">
      <c r="A653" s="113"/>
      <c r="B653" s="27"/>
      <c r="C653" s="48"/>
      <c r="D653" s="27"/>
      <c r="E653" s="38"/>
      <c r="F653" s="27"/>
      <c r="G653" s="27"/>
      <c r="H653" s="99"/>
      <c r="M653" s="27"/>
      <c r="N653" s="48"/>
    </row>
    <row r="654" spans="1:14" s="7" customFormat="1" x14ac:dyDescent="0.35">
      <c r="A654" s="113"/>
      <c r="B654" s="27"/>
      <c r="C654" s="48"/>
      <c r="D654" s="27"/>
      <c r="E654" s="38"/>
      <c r="F654" s="27"/>
      <c r="G654" s="27"/>
      <c r="H654" s="99"/>
      <c r="M654" s="27"/>
      <c r="N654" s="48"/>
    </row>
    <row r="655" spans="1:14" s="7" customFormat="1" x14ac:dyDescent="0.35">
      <c r="A655" s="113"/>
      <c r="B655" s="27"/>
      <c r="C655" s="48"/>
      <c r="D655" s="27"/>
      <c r="E655" s="38"/>
      <c r="F655" s="27"/>
      <c r="G655" s="27"/>
      <c r="H655" s="99"/>
      <c r="M655" s="27"/>
      <c r="N655" s="48"/>
    </row>
    <row r="656" spans="1:14" s="7" customFormat="1" x14ac:dyDescent="0.35">
      <c r="A656" s="113"/>
      <c r="B656" s="27"/>
      <c r="C656" s="48"/>
      <c r="D656" s="27"/>
      <c r="E656" s="38"/>
      <c r="F656" s="27"/>
      <c r="G656" s="27"/>
      <c r="H656" s="99"/>
      <c r="M656" s="27"/>
      <c r="N656" s="48"/>
    </row>
    <row r="657" spans="1:14" s="7" customFormat="1" x14ac:dyDescent="0.35">
      <c r="A657" s="113"/>
      <c r="B657" s="27"/>
      <c r="C657" s="48"/>
      <c r="D657" s="27"/>
      <c r="E657" s="38"/>
      <c r="F657" s="27"/>
      <c r="G657" s="27"/>
      <c r="H657" s="99"/>
      <c r="M657" s="27"/>
      <c r="N657" s="48"/>
    </row>
    <row r="658" spans="1:14" s="7" customFormat="1" x14ac:dyDescent="0.35">
      <c r="A658" s="113"/>
      <c r="B658" s="27"/>
      <c r="C658" s="48"/>
      <c r="D658" s="27"/>
      <c r="E658" s="38"/>
      <c r="F658" s="27"/>
      <c r="G658" s="27"/>
      <c r="H658" s="99"/>
      <c r="M658" s="27"/>
      <c r="N658" s="48"/>
    </row>
    <row r="659" spans="1:14" s="7" customFormat="1" x14ac:dyDescent="0.35">
      <c r="A659" s="113"/>
      <c r="B659" s="27"/>
      <c r="C659" s="48"/>
      <c r="D659" s="27"/>
      <c r="E659" s="38"/>
      <c r="F659" s="27"/>
      <c r="G659" s="27"/>
      <c r="H659" s="99"/>
      <c r="M659" s="27"/>
      <c r="N659" s="48"/>
    </row>
    <row r="660" spans="1:14" s="7" customFormat="1" x14ac:dyDescent="0.35">
      <c r="A660" s="113"/>
      <c r="B660" s="27"/>
      <c r="C660" s="48"/>
      <c r="D660" s="27"/>
      <c r="E660" s="38"/>
      <c r="F660" s="27"/>
      <c r="G660" s="27"/>
      <c r="H660" s="99"/>
      <c r="M660" s="27"/>
      <c r="N660" s="48"/>
    </row>
    <row r="661" spans="1:14" s="7" customFormat="1" x14ac:dyDescent="0.35">
      <c r="A661" s="113"/>
      <c r="B661" s="27"/>
      <c r="C661" s="48"/>
      <c r="D661" s="27"/>
      <c r="E661" s="38"/>
      <c r="F661" s="27"/>
      <c r="G661" s="27"/>
      <c r="H661" s="99"/>
      <c r="M661" s="27"/>
      <c r="N661" s="48"/>
    </row>
    <row r="662" spans="1:14" s="7" customFormat="1" x14ac:dyDescent="0.35">
      <c r="A662" s="113"/>
      <c r="B662" s="27"/>
      <c r="C662" s="48"/>
      <c r="D662" s="27"/>
      <c r="E662" s="38"/>
      <c r="F662" s="27"/>
      <c r="G662" s="27"/>
      <c r="H662" s="99"/>
      <c r="M662" s="27"/>
      <c r="N662" s="48"/>
    </row>
    <row r="663" spans="1:14" s="7" customFormat="1" x14ac:dyDescent="0.35">
      <c r="A663" s="113"/>
      <c r="B663" s="27"/>
      <c r="C663" s="48"/>
      <c r="D663" s="27"/>
      <c r="E663" s="38"/>
      <c r="F663" s="27"/>
      <c r="G663" s="27"/>
      <c r="H663" s="99"/>
      <c r="M663" s="27"/>
      <c r="N663" s="48"/>
    </row>
    <row r="664" spans="1:14" s="7" customFormat="1" x14ac:dyDescent="0.35">
      <c r="A664" s="113"/>
      <c r="B664" s="27"/>
      <c r="C664" s="48"/>
      <c r="D664" s="27"/>
      <c r="E664" s="38"/>
      <c r="F664" s="27"/>
      <c r="G664" s="27"/>
      <c r="H664" s="99"/>
      <c r="M664" s="27"/>
      <c r="N664" s="48"/>
    </row>
    <row r="665" spans="1:14" s="7" customFormat="1" x14ac:dyDescent="0.35">
      <c r="A665" s="113"/>
      <c r="B665" s="27"/>
      <c r="C665" s="48"/>
      <c r="D665" s="27"/>
      <c r="E665" s="38"/>
      <c r="F665" s="27"/>
      <c r="G665" s="27"/>
      <c r="H665" s="99"/>
      <c r="M665" s="27"/>
      <c r="N665" s="48"/>
    </row>
    <row r="666" spans="1:14" s="7" customFormat="1" x14ac:dyDescent="0.35">
      <c r="A666" s="113"/>
      <c r="B666" s="27"/>
      <c r="C666" s="48"/>
      <c r="D666" s="27"/>
      <c r="E666" s="38"/>
      <c r="F666" s="27"/>
      <c r="G666" s="27"/>
      <c r="H666" s="99"/>
      <c r="M666" s="27"/>
      <c r="N666" s="48"/>
    </row>
    <row r="667" spans="1:14" s="7" customFormat="1" x14ac:dyDescent="0.35">
      <c r="A667" s="113"/>
      <c r="B667" s="27"/>
      <c r="C667" s="48"/>
      <c r="D667" s="27"/>
      <c r="E667" s="38"/>
      <c r="F667" s="27"/>
      <c r="G667" s="27"/>
      <c r="H667" s="99"/>
      <c r="M667" s="27"/>
      <c r="N667" s="48"/>
    </row>
    <row r="668" spans="1:14" s="7" customFormat="1" x14ac:dyDescent="0.35">
      <c r="A668" s="113"/>
      <c r="B668" s="27"/>
      <c r="C668" s="48"/>
      <c r="D668" s="27"/>
      <c r="E668" s="38"/>
      <c r="F668" s="27"/>
      <c r="G668" s="27"/>
      <c r="H668" s="99"/>
      <c r="M668" s="27"/>
      <c r="N668" s="48"/>
    </row>
    <row r="669" spans="1:14" s="7" customFormat="1" x14ac:dyDescent="0.35">
      <c r="A669" s="113"/>
      <c r="B669" s="27"/>
      <c r="C669" s="48"/>
      <c r="D669" s="27"/>
      <c r="E669" s="38"/>
      <c r="F669" s="27"/>
      <c r="G669" s="27"/>
      <c r="H669" s="99"/>
      <c r="M669" s="27"/>
      <c r="N669" s="48"/>
    </row>
    <row r="670" spans="1:14" s="7" customFormat="1" x14ac:dyDescent="0.35">
      <c r="A670" s="113"/>
      <c r="B670" s="27"/>
      <c r="C670" s="48"/>
      <c r="D670" s="27"/>
      <c r="E670" s="38"/>
      <c r="F670" s="27"/>
      <c r="G670" s="27"/>
      <c r="H670" s="99"/>
      <c r="M670" s="27"/>
      <c r="N670" s="48"/>
    </row>
    <row r="671" spans="1:14" s="7" customFormat="1" x14ac:dyDescent="0.35">
      <c r="A671" s="113"/>
      <c r="B671" s="27"/>
      <c r="C671" s="48"/>
      <c r="D671" s="27"/>
      <c r="E671" s="38"/>
      <c r="F671" s="27"/>
      <c r="G671" s="27"/>
      <c r="H671" s="99"/>
      <c r="M671" s="27"/>
      <c r="N671" s="48"/>
    </row>
    <row r="672" spans="1:14" s="7" customFormat="1" x14ac:dyDescent="0.35">
      <c r="A672" s="113"/>
      <c r="B672" s="27"/>
      <c r="C672" s="48"/>
      <c r="D672" s="27"/>
      <c r="E672" s="38"/>
      <c r="F672" s="27"/>
      <c r="G672" s="27"/>
      <c r="H672" s="99"/>
      <c r="M672" s="27"/>
      <c r="N672" s="48"/>
    </row>
    <row r="673" spans="1:14" s="7" customFormat="1" x14ac:dyDescent="0.35">
      <c r="A673" s="113"/>
      <c r="B673" s="27"/>
      <c r="C673" s="48"/>
      <c r="D673" s="27"/>
      <c r="E673" s="38"/>
      <c r="F673" s="27"/>
      <c r="G673" s="27"/>
      <c r="H673" s="99"/>
      <c r="M673" s="27"/>
      <c r="N673" s="48"/>
    </row>
    <row r="674" spans="1:14" s="7" customFormat="1" x14ac:dyDescent="0.35">
      <c r="A674" s="113"/>
      <c r="B674" s="27"/>
      <c r="C674" s="48"/>
      <c r="D674" s="27"/>
      <c r="E674" s="38"/>
      <c r="F674" s="27"/>
      <c r="G674" s="27"/>
      <c r="H674" s="99"/>
      <c r="M674" s="27"/>
      <c r="N674" s="48"/>
    </row>
    <row r="675" spans="1:14" s="7" customFormat="1" x14ac:dyDescent="0.35">
      <c r="A675" s="113"/>
      <c r="B675" s="27"/>
      <c r="C675" s="48"/>
      <c r="D675" s="27"/>
      <c r="E675" s="38"/>
      <c r="F675" s="27"/>
      <c r="G675" s="27"/>
      <c r="H675" s="99"/>
      <c r="M675" s="27"/>
      <c r="N675" s="48"/>
    </row>
    <row r="676" spans="1:14" s="7" customFormat="1" x14ac:dyDescent="0.35">
      <c r="A676" s="113"/>
      <c r="B676" s="27"/>
      <c r="C676" s="48"/>
      <c r="D676" s="27"/>
      <c r="E676" s="38"/>
      <c r="F676" s="27"/>
      <c r="G676" s="27"/>
      <c r="H676" s="99"/>
      <c r="M676" s="27"/>
      <c r="N676" s="48"/>
    </row>
    <row r="677" spans="1:14" s="7" customFormat="1" x14ac:dyDescent="0.35">
      <c r="A677" s="113"/>
      <c r="B677" s="27"/>
      <c r="C677" s="48"/>
      <c r="D677" s="27"/>
      <c r="E677" s="38"/>
      <c r="F677" s="27"/>
      <c r="G677" s="27"/>
      <c r="H677" s="99"/>
      <c r="M677" s="27"/>
      <c r="N677" s="48"/>
    </row>
    <row r="678" spans="1:14" s="7" customFormat="1" x14ac:dyDescent="0.35">
      <c r="A678" s="113"/>
      <c r="B678" s="27"/>
      <c r="C678" s="48"/>
      <c r="D678" s="27"/>
      <c r="E678" s="38"/>
      <c r="F678" s="27"/>
      <c r="G678" s="27"/>
      <c r="H678" s="99"/>
      <c r="M678" s="27"/>
      <c r="N678" s="48"/>
    </row>
    <row r="679" spans="1:14" s="7" customFormat="1" x14ac:dyDescent="0.35">
      <c r="A679" s="113"/>
      <c r="B679" s="27"/>
      <c r="C679" s="48"/>
      <c r="D679" s="27"/>
      <c r="E679" s="38"/>
      <c r="F679" s="27"/>
      <c r="G679" s="27"/>
      <c r="H679" s="99"/>
      <c r="M679" s="27"/>
      <c r="N679" s="48"/>
    </row>
    <row r="680" spans="1:14" s="7" customFormat="1" x14ac:dyDescent="0.35">
      <c r="A680" s="113"/>
      <c r="B680" s="27"/>
      <c r="C680" s="48"/>
      <c r="D680" s="27"/>
      <c r="E680" s="38"/>
      <c r="F680" s="27"/>
      <c r="G680" s="27"/>
      <c r="H680" s="99"/>
      <c r="M680" s="27"/>
      <c r="N680" s="48"/>
    </row>
    <row r="681" spans="1:14" s="7" customFormat="1" x14ac:dyDescent="0.35">
      <c r="A681" s="113"/>
      <c r="B681" s="27"/>
      <c r="C681" s="48"/>
      <c r="D681" s="27"/>
      <c r="E681" s="38"/>
      <c r="F681" s="27"/>
      <c r="G681" s="27"/>
      <c r="H681" s="99"/>
      <c r="M681" s="27"/>
      <c r="N681" s="48"/>
    </row>
    <row r="682" spans="1:14" s="7" customFormat="1" x14ac:dyDescent="0.35">
      <c r="A682" s="113"/>
      <c r="B682" s="27"/>
      <c r="C682" s="48"/>
      <c r="D682" s="27"/>
      <c r="E682" s="38"/>
      <c r="F682" s="27"/>
      <c r="G682" s="27"/>
      <c r="H682" s="99"/>
      <c r="M682" s="27"/>
      <c r="N682" s="48"/>
    </row>
    <row r="683" spans="1:14" s="7" customFormat="1" x14ac:dyDescent="0.35">
      <c r="A683" s="113"/>
      <c r="B683" s="27"/>
      <c r="C683" s="48"/>
      <c r="D683" s="27"/>
      <c r="E683" s="38"/>
      <c r="F683" s="27"/>
      <c r="G683" s="27"/>
      <c r="H683" s="99"/>
      <c r="M683" s="27"/>
      <c r="N683" s="48"/>
    </row>
    <row r="684" spans="1:14" s="7" customFormat="1" x14ac:dyDescent="0.35">
      <c r="A684" s="113"/>
      <c r="B684" s="27"/>
      <c r="C684" s="48"/>
      <c r="D684" s="27"/>
      <c r="E684" s="38"/>
      <c r="F684" s="27"/>
      <c r="G684" s="27"/>
      <c r="H684" s="99"/>
      <c r="M684" s="27"/>
      <c r="N684" s="48"/>
    </row>
    <row r="685" spans="1:14" s="7" customFormat="1" x14ac:dyDescent="0.35">
      <c r="A685" s="113"/>
      <c r="B685" s="27"/>
      <c r="C685" s="48"/>
      <c r="D685" s="27"/>
      <c r="E685" s="38"/>
      <c r="F685" s="27"/>
      <c r="G685" s="27"/>
      <c r="H685" s="99"/>
      <c r="M685" s="27"/>
      <c r="N685" s="48"/>
    </row>
    <row r="686" spans="1:14" s="7" customFormat="1" x14ac:dyDescent="0.35">
      <c r="A686" s="113"/>
      <c r="B686" s="27"/>
      <c r="C686" s="48"/>
      <c r="D686" s="27"/>
      <c r="E686" s="38"/>
      <c r="F686" s="27"/>
      <c r="G686" s="27"/>
      <c r="H686" s="99"/>
      <c r="M686" s="27"/>
      <c r="N686" s="48"/>
    </row>
    <row r="687" spans="1:14" s="7" customFormat="1" x14ac:dyDescent="0.35">
      <c r="A687" s="113"/>
      <c r="B687" s="27"/>
      <c r="C687" s="48"/>
      <c r="D687" s="27"/>
      <c r="E687" s="38"/>
      <c r="F687" s="27"/>
      <c r="G687" s="27"/>
      <c r="H687" s="99"/>
      <c r="M687" s="27"/>
      <c r="N687" s="48"/>
    </row>
    <row r="688" spans="1:14" s="7" customFormat="1" x14ac:dyDescent="0.35">
      <c r="A688" s="113"/>
      <c r="B688" s="27"/>
      <c r="C688" s="48"/>
      <c r="D688" s="27"/>
      <c r="E688" s="38"/>
      <c r="F688" s="27"/>
      <c r="G688" s="27"/>
      <c r="H688" s="99"/>
      <c r="M688" s="27"/>
      <c r="N688" s="48"/>
    </row>
    <row r="689" spans="1:14" s="7" customFormat="1" x14ac:dyDescent="0.35">
      <c r="A689" s="113"/>
      <c r="B689" s="27"/>
      <c r="C689" s="48"/>
      <c r="D689" s="27"/>
      <c r="E689" s="38"/>
      <c r="F689" s="27"/>
      <c r="G689" s="27"/>
      <c r="H689" s="99"/>
      <c r="M689" s="27"/>
      <c r="N689" s="48"/>
    </row>
    <row r="690" spans="1:14" s="7" customFormat="1" x14ac:dyDescent="0.35">
      <c r="A690" s="113"/>
      <c r="B690" s="27"/>
      <c r="C690" s="48"/>
      <c r="D690" s="27"/>
      <c r="E690" s="38"/>
      <c r="F690" s="27"/>
      <c r="G690" s="27"/>
      <c r="H690" s="99"/>
      <c r="M690" s="27"/>
      <c r="N690" s="48"/>
    </row>
    <row r="691" spans="1:14" s="7" customFormat="1" x14ac:dyDescent="0.35">
      <c r="A691" s="113"/>
      <c r="B691" s="27"/>
      <c r="C691" s="48"/>
      <c r="D691" s="27"/>
      <c r="E691" s="38"/>
      <c r="F691" s="27"/>
      <c r="G691" s="27"/>
      <c r="H691" s="99"/>
      <c r="M691" s="27"/>
      <c r="N691" s="48"/>
    </row>
    <row r="692" spans="1:14" s="7" customFormat="1" x14ac:dyDescent="0.35">
      <c r="A692" s="113"/>
      <c r="B692" s="27"/>
      <c r="C692" s="48"/>
      <c r="D692" s="27"/>
      <c r="E692" s="38"/>
      <c r="F692" s="27"/>
      <c r="G692" s="27"/>
      <c r="H692" s="99"/>
      <c r="M692" s="27"/>
      <c r="N692" s="48"/>
    </row>
    <row r="693" spans="1:14" s="7" customFormat="1" x14ac:dyDescent="0.35">
      <c r="A693" s="113"/>
      <c r="B693" s="27"/>
      <c r="C693" s="48"/>
      <c r="D693" s="27"/>
      <c r="E693" s="38"/>
      <c r="F693" s="27"/>
      <c r="G693" s="27"/>
      <c r="H693" s="99"/>
      <c r="M693" s="27"/>
      <c r="N693" s="48"/>
    </row>
    <row r="694" spans="1:14" s="7" customFormat="1" x14ac:dyDescent="0.35">
      <c r="A694" s="113"/>
      <c r="B694" s="27"/>
      <c r="C694" s="48"/>
      <c r="D694" s="27"/>
      <c r="E694" s="38"/>
      <c r="F694" s="27"/>
      <c r="G694" s="27"/>
      <c r="H694" s="99"/>
      <c r="M694" s="27"/>
      <c r="N694" s="48"/>
    </row>
    <row r="695" spans="1:14" s="7" customFormat="1" x14ac:dyDescent="0.35">
      <c r="A695" s="113"/>
      <c r="B695" s="27"/>
      <c r="C695" s="48"/>
      <c r="D695" s="27"/>
      <c r="E695" s="38"/>
      <c r="F695" s="27"/>
      <c r="G695" s="27"/>
      <c r="H695" s="99"/>
      <c r="M695" s="27"/>
      <c r="N695" s="48"/>
    </row>
    <row r="696" spans="1:14" s="7" customFormat="1" x14ac:dyDescent="0.35">
      <c r="A696" s="113"/>
      <c r="B696" s="27"/>
      <c r="C696" s="48"/>
      <c r="D696" s="27"/>
      <c r="E696" s="38"/>
      <c r="F696" s="27"/>
      <c r="G696" s="27"/>
      <c r="H696" s="99"/>
      <c r="M696" s="27"/>
      <c r="N696" s="48"/>
    </row>
    <row r="697" spans="1:14" s="7" customFormat="1" x14ac:dyDescent="0.35">
      <c r="A697" s="113"/>
      <c r="B697" s="27"/>
      <c r="C697" s="48"/>
      <c r="D697" s="27"/>
      <c r="E697" s="38"/>
      <c r="F697" s="27"/>
      <c r="G697" s="27"/>
      <c r="H697" s="99"/>
      <c r="M697" s="27"/>
      <c r="N697" s="48"/>
    </row>
    <row r="698" spans="1:14" s="7" customFormat="1" x14ac:dyDescent="0.35">
      <c r="A698" s="113"/>
      <c r="B698" s="27"/>
      <c r="C698" s="48"/>
      <c r="D698" s="27"/>
      <c r="E698" s="38"/>
      <c r="F698" s="27"/>
      <c r="G698" s="27"/>
      <c r="H698" s="99"/>
      <c r="M698" s="27"/>
      <c r="N698" s="48"/>
    </row>
    <row r="699" spans="1:14" s="7" customFormat="1" x14ac:dyDescent="0.35">
      <c r="A699" s="113"/>
      <c r="B699" s="27"/>
      <c r="C699" s="48"/>
      <c r="D699" s="27"/>
      <c r="E699" s="38"/>
      <c r="F699" s="27"/>
      <c r="G699" s="27"/>
      <c r="H699" s="99"/>
      <c r="M699" s="27"/>
      <c r="N699" s="48"/>
    </row>
    <row r="700" spans="1:14" s="7" customFormat="1" x14ac:dyDescent="0.35">
      <c r="A700" s="113"/>
      <c r="B700" s="27"/>
      <c r="C700" s="48"/>
      <c r="D700" s="27"/>
      <c r="E700" s="38"/>
      <c r="F700" s="27"/>
      <c r="G700" s="27"/>
      <c r="H700" s="99"/>
      <c r="M700" s="27"/>
      <c r="N700" s="48"/>
    </row>
    <row r="701" spans="1:14" s="7" customFormat="1" x14ac:dyDescent="0.35">
      <c r="A701" s="113"/>
      <c r="B701" s="27"/>
      <c r="C701" s="48"/>
      <c r="D701" s="27"/>
      <c r="E701" s="38"/>
      <c r="F701" s="27"/>
      <c r="G701" s="27"/>
      <c r="H701" s="99"/>
      <c r="M701" s="27"/>
      <c r="N701" s="48"/>
    </row>
    <row r="702" spans="1:14" s="7" customFormat="1" x14ac:dyDescent="0.35">
      <c r="A702" s="113"/>
      <c r="B702" s="27"/>
      <c r="C702" s="48"/>
      <c r="D702" s="27"/>
      <c r="E702" s="38"/>
      <c r="F702" s="27"/>
      <c r="G702" s="27"/>
      <c r="H702" s="99"/>
      <c r="M702" s="27"/>
      <c r="N702" s="48"/>
    </row>
    <row r="703" spans="1:14" s="7" customFormat="1" x14ac:dyDescent="0.35">
      <c r="A703" s="113"/>
      <c r="B703" s="27"/>
      <c r="C703" s="48"/>
      <c r="D703" s="27"/>
      <c r="E703" s="38"/>
      <c r="F703" s="27"/>
      <c r="G703" s="27"/>
      <c r="H703" s="99"/>
      <c r="M703" s="27"/>
      <c r="N703" s="48"/>
    </row>
    <row r="704" spans="1:14" s="7" customFormat="1" x14ac:dyDescent="0.35">
      <c r="A704" s="113"/>
      <c r="B704" s="27"/>
      <c r="C704" s="48"/>
      <c r="D704" s="27"/>
      <c r="E704" s="38"/>
      <c r="F704" s="27"/>
      <c r="G704" s="27"/>
      <c r="H704" s="99"/>
      <c r="M704" s="27"/>
      <c r="N704" s="48"/>
    </row>
    <row r="705" spans="1:14" s="7" customFormat="1" x14ac:dyDescent="0.35">
      <c r="A705" s="113"/>
      <c r="B705" s="27"/>
      <c r="C705" s="48"/>
      <c r="D705" s="27"/>
      <c r="E705" s="38"/>
      <c r="F705" s="27"/>
      <c r="G705" s="27"/>
      <c r="H705" s="99"/>
      <c r="M705" s="27"/>
      <c r="N705" s="48"/>
    </row>
    <row r="706" spans="1:14" s="7" customFormat="1" x14ac:dyDescent="0.35">
      <c r="A706" s="113"/>
      <c r="B706" s="27"/>
      <c r="C706" s="48"/>
      <c r="D706" s="27"/>
      <c r="E706" s="38"/>
      <c r="F706" s="27"/>
      <c r="G706" s="27"/>
      <c r="H706" s="99"/>
      <c r="M706" s="27"/>
      <c r="N706" s="48"/>
    </row>
    <row r="707" spans="1:14" s="7" customFormat="1" x14ac:dyDescent="0.35">
      <c r="A707" s="113"/>
      <c r="B707" s="27"/>
      <c r="C707" s="48"/>
      <c r="D707" s="27"/>
      <c r="E707" s="38"/>
      <c r="F707" s="27"/>
      <c r="G707" s="27"/>
      <c r="H707" s="99"/>
      <c r="M707" s="27"/>
      <c r="N707" s="48"/>
    </row>
    <row r="708" spans="1:14" s="7" customFormat="1" x14ac:dyDescent="0.35">
      <c r="A708" s="113"/>
      <c r="B708" s="27"/>
      <c r="C708" s="48"/>
      <c r="D708" s="27"/>
      <c r="E708" s="38"/>
      <c r="F708" s="27"/>
      <c r="G708" s="27"/>
      <c r="H708" s="99"/>
      <c r="M708" s="27"/>
      <c r="N708" s="48"/>
    </row>
    <row r="709" spans="1:14" s="7" customFormat="1" x14ac:dyDescent="0.35">
      <c r="A709" s="113"/>
      <c r="B709" s="27"/>
      <c r="C709" s="48"/>
      <c r="D709" s="27"/>
      <c r="E709" s="38"/>
      <c r="F709" s="27"/>
      <c r="G709" s="27"/>
      <c r="H709" s="99"/>
      <c r="M709" s="27"/>
      <c r="N709" s="48"/>
    </row>
    <row r="710" spans="1:14" s="7" customFormat="1" x14ac:dyDescent="0.35">
      <c r="A710" s="113"/>
      <c r="B710" s="27"/>
      <c r="C710" s="48"/>
      <c r="D710" s="27"/>
      <c r="E710" s="38"/>
      <c r="F710" s="27"/>
      <c r="G710" s="27"/>
      <c r="H710" s="99"/>
      <c r="M710" s="27"/>
      <c r="N710" s="48"/>
    </row>
    <row r="711" spans="1:14" s="7" customFormat="1" x14ac:dyDescent="0.35">
      <c r="A711" s="113"/>
      <c r="B711" s="27"/>
      <c r="C711" s="48"/>
      <c r="D711" s="27"/>
      <c r="E711" s="38"/>
      <c r="F711" s="27"/>
      <c r="G711" s="27"/>
      <c r="H711" s="99"/>
      <c r="M711" s="27"/>
      <c r="N711" s="48"/>
    </row>
    <row r="712" spans="1:14" s="7" customFormat="1" x14ac:dyDescent="0.35">
      <c r="A712" s="113"/>
      <c r="B712" s="27"/>
      <c r="C712" s="48"/>
      <c r="D712" s="27"/>
      <c r="E712" s="38"/>
      <c r="F712" s="27"/>
      <c r="G712" s="27"/>
      <c r="H712" s="99"/>
      <c r="M712" s="27"/>
      <c r="N712" s="48"/>
    </row>
    <row r="713" spans="1:14" s="7" customFormat="1" x14ac:dyDescent="0.35">
      <c r="A713" s="113"/>
      <c r="B713" s="27"/>
      <c r="C713" s="48"/>
      <c r="D713" s="27"/>
      <c r="E713" s="38"/>
      <c r="F713" s="27"/>
      <c r="G713" s="27"/>
      <c r="H713" s="99"/>
      <c r="M713" s="27"/>
      <c r="N713" s="48"/>
    </row>
    <row r="714" spans="1:14" s="7" customFormat="1" x14ac:dyDescent="0.35">
      <c r="A714" s="113"/>
      <c r="B714" s="27"/>
      <c r="C714" s="48"/>
      <c r="D714" s="27"/>
      <c r="E714" s="38"/>
      <c r="F714" s="27"/>
      <c r="G714" s="27"/>
      <c r="H714" s="99"/>
      <c r="M714" s="27"/>
      <c r="N714" s="48"/>
    </row>
    <row r="715" spans="1:14" s="7" customFormat="1" x14ac:dyDescent="0.35">
      <c r="A715" s="113"/>
      <c r="B715" s="27"/>
      <c r="C715" s="48"/>
      <c r="D715" s="27"/>
      <c r="E715" s="38"/>
      <c r="F715" s="27"/>
      <c r="G715" s="27"/>
      <c r="H715" s="99"/>
      <c r="M715" s="27"/>
      <c r="N715" s="48"/>
    </row>
    <row r="716" spans="1:14" s="7" customFormat="1" x14ac:dyDescent="0.35">
      <c r="A716" s="113"/>
      <c r="B716" s="27"/>
      <c r="C716" s="48"/>
      <c r="D716" s="27"/>
      <c r="E716" s="38"/>
      <c r="F716" s="27"/>
      <c r="G716" s="27"/>
      <c r="H716" s="99"/>
      <c r="M716" s="27"/>
      <c r="N716" s="48"/>
    </row>
    <row r="717" spans="1:14" s="7" customFormat="1" x14ac:dyDescent="0.35">
      <c r="A717" s="113"/>
      <c r="B717" s="27"/>
      <c r="C717" s="48"/>
      <c r="D717" s="27"/>
      <c r="E717" s="38"/>
      <c r="F717" s="27"/>
      <c r="G717" s="27"/>
      <c r="H717" s="99"/>
      <c r="M717" s="27"/>
      <c r="N717" s="48"/>
    </row>
    <row r="718" spans="1:14" s="7" customFormat="1" x14ac:dyDescent="0.35">
      <c r="A718" s="113"/>
      <c r="B718" s="27"/>
      <c r="C718" s="48"/>
      <c r="D718" s="27"/>
      <c r="E718" s="38"/>
      <c r="F718" s="27"/>
      <c r="G718" s="27"/>
      <c r="H718" s="99"/>
      <c r="M718" s="27"/>
      <c r="N718" s="48"/>
    </row>
    <row r="719" spans="1:14" s="7" customFormat="1" x14ac:dyDescent="0.35">
      <c r="A719" s="113"/>
      <c r="B719" s="27"/>
      <c r="C719" s="48"/>
      <c r="D719" s="27"/>
      <c r="E719" s="38"/>
      <c r="F719" s="27"/>
      <c r="G719" s="27"/>
      <c r="H719" s="99"/>
      <c r="M719" s="27"/>
      <c r="N719" s="48"/>
    </row>
    <row r="720" spans="1:14" s="7" customFormat="1" x14ac:dyDescent="0.35">
      <c r="A720" s="113"/>
      <c r="B720" s="27"/>
      <c r="C720" s="48"/>
      <c r="D720" s="27"/>
      <c r="E720" s="38"/>
      <c r="F720" s="27"/>
      <c r="G720" s="27"/>
      <c r="H720" s="99"/>
      <c r="M720" s="27"/>
      <c r="N720" s="48"/>
    </row>
    <row r="721" spans="1:14" s="7" customFormat="1" x14ac:dyDescent="0.35">
      <c r="A721" s="113"/>
      <c r="B721" s="27"/>
      <c r="C721" s="48"/>
      <c r="D721" s="27"/>
      <c r="E721" s="38"/>
      <c r="F721" s="27"/>
      <c r="G721" s="27"/>
      <c r="H721" s="99"/>
      <c r="M721" s="27"/>
      <c r="N721" s="48"/>
    </row>
    <row r="722" spans="1:14" s="7" customFormat="1" x14ac:dyDescent="0.35">
      <c r="A722" s="113"/>
      <c r="B722" s="27"/>
      <c r="C722" s="48"/>
      <c r="D722" s="27"/>
      <c r="E722" s="38"/>
      <c r="F722" s="27"/>
      <c r="G722" s="27"/>
      <c r="H722" s="99"/>
      <c r="M722" s="27"/>
      <c r="N722" s="48"/>
    </row>
    <row r="723" spans="1:14" s="7" customFormat="1" x14ac:dyDescent="0.35">
      <c r="A723" s="113"/>
      <c r="B723" s="27"/>
      <c r="C723" s="48"/>
      <c r="D723" s="27"/>
      <c r="E723" s="38"/>
      <c r="F723" s="27"/>
      <c r="G723" s="27"/>
      <c r="H723" s="99"/>
      <c r="M723" s="27"/>
      <c r="N723" s="48"/>
    </row>
    <row r="724" spans="1:14" s="7" customFormat="1" x14ac:dyDescent="0.35">
      <c r="A724" s="113"/>
      <c r="B724" s="27"/>
      <c r="C724" s="48"/>
      <c r="D724" s="27"/>
      <c r="E724" s="38"/>
      <c r="F724" s="27"/>
      <c r="G724" s="27"/>
      <c r="H724" s="99"/>
      <c r="M724" s="27"/>
      <c r="N724" s="48"/>
    </row>
    <row r="725" spans="1:14" s="7" customFormat="1" x14ac:dyDescent="0.35">
      <c r="A725" s="113"/>
      <c r="B725" s="27"/>
      <c r="C725" s="48"/>
      <c r="D725" s="27"/>
      <c r="E725" s="38"/>
      <c r="F725" s="27"/>
      <c r="G725" s="27"/>
      <c r="H725" s="99"/>
      <c r="M725" s="27"/>
      <c r="N725" s="48"/>
    </row>
    <row r="726" spans="1:14" s="7" customFormat="1" x14ac:dyDescent="0.35">
      <c r="A726" s="113"/>
      <c r="B726" s="27"/>
      <c r="C726" s="48"/>
      <c r="D726" s="27"/>
      <c r="E726" s="38"/>
      <c r="F726" s="27"/>
      <c r="G726" s="27"/>
      <c r="H726" s="99"/>
      <c r="M726" s="27"/>
      <c r="N726" s="48"/>
    </row>
    <row r="727" spans="1:14" s="7" customFormat="1" x14ac:dyDescent="0.35">
      <c r="A727" s="113"/>
      <c r="B727" s="27"/>
      <c r="C727" s="48"/>
      <c r="D727" s="27"/>
      <c r="E727" s="38"/>
      <c r="F727" s="27"/>
      <c r="G727" s="27"/>
      <c r="H727" s="99"/>
      <c r="M727" s="27"/>
      <c r="N727" s="48"/>
    </row>
    <row r="728" spans="1:14" s="7" customFormat="1" x14ac:dyDescent="0.35">
      <c r="A728" s="113"/>
      <c r="B728" s="27"/>
      <c r="C728" s="48"/>
      <c r="D728" s="27"/>
      <c r="E728" s="38"/>
      <c r="F728" s="27"/>
      <c r="G728" s="27"/>
      <c r="H728" s="99"/>
      <c r="M728" s="27"/>
      <c r="N728" s="48"/>
    </row>
    <row r="729" spans="1:14" s="7" customFormat="1" x14ac:dyDescent="0.35">
      <c r="A729" s="113"/>
      <c r="B729" s="27"/>
      <c r="C729" s="48"/>
      <c r="D729" s="27"/>
      <c r="E729" s="38"/>
      <c r="F729" s="27"/>
      <c r="G729" s="27"/>
      <c r="H729" s="99"/>
      <c r="M729" s="27"/>
      <c r="N729" s="48"/>
    </row>
    <row r="730" spans="1:14" s="7" customFormat="1" x14ac:dyDescent="0.35">
      <c r="A730" s="113"/>
      <c r="B730" s="27"/>
      <c r="C730" s="48"/>
      <c r="D730" s="27"/>
      <c r="E730" s="38"/>
      <c r="F730" s="27"/>
      <c r="G730" s="27"/>
      <c r="H730" s="99"/>
      <c r="M730" s="27"/>
      <c r="N730" s="48"/>
    </row>
    <row r="731" spans="1:14" s="7" customFormat="1" x14ac:dyDescent="0.35">
      <c r="A731" s="113"/>
      <c r="B731" s="27"/>
      <c r="C731" s="48"/>
      <c r="D731" s="27"/>
      <c r="E731" s="38"/>
      <c r="F731" s="27"/>
      <c r="G731" s="27"/>
      <c r="H731" s="99"/>
      <c r="M731" s="27"/>
      <c r="N731" s="48"/>
    </row>
    <row r="732" spans="1:14" s="7" customFormat="1" x14ac:dyDescent="0.35">
      <c r="A732" s="113"/>
      <c r="B732" s="27"/>
      <c r="C732" s="48"/>
      <c r="D732" s="27"/>
      <c r="E732" s="38"/>
      <c r="F732" s="27"/>
      <c r="G732" s="27"/>
      <c r="H732" s="99"/>
      <c r="M732" s="27"/>
      <c r="N732" s="48"/>
    </row>
    <row r="733" spans="1:14" s="7" customFormat="1" x14ac:dyDescent="0.35">
      <c r="A733" s="113"/>
      <c r="B733" s="27"/>
      <c r="C733" s="48"/>
      <c r="D733" s="27"/>
      <c r="E733" s="38"/>
      <c r="F733" s="27"/>
      <c r="G733" s="27"/>
      <c r="H733" s="99"/>
      <c r="M733" s="27"/>
      <c r="N733" s="48"/>
    </row>
    <row r="734" spans="1:14" s="7" customFormat="1" x14ac:dyDescent="0.35">
      <c r="A734" s="113"/>
      <c r="B734" s="27"/>
      <c r="C734" s="48"/>
      <c r="D734" s="27"/>
      <c r="E734" s="38"/>
      <c r="F734" s="27"/>
      <c r="G734" s="27"/>
      <c r="H734" s="99"/>
      <c r="M734" s="27"/>
      <c r="N734" s="48"/>
    </row>
    <row r="735" spans="1:14" s="7" customFormat="1" x14ac:dyDescent="0.35">
      <c r="A735" s="113"/>
      <c r="B735" s="27"/>
      <c r="C735" s="48"/>
      <c r="D735" s="27"/>
      <c r="E735" s="38"/>
      <c r="F735" s="27"/>
      <c r="G735" s="27"/>
      <c r="H735" s="99"/>
      <c r="M735" s="27"/>
      <c r="N735" s="48"/>
    </row>
    <row r="736" spans="1:14" s="7" customFormat="1" x14ac:dyDescent="0.35">
      <c r="A736" s="113"/>
      <c r="B736" s="27"/>
      <c r="C736" s="48"/>
      <c r="D736" s="27"/>
      <c r="E736" s="38"/>
      <c r="F736" s="27"/>
      <c r="G736" s="27"/>
      <c r="H736" s="99"/>
      <c r="M736" s="27"/>
      <c r="N736" s="48"/>
    </row>
    <row r="737" spans="1:14" s="7" customFormat="1" x14ac:dyDescent="0.35">
      <c r="A737" s="113"/>
      <c r="B737" s="27"/>
      <c r="C737" s="48"/>
      <c r="D737" s="27"/>
      <c r="E737" s="38"/>
      <c r="F737" s="27"/>
      <c r="G737" s="27"/>
      <c r="H737" s="99"/>
      <c r="M737" s="27"/>
      <c r="N737" s="48"/>
    </row>
    <row r="738" spans="1:14" s="7" customFormat="1" x14ac:dyDescent="0.35">
      <c r="A738" s="113"/>
      <c r="B738" s="27"/>
      <c r="C738" s="48"/>
      <c r="D738" s="27"/>
      <c r="E738" s="38"/>
      <c r="F738" s="27"/>
      <c r="G738" s="27"/>
      <c r="H738" s="99"/>
      <c r="M738" s="27"/>
      <c r="N738" s="48"/>
    </row>
    <row r="739" spans="1:14" s="7" customFormat="1" x14ac:dyDescent="0.35">
      <c r="A739" s="113"/>
      <c r="B739" s="27"/>
      <c r="C739" s="48"/>
      <c r="D739" s="27"/>
      <c r="E739" s="38"/>
      <c r="F739" s="27"/>
      <c r="G739" s="27"/>
      <c r="H739" s="99"/>
      <c r="M739" s="27"/>
      <c r="N739" s="48"/>
    </row>
    <row r="740" spans="1:14" s="7" customFormat="1" x14ac:dyDescent="0.35">
      <c r="A740" s="113"/>
      <c r="B740" s="27"/>
      <c r="C740" s="48"/>
      <c r="D740" s="27"/>
      <c r="E740" s="38"/>
      <c r="F740" s="27"/>
      <c r="G740" s="27"/>
      <c r="H740" s="99"/>
      <c r="M740" s="27"/>
      <c r="N740" s="48"/>
    </row>
    <row r="741" spans="1:14" s="7" customFormat="1" x14ac:dyDescent="0.35">
      <c r="A741" s="113"/>
      <c r="B741" s="27"/>
      <c r="C741" s="48"/>
      <c r="D741" s="27"/>
      <c r="E741" s="38"/>
      <c r="F741" s="27"/>
      <c r="G741" s="27"/>
      <c r="H741" s="99"/>
      <c r="M741" s="27"/>
      <c r="N741" s="48"/>
    </row>
    <row r="742" spans="1:14" s="7" customFormat="1" x14ac:dyDescent="0.35">
      <c r="A742" s="113"/>
      <c r="B742" s="27"/>
      <c r="C742" s="48"/>
      <c r="D742" s="27"/>
      <c r="E742" s="38"/>
      <c r="F742" s="27"/>
      <c r="G742" s="27"/>
      <c r="H742" s="99"/>
      <c r="M742" s="27"/>
      <c r="N742" s="48"/>
    </row>
    <row r="743" spans="1:14" s="7" customFormat="1" x14ac:dyDescent="0.35">
      <c r="A743" s="113"/>
      <c r="B743" s="27"/>
      <c r="C743" s="48"/>
      <c r="D743" s="27"/>
      <c r="E743" s="38"/>
      <c r="F743" s="27"/>
      <c r="G743" s="27"/>
      <c r="H743" s="99"/>
      <c r="M743" s="27"/>
      <c r="N743" s="48"/>
    </row>
    <row r="744" spans="1:14" s="7" customFormat="1" x14ac:dyDescent="0.35">
      <c r="A744" s="113"/>
      <c r="B744" s="27"/>
      <c r="C744" s="48"/>
      <c r="D744" s="27"/>
      <c r="E744" s="38"/>
      <c r="F744" s="27"/>
      <c r="G744" s="27"/>
      <c r="H744" s="99"/>
      <c r="M744" s="27"/>
      <c r="N744" s="48"/>
    </row>
    <row r="745" spans="1:14" s="7" customFormat="1" x14ac:dyDescent="0.35">
      <c r="A745" s="113"/>
      <c r="B745" s="27"/>
      <c r="C745" s="48"/>
      <c r="D745" s="27"/>
      <c r="E745" s="38"/>
      <c r="F745" s="27"/>
      <c r="G745" s="27"/>
      <c r="H745" s="99"/>
      <c r="M745" s="27"/>
      <c r="N745" s="48"/>
    </row>
    <row r="746" spans="1:14" s="7" customFormat="1" x14ac:dyDescent="0.35">
      <c r="A746" s="113"/>
      <c r="B746" s="27"/>
      <c r="C746" s="48"/>
      <c r="D746" s="27"/>
      <c r="E746" s="38"/>
      <c r="F746" s="27"/>
      <c r="G746" s="27"/>
      <c r="H746" s="99"/>
      <c r="M746" s="27"/>
      <c r="N746" s="48"/>
    </row>
    <row r="747" spans="1:14" s="7" customFormat="1" x14ac:dyDescent="0.35">
      <c r="A747" s="113"/>
      <c r="B747" s="27"/>
      <c r="C747" s="48"/>
      <c r="D747" s="27"/>
      <c r="E747" s="38"/>
      <c r="F747" s="27"/>
      <c r="G747" s="27"/>
      <c r="H747" s="99"/>
      <c r="M747" s="27"/>
      <c r="N747" s="48"/>
    </row>
    <row r="748" spans="1:14" s="7" customFormat="1" x14ac:dyDescent="0.35">
      <c r="A748" s="113"/>
      <c r="B748" s="27"/>
      <c r="C748" s="48"/>
      <c r="D748" s="27"/>
      <c r="E748" s="38"/>
      <c r="F748" s="27"/>
      <c r="G748" s="27"/>
      <c r="H748" s="99"/>
      <c r="M748" s="27"/>
      <c r="N748" s="48"/>
    </row>
    <row r="749" spans="1:14" s="7" customFormat="1" x14ac:dyDescent="0.35">
      <c r="A749" s="113"/>
      <c r="B749" s="27"/>
      <c r="C749" s="48"/>
      <c r="D749" s="27"/>
      <c r="E749" s="38"/>
      <c r="F749" s="27"/>
      <c r="G749" s="27"/>
      <c r="H749" s="99"/>
      <c r="M749" s="27"/>
      <c r="N749" s="48"/>
    </row>
    <row r="750" spans="1:14" s="7" customFormat="1" x14ac:dyDescent="0.35">
      <c r="A750" s="113"/>
      <c r="B750" s="27"/>
      <c r="C750" s="48"/>
      <c r="D750" s="27"/>
      <c r="E750" s="38"/>
      <c r="F750" s="27"/>
      <c r="G750" s="27"/>
      <c r="H750" s="99"/>
      <c r="M750" s="27"/>
      <c r="N750" s="48"/>
    </row>
    <row r="751" spans="1:14" s="7" customFormat="1" x14ac:dyDescent="0.35">
      <c r="A751" s="113"/>
      <c r="B751" s="27"/>
      <c r="C751" s="48"/>
      <c r="D751" s="27"/>
      <c r="E751" s="38"/>
      <c r="F751" s="27"/>
      <c r="G751" s="27"/>
      <c r="H751" s="99"/>
      <c r="M751" s="27"/>
      <c r="N751" s="48"/>
    </row>
    <row r="752" spans="1:14" s="7" customFormat="1" x14ac:dyDescent="0.35">
      <c r="A752" s="113"/>
      <c r="B752" s="27"/>
      <c r="C752" s="48"/>
      <c r="D752" s="27"/>
      <c r="E752" s="38"/>
      <c r="F752" s="27"/>
      <c r="G752" s="27"/>
      <c r="H752" s="99"/>
      <c r="M752" s="27"/>
      <c r="N752" s="48"/>
    </row>
    <row r="753" spans="1:14" s="7" customFormat="1" x14ac:dyDescent="0.35">
      <c r="A753" s="113"/>
      <c r="B753" s="27"/>
      <c r="C753" s="48"/>
      <c r="D753" s="27"/>
      <c r="E753" s="38"/>
      <c r="F753" s="27"/>
      <c r="G753" s="27"/>
      <c r="H753" s="99"/>
      <c r="M753" s="27"/>
      <c r="N753" s="48"/>
    </row>
    <row r="754" spans="1:14" s="7" customFormat="1" x14ac:dyDescent="0.35">
      <c r="A754" s="113"/>
      <c r="B754" s="27"/>
      <c r="C754" s="48"/>
      <c r="D754" s="27"/>
      <c r="E754" s="38"/>
      <c r="F754" s="27"/>
      <c r="G754" s="27"/>
      <c r="H754" s="99"/>
      <c r="M754" s="27"/>
      <c r="N754" s="48"/>
    </row>
    <row r="755" spans="1:14" s="7" customFormat="1" x14ac:dyDescent="0.35">
      <c r="A755" s="113"/>
      <c r="B755" s="27"/>
      <c r="C755" s="48"/>
      <c r="D755" s="27"/>
      <c r="E755" s="38"/>
      <c r="F755" s="27"/>
      <c r="G755" s="27"/>
      <c r="H755" s="99"/>
      <c r="M755" s="27"/>
      <c r="N755" s="48"/>
    </row>
    <row r="756" spans="1:14" s="7" customFormat="1" x14ac:dyDescent="0.35">
      <c r="A756" s="113"/>
      <c r="B756" s="27"/>
      <c r="C756" s="48"/>
      <c r="D756" s="27"/>
      <c r="E756" s="38"/>
      <c r="F756" s="27"/>
      <c r="G756" s="27"/>
      <c r="H756" s="99"/>
      <c r="M756" s="27"/>
      <c r="N756" s="48"/>
    </row>
    <row r="757" spans="1:14" s="7" customFormat="1" x14ac:dyDescent="0.35">
      <c r="A757" s="113"/>
      <c r="B757" s="27"/>
      <c r="C757" s="48"/>
      <c r="D757" s="27"/>
      <c r="E757" s="38"/>
      <c r="F757" s="27"/>
      <c r="G757" s="27"/>
      <c r="H757" s="99"/>
      <c r="M757" s="27"/>
      <c r="N757" s="48"/>
    </row>
    <row r="758" spans="1:14" s="7" customFormat="1" x14ac:dyDescent="0.35">
      <c r="A758" s="113"/>
      <c r="B758" s="27"/>
      <c r="C758" s="48"/>
      <c r="D758" s="27"/>
      <c r="E758" s="38"/>
      <c r="F758" s="27"/>
      <c r="G758" s="27"/>
      <c r="H758" s="99"/>
      <c r="M758" s="27"/>
      <c r="N758" s="48"/>
    </row>
    <row r="759" spans="1:14" s="7" customFormat="1" x14ac:dyDescent="0.35">
      <c r="A759" s="113"/>
      <c r="B759" s="27"/>
      <c r="C759" s="48"/>
      <c r="D759" s="27"/>
      <c r="E759" s="38"/>
      <c r="F759" s="27"/>
      <c r="G759" s="27"/>
      <c r="H759" s="99"/>
      <c r="M759" s="27"/>
      <c r="N759" s="48"/>
    </row>
    <row r="760" spans="1:14" s="7" customFormat="1" x14ac:dyDescent="0.35">
      <c r="A760" s="113"/>
      <c r="B760" s="27"/>
      <c r="C760" s="48"/>
      <c r="D760" s="27"/>
      <c r="E760" s="38"/>
      <c r="F760" s="27"/>
      <c r="G760" s="27"/>
      <c r="H760" s="99"/>
      <c r="M760" s="27"/>
      <c r="N760" s="48"/>
    </row>
    <row r="761" spans="1:14" s="7" customFormat="1" x14ac:dyDescent="0.35">
      <c r="A761" s="113"/>
      <c r="B761" s="27"/>
      <c r="C761" s="48"/>
      <c r="D761" s="27"/>
      <c r="E761" s="38"/>
      <c r="F761" s="27"/>
      <c r="G761" s="27"/>
      <c r="H761" s="99"/>
      <c r="M761" s="27"/>
      <c r="N761" s="48"/>
    </row>
    <row r="762" spans="1:14" s="7" customFormat="1" x14ac:dyDescent="0.35">
      <c r="A762" s="113"/>
      <c r="B762" s="27"/>
      <c r="C762" s="48"/>
      <c r="D762" s="27"/>
      <c r="E762" s="38"/>
      <c r="F762" s="27"/>
      <c r="G762" s="27"/>
      <c r="H762" s="99"/>
      <c r="M762" s="27"/>
      <c r="N762" s="48"/>
    </row>
    <row r="763" spans="1:14" s="7" customFormat="1" x14ac:dyDescent="0.35">
      <c r="A763" s="113"/>
      <c r="B763" s="27"/>
      <c r="C763" s="48"/>
      <c r="D763" s="27"/>
      <c r="E763" s="38"/>
      <c r="F763" s="27"/>
      <c r="G763" s="27"/>
      <c r="H763" s="99"/>
      <c r="M763" s="27"/>
      <c r="N763" s="48"/>
    </row>
    <row r="764" spans="1:14" s="7" customFormat="1" x14ac:dyDescent="0.35">
      <c r="A764" s="113"/>
      <c r="B764" s="27"/>
      <c r="C764" s="48"/>
      <c r="D764" s="27"/>
      <c r="E764" s="38"/>
      <c r="F764" s="27"/>
      <c r="G764" s="27"/>
      <c r="H764" s="99"/>
      <c r="M764" s="27"/>
      <c r="N764" s="48"/>
    </row>
    <row r="765" spans="1:14" s="7" customFormat="1" x14ac:dyDescent="0.35">
      <c r="A765" s="113"/>
      <c r="B765" s="27"/>
      <c r="C765" s="48"/>
      <c r="D765" s="27"/>
      <c r="E765" s="38"/>
      <c r="F765" s="27"/>
      <c r="G765" s="27"/>
      <c r="H765" s="99"/>
      <c r="M765" s="27"/>
      <c r="N765" s="48"/>
    </row>
    <row r="766" spans="1:14" s="7" customFormat="1" x14ac:dyDescent="0.35">
      <c r="A766" s="113"/>
      <c r="B766" s="27"/>
      <c r="C766" s="48"/>
      <c r="D766" s="27"/>
      <c r="E766" s="38"/>
      <c r="F766" s="27"/>
      <c r="G766" s="27"/>
      <c r="H766" s="99"/>
      <c r="M766" s="27"/>
      <c r="N766" s="48"/>
    </row>
    <row r="767" spans="1:14" s="7" customFormat="1" x14ac:dyDescent="0.35">
      <c r="A767" s="113"/>
      <c r="B767" s="27"/>
      <c r="C767" s="48"/>
      <c r="D767" s="27"/>
      <c r="E767" s="38"/>
      <c r="F767" s="27"/>
      <c r="G767" s="27"/>
      <c r="H767" s="99"/>
      <c r="M767" s="27"/>
      <c r="N767" s="48"/>
    </row>
    <row r="768" spans="1:14" s="7" customFormat="1" x14ac:dyDescent="0.35">
      <c r="A768" s="113"/>
      <c r="B768" s="27"/>
      <c r="C768" s="48"/>
      <c r="D768" s="27"/>
      <c r="E768" s="38"/>
      <c r="F768" s="27"/>
      <c r="G768" s="27"/>
      <c r="H768" s="99"/>
      <c r="M768" s="27"/>
      <c r="N768" s="48"/>
    </row>
    <row r="769" spans="1:14" s="7" customFormat="1" x14ac:dyDescent="0.35">
      <c r="A769" s="113"/>
      <c r="B769" s="27"/>
      <c r="C769" s="48"/>
      <c r="D769" s="27"/>
      <c r="E769" s="38"/>
      <c r="F769" s="27"/>
      <c r="G769" s="27"/>
      <c r="H769" s="99"/>
      <c r="M769" s="27"/>
      <c r="N769" s="48"/>
    </row>
    <row r="770" spans="1:14" s="7" customFormat="1" x14ac:dyDescent="0.35">
      <c r="A770" s="113"/>
      <c r="B770" s="27"/>
      <c r="C770" s="48"/>
      <c r="D770" s="27"/>
      <c r="E770" s="38"/>
      <c r="F770" s="27"/>
      <c r="G770" s="27"/>
      <c r="H770" s="99"/>
      <c r="M770" s="27"/>
      <c r="N770" s="48"/>
    </row>
    <row r="771" spans="1:14" s="7" customFormat="1" x14ac:dyDescent="0.35">
      <c r="A771" s="113"/>
      <c r="B771" s="27"/>
      <c r="C771" s="48"/>
      <c r="D771" s="27"/>
      <c r="E771" s="38"/>
      <c r="F771" s="27"/>
      <c r="G771" s="27"/>
      <c r="H771" s="99"/>
      <c r="M771" s="27"/>
      <c r="N771" s="48"/>
    </row>
    <row r="772" spans="1:14" s="7" customFormat="1" x14ac:dyDescent="0.35">
      <c r="A772" s="113"/>
      <c r="B772" s="27"/>
      <c r="C772" s="48"/>
      <c r="D772" s="27"/>
      <c r="E772" s="38"/>
      <c r="F772" s="27"/>
      <c r="G772" s="27"/>
      <c r="H772" s="99"/>
      <c r="M772" s="27"/>
      <c r="N772" s="48"/>
    </row>
    <row r="773" spans="1:14" s="7" customFormat="1" x14ac:dyDescent="0.35">
      <c r="A773" s="113"/>
      <c r="B773" s="27"/>
      <c r="C773" s="48"/>
      <c r="D773" s="27"/>
      <c r="E773" s="38"/>
      <c r="F773" s="27"/>
      <c r="G773" s="27"/>
      <c r="H773" s="99"/>
      <c r="M773" s="27"/>
      <c r="N773" s="48"/>
    </row>
    <row r="774" spans="1:14" s="7" customFormat="1" x14ac:dyDescent="0.35">
      <c r="A774" s="113"/>
      <c r="B774" s="27"/>
      <c r="C774" s="48"/>
      <c r="D774" s="27"/>
      <c r="E774" s="38"/>
      <c r="F774" s="27"/>
      <c r="G774" s="27"/>
      <c r="H774" s="99"/>
      <c r="M774" s="27"/>
      <c r="N774" s="48"/>
    </row>
    <row r="775" spans="1:14" s="7" customFormat="1" x14ac:dyDescent="0.35">
      <c r="A775" s="113"/>
      <c r="B775" s="27"/>
      <c r="C775" s="48"/>
      <c r="D775" s="27"/>
      <c r="E775" s="38"/>
      <c r="F775" s="27"/>
      <c r="G775" s="27"/>
      <c r="H775" s="99"/>
      <c r="M775" s="27"/>
      <c r="N775" s="48"/>
    </row>
    <row r="776" spans="1:14" s="7" customFormat="1" x14ac:dyDescent="0.35">
      <c r="A776" s="113"/>
      <c r="B776" s="27"/>
      <c r="C776" s="48"/>
      <c r="D776" s="27"/>
      <c r="E776" s="38"/>
      <c r="F776" s="27"/>
      <c r="G776" s="27"/>
      <c r="H776" s="99"/>
      <c r="M776" s="27"/>
      <c r="N776" s="48"/>
    </row>
    <row r="777" spans="1:14" s="7" customFormat="1" x14ac:dyDescent="0.35">
      <c r="A777" s="113"/>
      <c r="B777" s="27"/>
      <c r="C777" s="48"/>
      <c r="D777" s="27"/>
      <c r="E777" s="38"/>
      <c r="F777" s="27"/>
      <c r="G777" s="27"/>
      <c r="H777" s="99"/>
      <c r="M777" s="27"/>
      <c r="N777" s="48"/>
    </row>
    <row r="778" spans="1:14" s="7" customFormat="1" x14ac:dyDescent="0.35">
      <c r="A778" s="113"/>
      <c r="B778" s="27"/>
      <c r="C778" s="48"/>
      <c r="D778" s="27"/>
      <c r="E778" s="38"/>
      <c r="F778" s="27"/>
      <c r="G778" s="27"/>
      <c r="H778" s="99"/>
      <c r="M778" s="27"/>
      <c r="N778" s="48"/>
    </row>
    <row r="779" spans="1:14" s="7" customFormat="1" x14ac:dyDescent="0.35">
      <c r="A779" s="113"/>
      <c r="B779" s="27"/>
      <c r="C779" s="48"/>
      <c r="D779" s="27"/>
      <c r="E779" s="38"/>
      <c r="F779" s="27"/>
      <c r="G779" s="27"/>
      <c r="H779" s="99"/>
      <c r="M779" s="27"/>
      <c r="N779" s="48"/>
    </row>
    <row r="780" spans="1:14" s="7" customFormat="1" x14ac:dyDescent="0.35">
      <c r="A780" s="113"/>
      <c r="B780" s="27"/>
      <c r="C780" s="48"/>
      <c r="D780" s="27"/>
      <c r="E780" s="38"/>
      <c r="F780" s="27"/>
      <c r="G780" s="27"/>
      <c r="H780" s="99"/>
      <c r="M780" s="27"/>
      <c r="N780" s="48"/>
    </row>
    <row r="781" spans="1:14" s="7" customFormat="1" x14ac:dyDescent="0.35">
      <c r="A781" s="113"/>
      <c r="B781" s="27"/>
      <c r="C781" s="48"/>
      <c r="D781" s="27"/>
      <c r="E781" s="38"/>
      <c r="F781" s="27"/>
      <c r="G781" s="27"/>
      <c r="H781" s="99"/>
      <c r="M781" s="27"/>
      <c r="N781" s="48"/>
    </row>
    <row r="782" spans="1:14" s="7" customFormat="1" x14ac:dyDescent="0.35">
      <c r="A782" s="113"/>
      <c r="B782" s="27"/>
      <c r="C782" s="48"/>
      <c r="D782" s="27"/>
      <c r="E782" s="38"/>
      <c r="F782" s="27"/>
      <c r="G782" s="27"/>
      <c r="H782" s="99"/>
      <c r="M782" s="27"/>
      <c r="N782" s="48"/>
    </row>
    <row r="783" spans="1:14" s="7" customFormat="1" x14ac:dyDescent="0.35">
      <c r="A783" s="113"/>
      <c r="B783" s="27"/>
      <c r="C783" s="48"/>
      <c r="D783" s="27"/>
      <c r="E783" s="38"/>
      <c r="F783" s="27"/>
      <c r="G783" s="27"/>
      <c r="H783" s="99"/>
      <c r="M783" s="27"/>
      <c r="N783" s="48"/>
    </row>
    <row r="784" spans="1:14" s="7" customFormat="1" x14ac:dyDescent="0.35">
      <c r="A784" s="113"/>
      <c r="B784" s="27"/>
      <c r="C784" s="48"/>
      <c r="D784" s="27"/>
      <c r="E784" s="38"/>
      <c r="F784" s="27"/>
      <c r="G784" s="27"/>
      <c r="H784" s="99"/>
      <c r="M784" s="27"/>
      <c r="N784" s="48"/>
    </row>
    <row r="785" spans="1:14" s="7" customFormat="1" x14ac:dyDescent="0.35">
      <c r="A785" s="113"/>
      <c r="B785" s="27"/>
      <c r="C785" s="48"/>
      <c r="D785" s="27"/>
      <c r="E785" s="38"/>
      <c r="F785" s="27"/>
      <c r="G785" s="27"/>
      <c r="H785" s="99"/>
      <c r="M785" s="27"/>
      <c r="N785" s="48"/>
    </row>
    <row r="786" spans="1:14" s="7" customFormat="1" x14ac:dyDescent="0.35">
      <c r="A786" s="113"/>
      <c r="B786" s="27"/>
      <c r="C786" s="48"/>
      <c r="D786" s="27"/>
      <c r="E786" s="38"/>
      <c r="F786" s="27"/>
      <c r="G786" s="27"/>
      <c r="H786" s="99"/>
      <c r="M786" s="27"/>
      <c r="N786" s="48"/>
    </row>
    <row r="787" spans="1:14" s="7" customFormat="1" x14ac:dyDescent="0.35">
      <c r="A787" s="113"/>
      <c r="B787" s="27"/>
      <c r="C787" s="48"/>
      <c r="D787" s="27"/>
      <c r="E787" s="38"/>
      <c r="F787" s="27"/>
      <c r="G787" s="27"/>
      <c r="H787" s="99"/>
      <c r="M787" s="27"/>
      <c r="N787" s="48"/>
    </row>
    <row r="788" spans="1:14" s="7" customFormat="1" x14ac:dyDescent="0.35">
      <c r="A788" s="113"/>
      <c r="B788" s="27"/>
      <c r="C788" s="48"/>
      <c r="D788" s="27"/>
      <c r="E788" s="38"/>
      <c r="F788" s="27"/>
      <c r="G788" s="27"/>
      <c r="H788" s="99"/>
      <c r="M788" s="27"/>
      <c r="N788" s="48"/>
    </row>
    <row r="789" spans="1:14" s="7" customFormat="1" x14ac:dyDescent="0.35">
      <c r="A789" s="113"/>
      <c r="B789" s="27"/>
      <c r="C789" s="48"/>
      <c r="D789" s="27"/>
      <c r="E789" s="38"/>
      <c r="F789" s="27"/>
      <c r="G789" s="27"/>
      <c r="H789" s="99"/>
      <c r="M789" s="27"/>
      <c r="N789" s="48"/>
    </row>
    <row r="790" spans="1:14" s="7" customFormat="1" x14ac:dyDescent="0.35">
      <c r="A790" s="113"/>
      <c r="B790" s="27"/>
      <c r="C790" s="48"/>
      <c r="D790" s="27"/>
      <c r="E790" s="38"/>
      <c r="F790" s="27"/>
      <c r="G790" s="27"/>
      <c r="H790" s="99"/>
      <c r="M790" s="27"/>
      <c r="N790" s="48"/>
    </row>
    <row r="791" spans="1:14" s="7" customFormat="1" x14ac:dyDescent="0.35">
      <c r="A791" s="113"/>
      <c r="B791" s="27"/>
      <c r="C791" s="48"/>
      <c r="D791" s="27"/>
      <c r="E791" s="38"/>
      <c r="F791" s="27"/>
      <c r="G791" s="27"/>
      <c r="H791" s="99"/>
      <c r="M791" s="27"/>
      <c r="N791" s="48"/>
    </row>
    <row r="792" spans="1:14" s="7" customFormat="1" x14ac:dyDescent="0.35">
      <c r="A792" s="113"/>
      <c r="B792" s="27"/>
      <c r="C792" s="48"/>
      <c r="D792" s="27"/>
      <c r="E792" s="38"/>
      <c r="F792" s="27"/>
      <c r="G792" s="27"/>
      <c r="H792" s="99"/>
      <c r="M792" s="27"/>
      <c r="N792" s="48"/>
    </row>
    <row r="793" spans="1:14" s="7" customFormat="1" x14ac:dyDescent="0.35">
      <c r="A793" s="113"/>
      <c r="B793" s="27"/>
      <c r="C793" s="48"/>
      <c r="D793" s="27"/>
      <c r="E793" s="38"/>
      <c r="F793" s="27"/>
      <c r="G793" s="27"/>
      <c r="H793" s="99"/>
      <c r="M793" s="27"/>
      <c r="N793" s="48"/>
    </row>
    <row r="794" spans="1:14" s="7" customFormat="1" x14ac:dyDescent="0.35">
      <c r="A794" s="113"/>
      <c r="B794" s="27"/>
      <c r="C794" s="48"/>
      <c r="D794" s="27"/>
      <c r="E794" s="38"/>
      <c r="F794" s="27"/>
      <c r="G794" s="27"/>
      <c r="H794" s="99"/>
      <c r="M794" s="27"/>
      <c r="N794" s="48"/>
    </row>
    <row r="795" spans="1:14" s="7" customFormat="1" x14ac:dyDescent="0.35">
      <c r="A795" s="113"/>
      <c r="B795" s="27"/>
      <c r="C795" s="48"/>
      <c r="D795" s="27"/>
      <c r="E795" s="38"/>
      <c r="F795" s="27"/>
      <c r="G795" s="27"/>
      <c r="H795" s="99"/>
      <c r="M795" s="27"/>
      <c r="N795" s="48"/>
    </row>
    <row r="796" spans="1:14" s="7" customFormat="1" x14ac:dyDescent="0.35">
      <c r="A796" s="113"/>
      <c r="B796" s="27"/>
      <c r="C796" s="48"/>
      <c r="D796" s="27"/>
      <c r="E796" s="38"/>
      <c r="F796" s="27"/>
      <c r="G796" s="27"/>
      <c r="H796" s="99"/>
      <c r="M796" s="27"/>
      <c r="N796" s="48"/>
    </row>
    <row r="797" spans="1:14" s="7" customFormat="1" x14ac:dyDescent="0.35">
      <c r="A797" s="113"/>
      <c r="B797" s="27"/>
      <c r="C797" s="48"/>
      <c r="D797" s="27"/>
      <c r="E797" s="38"/>
      <c r="F797" s="27"/>
      <c r="G797" s="27"/>
      <c r="H797" s="99"/>
      <c r="M797" s="27"/>
      <c r="N797" s="48"/>
    </row>
    <row r="798" spans="1:14" s="7" customFormat="1" x14ac:dyDescent="0.35">
      <c r="A798" s="113"/>
      <c r="B798" s="27"/>
      <c r="C798" s="48"/>
      <c r="D798" s="27"/>
      <c r="E798" s="38"/>
      <c r="F798" s="27"/>
      <c r="G798" s="27"/>
      <c r="H798" s="99"/>
      <c r="M798" s="27"/>
      <c r="N798" s="48"/>
    </row>
    <row r="799" spans="1:14" s="7" customFormat="1" x14ac:dyDescent="0.35">
      <c r="A799" s="113"/>
      <c r="B799" s="27"/>
      <c r="C799" s="48"/>
      <c r="D799" s="27"/>
      <c r="E799" s="38"/>
      <c r="F799" s="27"/>
      <c r="G799" s="27"/>
      <c r="H799" s="99"/>
      <c r="M799" s="27"/>
      <c r="N799" s="48"/>
    </row>
    <row r="800" spans="1:14" s="7" customFormat="1" x14ac:dyDescent="0.35">
      <c r="A800" s="113"/>
      <c r="B800" s="27"/>
      <c r="C800" s="48"/>
      <c r="D800" s="27"/>
      <c r="E800" s="38"/>
      <c r="F800" s="27"/>
      <c r="G800" s="27"/>
      <c r="H800" s="99"/>
      <c r="M800" s="27"/>
      <c r="N800" s="48"/>
    </row>
    <row r="801" spans="1:14" s="7" customFormat="1" x14ac:dyDescent="0.35">
      <c r="A801" s="113"/>
      <c r="B801" s="27"/>
      <c r="C801" s="48"/>
      <c r="D801" s="27"/>
      <c r="E801" s="38"/>
      <c r="F801" s="27"/>
      <c r="G801" s="27"/>
      <c r="H801" s="99"/>
      <c r="M801" s="27"/>
      <c r="N801" s="48"/>
    </row>
    <row r="802" spans="1:14" s="7" customFormat="1" x14ac:dyDescent="0.35">
      <c r="A802" s="113"/>
      <c r="B802" s="27"/>
      <c r="C802" s="48"/>
      <c r="D802" s="27"/>
      <c r="E802" s="38"/>
      <c r="F802" s="27"/>
      <c r="G802" s="27"/>
      <c r="H802" s="99"/>
      <c r="M802" s="27"/>
      <c r="N802" s="48"/>
    </row>
    <row r="803" spans="1:14" s="7" customFormat="1" x14ac:dyDescent="0.35">
      <c r="A803" s="113"/>
      <c r="B803" s="27"/>
      <c r="C803" s="48"/>
      <c r="D803" s="27"/>
      <c r="E803" s="38"/>
      <c r="F803" s="27"/>
      <c r="G803" s="27"/>
      <c r="H803" s="99"/>
      <c r="M803" s="27"/>
      <c r="N803" s="48"/>
    </row>
    <row r="804" spans="1:14" s="7" customFormat="1" x14ac:dyDescent="0.35">
      <c r="A804" s="113"/>
      <c r="B804" s="27"/>
      <c r="C804" s="48"/>
      <c r="D804" s="27"/>
      <c r="E804" s="38"/>
      <c r="F804" s="27"/>
      <c r="G804" s="27"/>
      <c r="H804" s="99"/>
      <c r="M804" s="27"/>
      <c r="N804" s="48"/>
    </row>
    <row r="805" spans="1:14" s="7" customFormat="1" x14ac:dyDescent="0.35">
      <c r="A805" s="113"/>
      <c r="B805" s="27"/>
      <c r="C805" s="48"/>
      <c r="D805" s="27"/>
      <c r="E805" s="38"/>
      <c r="F805" s="27"/>
      <c r="G805" s="27"/>
      <c r="H805" s="99"/>
      <c r="M805" s="27"/>
      <c r="N805" s="48"/>
    </row>
    <row r="806" spans="1:14" s="7" customFormat="1" x14ac:dyDescent="0.35">
      <c r="A806" s="113"/>
      <c r="B806" s="27"/>
      <c r="C806" s="48"/>
      <c r="D806" s="27"/>
      <c r="E806" s="38"/>
      <c r="F806" s="27"/>
      <c r="G806" s="27"/>
      <c r="H806" s="99"/>
      <c r="M806" s="27"/>
      <c r="N806" s="48"/>
    </row>
    <row r="807" spans="1:14" s="7" customFormat="1" x14ac:dyDescent="0.35">
      <c r="A807" s="113"/>
      <c r="B807" s="27"/>
      <c r="C807" s="48"/>
      <c r="D807" s="27"/>
      <c r="E807" s="38"/>
      <c r="F807" s="27"/>
      <c r="G807" s="27"/>
      <c r="H807" s="99"/>
      <c r="M807" s="27"/>
      <c r="N807" s="48"/>
    </row>
    <row r="808" spans="1:14" s="7" customFormat="1" x14ac:dyDescent="0.35">
      <c r="A808" s="113"/>
      <c r="B808" s="27"/>
      <c r="C808" s="48"/>
      <c r="D808" s="27"/>
      <c r="E808" s="38"/>
      <c r="F808" s="27"/>
      <c r="G808" s="27"/>
      <c r="H808" s="99"/>
      <c r="M808" s="27"/>
      <c r="N808" s="48"/>
    </row>
    <row r="809" spans="1:14" s="7" customFormat="1" x14ac:dyDescent="0.35">
      <c r="A809" s="113"/>
      <c r="B809" s="27"/>
      <c r="C809" s="48"/>
      <c r="D809" s="27"/>
      <c r="E809" s="38"/>
      <c r="F809" s="27"/>
      <c r="G809" s="27"/>
      <c r="H809" s="99"/>
      <c r="M809" s="27"/>
      <c r="N809" s="48"/>
    </row>
    <row r="810" spans="1:14" s="7" customFormat="1" x14ac:dyDescent="0.35">
      <c r="A810" s="113"/>
      <c r="B810" s="27"/>
      <c r="C810" s="48"/>
      <c r="D810" s="27"/>
      <c r="E810" s="38"/>
      <c r="F810" s="27"/>
      <c r="G810" s="27"/>
      <c r="H810" s="99"/>
      <c r="M810" s="27"/>
      <c r="N810" s="48"/>
    </row>
    <row r="811" spans="1:14" s="7" customFormat="1" x14ac:dyDescent="0.35">
      <c r="A811" s="113"/>
      <c r="B811" s="27"/>
      <c r="C811" s="48"/>
      <c r="D811" s="27"/>
      <c r="E811" s="38"/>
      <c r="F811" s="27"/>
      <c r="G811" s="27"/>
      <c r="H811" s="99"/>
      <c r="M811" s="27"/>
      <c r="N811" s="48"/>
    </row>
    <row r="812" spans="1:14" s="7" customFormat="1" x14ac:dyDescent="0.35">
      <c r="A812" s="113"/>
      <c r="B812" s="27"/>
      <c r="C812" s="48"/>
      <c r="D812" s="27"/>
      <c r="E812" s="38"/>
      <c r="F812" s="27"/>
      <c r="G812" s="27"/>
      <c r="H812" s="99"/>
      <c r="M812" s="27"/>
      <c r="N812" s="48"/>
    </row>
    <row r="813" spans="1:14" s="7" customFormat="1" x14ac:dyDescent="0.35">
      <c r="A813" s="113"/>
      <c r="B813" s="27"/>
      <c r="C813" s="48"/>
      <c r="D813" s="27"/>
      <c r="E813" s="38"/>
      <c r="F813" s="27"/>
      <c r="G813" s="27"/>
      <c r="H813" s="99"/>
      <c r="M813" s="27"/>
      <c r="N813" s="48"/>
    </row>
    <row r="814" spans="1:14" s="7" customFormat="1" x14ac:dyDescent="0.35">
      <c r="A814" s="113"/>
      <c r="B814" s="27"/>
      <c r="C814" s="48"/>
      <c r="D814" s="27"/>
      <c r="E814" s="38"/>
      <c r="F814" s="27"/>
      <c r="G814" s="27"/>
      <c r="H814" s="99"/>
      <c r="M814" s="27"/>
      <c r="N814" s="48"/>
    </row>
    <row r="815" spans="1:14" s="7" customFormat="1" x14ac:dyDescent="0.35">
      <c r="A815" s="113"/>
      <c r="B815" s="27"/>
      <c r="C815" s="48"/>
      <c r="D815" s="27"/>
      <c r="E815" s="38"/>
      <c r="F815" s="27"/>
      <c r="G815" s="27"/>
      <c r="H815" s="99"/>
      <c r="M815" s="27"/>
      <c r="N815" s="48"/>
    </row>
    <row r="816" spans="1:14" s="7" customFormat="1" x14ac:dyDescent="0.35">
      <c r="A816" s="113"/>
      <c r="B816" s="27"/>
      <c r="C816" s="48"/>
      <c r="D816" s="27"/>
      <c r="E816" s="38"/>
      <c r="F816" s="27"/>
      <c r="G816" s="27"/>
      <c r="H816" s="99"/>
      <c r="M816" s="27"/>
      <c r="N816" s="48"/>
    </row>
    <row r="817" spans="1:14" s="7" customFormat="1" x14ac:dyDescent="0.35">
      <c r="A817" s="113"/>
      <c r="B817" s="27"/>
      <c r="C817" s="48"/>
      <c r="D817" s="27"/>
      <c r="E817" s="38"/>
      <c r="F817" s="27"/>
      <c r="G817" s="27"/>
      <c r="H817" s="99"/>
      <c r="M817" s="27"/>
      <c r="N817" s="48"/>
    </row>
    <row r="818" spans="1:14" s="7" customFormat="1" x14ac:dyDescent="0.35">
      <c r="A818" s="113"/>
      <c r="B818" s="27"/>
      <c r="C818" s="48"/>
      <c r="D818" s="27"/>
      <c r="E818" s="38"/>
      <c r="F818" s="27"/>
      <c r="G818" s="27"/>
      <c r="H818" s="99"/>
      <c r="M818" s="27"/>
      <c r="N818" s="48"/>
    </row>
    <row r="819" spans="1:14" s="7" customFormat="1" x14ac:dyDescent="0.35">
      <c r="A819" s="113"/>
      <c r="B819" s="27"/>
      <c r="C819" s="48"/>
      <c r="D819" s="27"/>
      <c r="E819" s="38"/>
      <c r="F819" s="27"/>
      <c r="G819" s="27"/>
      <c r="H819" s="99"/>
      <c r="M819" s="27"/>
      <c r="N819" s="48"/>
    </row>
    <row r="820" spans="1:14" s="7" customFormat="1" x14ac:dyDescent="0.35">
      <c r="A820" s="113"/>
      <c r="B820" s="27"/>
      <c r="C820" s="48"/>
      <c r="D820" s="27"/>
      <c r="E820" s="38"/>
      <c r="F820" s="27"/>
      <c r="G820" s="27"/>
      <c r="H820" s="99"/>
      <c r="M820" s="27"/>
      <c r="N820" s="48"/>
    </row>
    <row r="821" spans="1:14" s="7" customFormat="1" x14ac:dyDescent="0.35">
      <c r="A821" s="113"/>
      <c r="B821" s="27"/>
      <c r="C821" s="48"/>
      <c r="D821" s="27"/>
      <c r="E821" s="38"/>
      <c r="F821" s="27"/>
      <c r="G821" s="27"/>
      <c r="H821" s="99"/>
      <c r="M821" s="27"/>
      <c r="N821" s="48"/>
    </row>
    <row r="822" spans="1:14" s="7" customFormat="1" x14ac:dyDescent="0.35">
      <c r="A822" s="113"/>
      <c r="B822" s="27"/>
      <c r="C822" s="48"/>
      <c r="D822" s="27"/>
      <c r="E822" s="38"/>
      <c r="F822" s="27"/>
      <c r="G822" s="27"/>
      <c r="H822" s="99"/>
      <c r="M822" s="27"/>
      <c r="N822" s="48"/>
    </row>
    <row r="823" spans="1:14" s="7" customFormat="1" x14ac:dyDescent="0.35">
      <c r="A823" s="113"/>
      <c r="B823" s="27"/>
      <c r="C823" s="48"/>
      <c r="D823" s="27"/>
      <c r="E823" s="38"/>
      <c r="F823" s="27"/>
      <c r="G823" s="27"/>
      <c r="H823" s="99"/>
      <c r="M823" s="27"/>
      <c r="N823" s="48"/>
    </row>
    <row r="824" spans="1:14" s="7" customFormat="1" x14ac:dyDescent="0.35">
      <c r="A824" s="113"/>
      <c r="B824" s="27"/>
      <c r="C824" s="48"/>
      <c r="D824" s="27"/>
      <c r="E824" s="38"/>
      <c r="F824" s="27"/>
      <c r="G824" s="27"/>
      <c r="H824" s="99"/>
      <c r="M824" s="27"/>
      <c r="N824" s="48"/>
    </row>
    <row r="825" spans="1:14" s="7" customFormat="1" x14ac:dyDescent="0.35">
      <c r="A825" s="113"/>
      <c r="B825" s="27"/>
      <c r="C825" s="48"/>
      <c r="D825" s="27"/>
      <c r="E825" s="38"/>
      <c r="F825" s="27"/>
      <c r="G825" s="27"/>
      <c r="H825" s="99"/>
      <c r="M825" s="27"/>
      <c r="N825" s="48"/>
    </row>
    <row r="826" spans="1:14" s="7" customFormat="1" x14ac:dyDescent="0.35">
      <c r="A826" s="113"/>
      <c r="B826" s="27"/>
      <c r="C826" s="48"/>
      <c r="D826" s="27"/>
      <c r="E826" s="38"/>
      <c r="F826" s="27"/>
      <c r="G826" s="27"/>
      <c r="H826" s="99"/>
      <c r="M826" s="27"/>
      <c r="N826" s="48"/>
    </row>
    <row r="827" spans="1:14" s="7" customFormat="1" x14ac:dyDescent="0.35">
      <c r="A827" s="113"/>
      <c r="B827" s="27"/>
      <c r="C827" s="48"/>
      <c r="D827" s="27"/>
      <c r="E827" s="38"/>
      <c r="F827" s="27"/>
      <c r="G827" s="27"/>
      <c r="H827" s="99"/>
      <c r="M827" s="27"/>
      <c r="N827" s="48"/>
    </row>
    <row r="828" spans="1:14" s="7" customFormat="1" x14ac:dyDescent="0.35">
      <c r="A828" s="113"/>
      <c r="B828" s="27"/>
      <c r="C828" s="48"/>
      <c r="D828" s="27"/>
      <c r="E828" s="38"/>
      <c r="F828" s="27"/>
      <c r="G828" s="27"/>
      <c r="H828" s="99"/>
      <c r="M828" s="27"/>
      <c r="N828" s="48"/>
    </row>
    <row r="829" spans="1:14" s="7" customFormat="1" x14ac:dyDescent="0.35">
      <c r="A829" s="113"/>
      <c r="B829" s="27"/>
      <c r="C829" s="48"/>
      <c r="D829" s="27"/>
      <c r="E829" s="38"/>
      <c r="F829" s="27"/>
      <c r="G829" s="27"/>
      <c r="H829" s="99"/>
      <c r="M829" s="27"/>
      <c r="N829" s="48"/>
    </row>
    <row r="830" spans="1:14" s="7" customFormat="1" x14ac:dyDescent="0.35">
      <c r="A830" s="113"/>
      <c r="B830" s="27"/>
      <c r="C830" s="48"/>
      <c r="D830" s="27"/>
      <c r="E830" s="38"/>
      <c r="F830" s="27"/>
      <c r="G830" s="27"/>
      <c r="H830" s="99"/>
      <c r="M830" s="27"/>
      <c r="N830" s="48"/>
    </row>
    <row r="831" spans="1:14" s="7" customFormat="1" x14ac:dyDescent="0.35">
      <c r="A831" s="113"/>
      <c r="B831" s="27"/>
      <c r="C831" s="48"/>
      <c r="D831" s="27"/>
      <c r="E831" s="38"/>
      <c r="F831" s="27"/>
      <c r="G831" s="27"/>
      <c r="H831" s="99"/>
      <c r="M831" s="27"/>
      <c r="N831" s="48"/>
    </row>
    <row r="832" spans="1:14" s="7" customFormat="1" x14ac:dyDescent="0.35">
      <c r="A832" s="113"/>
      <c r="B832" s="27"/>
      <c r="C832" s="48"/>
      <c r="D832" s="27"/>
      <c r="E832" s="38"/>
      <c r="F832" s="27"/>
      <c r="G832" s="27"/>
      <c r="H832" s="99"/>
      <c r="M832" s="27"/>
      <c r="N832" s="48"/>
    </row>
    <row r="833" spans="1:14" s="7" customFormat="1" x14ac:dyDescent="0.35">
      <c r="A833" s="113"/>
      <c r="B833" s="27"/>
      <c r="C833" s="48"/>
      <c r="D833" s="27"/>
      <c r="E833" s="38"/>
      <c r="F833" s="27"/>
      <c r="G833" s="27"/>
      <c r="H833" s="99"/>
      <c r="M833" s="27"/>
      <c r="N833" s="48"/>
    </row>
    <row r="834" spans="1:14" s="7" customFormat="1" x14ac:dyDescent="0.35">
      <c r="A834" s="113"/>
      <c r="B834" s="27"/>
      <c r="C834" s="48"/>
      <c r="D834" s="27"/>
      <c r="E834" s="38"/>
      <c r="F834" s="27"/>
      <c r="G834" s="27"/>
      <c r="H834" s="99"/>
      <c r="M834" s="27"/>
      <c r="N834" s="48"/>
    </row>
    <row r="835" spans="1:14" s="7" customFormat="1" x14ac:dyDescent="0.35">
      <c r="A835" s="113"/>
      <c r="B835" s="27"/>
      <c r="C835" s="48"/>
      <c r="D835" s="27"/>
      <c r="E835" s="38"/>
      <c r="F835" s="27"/>
      <c r="G835" s="27"/>
      <c r="H835" s="99"/>
      <c r="M835" s="27"/>
      <c r="N835" s="48"/>
    </row>
    <row r="836" spans="1:14" s="7" customFormat="1" x14ac:dyDescent="0.35">
      <c r="A836" s="113"/>
      <c r="B836" s="27"/>
      <c r="C836" s="48"/>
      <c r="D836" s="27"/>
      <c r="E836" s="38"/>
      <c r="F836" s="27"/>
      <c r="G836" s="27"/>
      <c r="H836" s="99"/>
      <c r="M836" s="27"/>
      <c r="N836" s="48"/>
    </row>
    <row r="837" spans="1:14" s="7" customFormat="1" x14ac:dyDescent="0.35">
      <c r="A837" s="113"/>
      <c r="B837" s="27"/>
      <c r="C837" s="48"/>
      <c r="D837" s="27"/>
      <c r="E837" s="38"/>
      <c r="F837" s="27"/>
      <c r="G837" s="27"/>
      <c r="H837" s="99"/>
      <c r="M837" s="27"/>
      <c r="N837" s="48"/>
    </row>
    <row r="838" spans="1:14" s="7" customFormat="1" x14ac:dyDescent="0.35">
      <c r="A838" s="113"/>
      <c r="B838" s="27"/>
      <c r="C838" s="48"/>
      <c r="D838" s="27"/>
      <c r="E838" s="38"/>
      <c r="F838" s="27"/>
      <c r="G838" s="27"/>
      <c r="H838" s="99"/>
      <c r="M838" s="27"/>
      <c r="N838" s="48"/>
    </row>
    <row r="839" spans="1:14" s="7" customFormat="1" x14ac:dyDescent="0.35">
      <c r="A839" s="113"/>
      <c r="B839" s="27"/>
      <c r="C839" s="48"/>
      <c r="D839" s="27"/>
      <c r="E839" s="38"/>
      <c r="F839" s="27"/>
      <c r="G839" s="27"/>
      <c r="H839" s="99"/>
      <c r="M839" s="27"/>
      <c r="N839" s="48"/>
    </row>
    <row r="840" spans="1:14" s="7" customFormat="1" x14ac:dyDescent="0.35">
      <c r="A840" s="113"/>
      <c r="B840" s="27"/>
      <c r="C840" s="48"/>
      <c r="D840" s="27"/>
      <c r="E840" s="38"/>
      <c r="F840" s="27"/>
      <c r="G840" s="27"/>
      <c r="H840" s="99"/>
      <c r="M840" s="27"/>
      <c r="N840" s="48"/>
    </row>
    <row r="841" spans="1:14" s="7" customFormat="1" x14ac:dyDescent="0.35">
      <c r="A841" s="113"/>
      <c r="B841" s="27"/>
      <c r="C841" s="48"/>
      <c r="D841" s="27"/>
      <c r="E841" s="38"/>
      <c r="F841" s="27"/>
      <c r="G841" s="27"/>
      <c r="H841" s="99"/>
      <c r="M841" s="27"/>
      <c r="N841" s="48"/>
    </row>
    <row r="842" spans="1:14" s="7" customFormat="1" x14ac:dyDescent="0.35">
      <c r="A842" s="113"/>
      <c r="B842" s="27"/>
      <c r="C842" s="48"/>
      <c r="D842" s="27"/>
      <c r="E842" s="38"/>
      <c r="F842" s="27"/>
      <c r="G842" s="27"/>
      <c r="H842" s="99"/>
      <c r="M842" s="27"/>
      <c r="N842" s="48"/>
    </row>
    <row r="843" spans="1:14" s="7" customFormat="1" x14ac:dyDescent="0.35">
      <c r="A843" s="113"/>
      <c r="B843" s="27"/>
      <c r="C843" s="48"/>
      <c r="D843" s="27"/>
      <c r="E843" s="38"/>
      <c r="F843" s="27"/>
      <c r="G843" s="27"/>
      <c r="H843" s="99"/>
      <c r="M843" s="27"/>
      <c r="N843" s="48"/>
    </row>
    <row r="844" spans="1:14" s="7" customFormat="1" x14ac:dyDescent="0.35">
      <c r="A844" s="113"/>
      <c r="B844" s="27"/>
      <c r="C844" s="48"/>
      <c r="D844" s="27"/>
      <c r="E844" s="38"/>
      <c r="F844" s="27"/>
      <c r="G844" s="27"/>
      <c r="H844" s="99"/>
      <c r="M844" s="27"/>
      <c r="N844" s="48"/>
    </row>
    <row r="845" spans="1:14" s="7" customFormat="1" x14ac:dyDescent="0.35">
      <c r="A845" s="113"/>
      <c r="B845" s="27"/>
      <c r="C845" s="48"/>
      <c r="D845" s="27"/>
      <c r="E845" s="38"/>
      <c r="F845" s="27"/>
      <c r="G845" s="27"/>
      <c r="H845" s="99"/>
      <c r="M845" s="27"/>
      <c r="N845" s="48"/>
    </row>
    <row r="846" spans="1:14" s="7" customFormat="1" x14ac:dyDescent="0.35">
      <c r="A846" s="113"/>
      <c r="B846" s="27"/>
      <c r="C846" s="48"/>
      <c r="D846" s="27"/>
      <c r="E846" s="38"/>
      <c r="F846" s="27"/>
      <c r="G846" s="27"/>
      <c r="H846" s="99"/>
      <c r="M846" s="27"/>
      <c r="N846" s="48"/>
    </row>
    <row r="847" spans="1:14" s="7" customFormat="1" x14ac:dyDescent="0.35">
      <c r="A847" s="113"/>
      <c r="B847" s="27"/>
      <c r="C847" s="48"/>
      <c r="D847" s="27"/>
      <c r="E847" s="38"/>
      <c r="F847" s="27"/>
      <c r="G847" s="27"/>
      <c r="H847" s="99"/>
      <c r="M847" s="27"/>
      <c r="N847" s="48"/>
    </row>
    <row r="848" spans="1:14" s="7" customFormat="1" x14ac:dyDescent="0.35">
      <c r="A848" s="113"/>
      <c r="B848" s="27"/>
      <c r="C848" s="48"/>
      <c r="D848" s="27"/>
      <c r="E848" s="38"/>
      <c r="F848" s="27"/>
      <c r="G848" s="27"/>
      <c r="H848" s="99"/>
      <c r="M848" s="27"/>
      <c r="N848" s="48"/>
    </row>
    <row r="849" spans="1:14" s="7" customFormat="1" x14ac:dyDescent="0.35">
      <c r="A849" s="113"/>
      <c r="B849" s="27"/>
      <c r="C849" s="48"/>
      <c r="D849" s="27"/>
      <c r="E849" s="38"/>
      <c r="F849" s="27"/>
      <c r="G849" s="27"/>
      <c r="H849" s="99"/>
      <c r="M849" s="27"/>
      <c r="N849" s="48"/>
    </row>
    <row r="850" spans="1:14" s="7" customFormat="1" x14ac:dyDescent="0.35">
      <c r="A850" s="113"/>
      <c r="B850" s="27"/>
      <c r="C850" s="48"/>
      <c r="D850" s="27"/>
      <c r="E850" s="38"/>
      <c r="F850" s="27"/>
      <c r="G850" s="27"/>
      <c r="H850" s="99"/>
      <c r="M850" s="27"/>
      <c r="N850" s="48"/>
    </row>
    <row r="851" spans="1:14" s="7" customFormat="1" x14ac:dyDescent="0.35">
      <c r="A851" s="113"/>
      <c r="B851" s="27"/>
      <c r="C851" s="48"/>
      <c r="D851" s="27"/>
      <c r="E851" s="38"/>
      <c r="F851" s="27"/>
      <c r="G851" s="27"/>
      <c r="H851" s="99"/>
      <c r="M851" s="27"/>
      <c r="N851" s="48"/>
    </row>
    <row r="852" spans="1:14" s="7" customFormat="1" x14ac:dyDescent="0.35">
      <c r="A852" s="113"/>
      <c r="B852" s="27"/>
      <c r="C852" s="48"/>
      <c r="D852" s="27"/>
      <c r="E852" s="38"/>
      <c r="F852" s="27"/>
      <c r="G852" s="27"/>
      <c r="H852" s="99"/>
      <c r="M852" s="27"/>
      <c r="N852" s="48"/>
    </row>
    <row r="853" spans="1:14" s="7" customFormat="1" x14ac:dyDescent="0.35">
      <c r="A853" s="113"/>
      <c r="B853" s="27"/>
      <c r="C853" s="48"/>
      <c r="D853" s="27"/>
      <c r="E853" s="38"/>
      <c r="F853" s="27"/>
      <c r="G853" s="27"/>
      <c r="H853" s="99"/>
      <c r="M853" s="27"/>
      <c r="N853" s="48"/>
    </row>
    <row r="854" spans="1:14" s="7" customFormat="1" x14ac:dyDescent="0.35">
      <c r="A854" s="113"/>
      <c r="B854" s="27"/>
      <c r="C854" s="48"/>
      <c r="D854" s="27"/>
      <c r="E854" s="38"/>
      <c r="F854" s="27"/>
      <c r="G854" s="27"/>
      <c r="H854" s="99"/>
      <c r="M854" s="27"/>
      <c r="N854" s="48"/>
    </row>
    <row r="855" spans="1:14" s="7" customFormat="1" x14ac:dyDescent="0.35">
      <c r="A855" s="113"/>
      <c r="B855" s="27"/>
      <c r="C855" s="48"/>
      <c r="D855" s="27"/>
      <c r="E855" s="38"/>
      <c r="F855" s="27"/>
      <c r="G855" s="27"/>
      <c r="H855" s="99"/>
      <c r="M855" s="27"/>
      <c r="N855" s="48"/>
    </row>
    <row r="856" spans="1:14" s="7" customFormat="1" x14ac:dyDescent="0.35">
      <c r="A856" s="113"/>
      <c r="B856" s="27"/>
      <c r="C856" s="48"/>
      <c r="D856" s="27"/>
      <c r="E856" s="38"/>
      <c r="F856" s="27"/>
      <c r="G856" s="27"/>
      <c r="H856" s="99"/>
      <c r="M856" s="27"/>
      <c r="N856" s="48"/>
    </row>
    <row r="857" spans="1:14" s="7" customFormat="1" x14ac:dyDescent="0.35">
      <c r="A857" s="113"/>
      <c r="B857" s="27"/>
      <c r="C857" s="48"/>
      <c r="D857" s="27"/>
      <c r="E857" s="38"/>
      <c r="F857" s="27"/>
      <c r="G857" s="27"/>
      <c r="H857" s="99"/>
      <c r="M857" s="27"/>
      <c r="N857" s="48"/>
    </row>
    <row r="858" spans="1:14" s="7" customFormat="1" x14ac:dyDescent="0.35">
      <c r="A858" s="113"/>
      <c r="B858" s="27"/>
      <c r="C858" s="48"/>
      <c r="D858" s="27"/>
      <c r="E858" s="38"/>
      <c r="F858" s="27"/>
      <c r="G858" s="27"/>
      <c r="H858" s="99"/>
      <c r="M858" s="27"/>
      <c r="N858" s="48"/>
    </row>
    <row r="859" spans="1:14" s="7" customFormat="1" x14ac:dyDescent="0.35">
      <c r="A859" s="113"/>
      <c r="B859" s="27"/>
      <c r="C859" s="48"/>
      <c r="D859" s="27"/>
      <c r="E859" s="38"/>
      <c r="F859" s="27"/>
      <c r="G859" s="27"/>
      <c r="H859" s="99"/>
      <c r="M859" s="27"/>
      <c r="N859" s="48"/>
    </row>
    <row r="860" spans="1:14" s="7" customFormat="1" x14ac:dyDescent="0.35">
      <c r="A860" s="113"/>
      <c r="B860" s="27"/>
      <c r="C860" s="48"/>
      <c r="D860" s="27"/>
      <c r="E860" s="38"/>
      <c r="F860" s="27"/>
      <c r="G860" s="27"/>
      <c r="H860" s="99"/>
      <c r="M860" s="27"/>
      <c r="N860" s="48"/>
    </row>
    <row r="861" spans="1:14" s="7" customFormat="1" x14ac:dyDescent="0.35">
      <c r="A861" s="113"/>
      <c r="B861" s="27"/>
      <c r="C861" s="48"/>
      <c r="D861" s="27"/>
      <c r="E861" s="38"/>
      <c r="F861" s="27"/>
      <c r="G861" s="27"/>
      <c r="H861" s="99"/>
      <c r="M861" s="27"/>
      <c r="N861" s="48"/>
    </row>
    <row r="862" spans="1:14" s="7" customFormat="1" x14ac:dyDescent="0.35">
      <c r="A862" s="113"/>
      <c r="B862" s="27"/>
      <c r="C862" s="48"/>
      <c r="D862" s="27"/>
      <c r="E862" s="38"/>
      <c r="F862" s="27"/>
      <c r="G862" s="27"/>
      <c r="H862" s="99"/>
      <c r="M862" s="27"/>
      <c r="N862" s="48"/>
    </row>
    <row r="863" spans="1:14" s="7" customFormat="1" x14ac:dyDescent="0.35">
      <c r="A863" s="113"/>
      <c r="B863" s="27"/>
      <c r="C863" s="48"/>
      <c r="D863" s="27"/>
      <c r="E863" s="38"/>
      <c r="F863" s="27"/>
      <c r="G863" s="27"/>
      <c r="H863" s="99"/>
      <c r="M863" s="27"/>
      <c r="N863" s="48"/>
    </row>
    <row r="864" spans="1:14" s="7" customFormat="1" x14ac:dyDescent="0.35">
      <c r="A864" s="113"/>
      <c r="B864" s="27"/>
      <c r="C864" s="48"/>
      <c r="D864" s="27"/>
      <c r="E864" s="38"/>
      <c r="F864" s="27"/>
      <c r="G864" s="27"/>
      <c r="H864" s="99"/>
      <c r="M864" s="27"/>
      <c r="N864" s="48"/>
    </row>
    <row r="865" spans="1:14" s="7" customFormat="1" x14ac:dyDescent="0.35">
      <c r="A865" s="113"/>
      <c r="B865" s="27"/>
      <c r="C865" s="48"/>
      <c r="D865" s="27"/>
      <c r="E865" s="38"/>
      <c r="F865" s="27"/>
      <c r="G865" s="27"/>
      <c r="H865" s="99"/>
      <c r="M865" s="27"/>
      <c r="N865" s="48"/>
    </row>
    <row r="866" spans="1:14" s="7" customFormat="1" x14ac:dyDescent="0.35">
      <c r="A866" s="113"/>
      <c r="B866" s="27"/>
      <c r="C866" s="48"/>
      <c r="D866" s="27"/>
      <c r="E866" s="38"/>
      <c r="F866" s="27"/>
      <c r="G866" s="27"/>
      <c r="H866" s="99"/>
      <c r="M866" s="27"/>
      <c r="N866" s="48"/>
    </row>
    <row r="867" spans="1:14" s="7" customFormat="1" x14ac:dyDescent="0.35">
      <c r="A867" s="113"/>
      <c r="B867" s="27"/>
      <c r="C867" s="48"/>
      <c r="D867" s="27"/>
      <c r="E867" s="38"/>
      <c r="F867" s="27"/>
      <c r="G867" s="27"/>
      <c r="H867" s="99"/>
      <c r="M867" s="27"/>
      <c r="N867" s="48"/>
    </row>
    <row r="868" spans="1:14" s="7" customFormat="1" x14ac:dyDescent="0.35">
      <c r="A868" s="113"/>
      <c r="B868" s="27"/>
      <c r="C868" s="48"/>
      <c r="D868" s="27"/>
      <c r="E868" s="38"/>
      <c r="F868" s="27"/>
      <c r="G868" s="27"/>
      <c r="H868" s="99"/>
      <c r="M868" s="27"/>
      <c r="N868" s="48"/>
    </row>
    <row r="869" spans="1:14" s="7" customFormat="1" x14ac:dyDescent="0.35">
      <c r="A869" s="113"/>
      <c r="B869" s="27"/>
      <c r="C869" s="48"/>
      <c r="D869" s="27"/>
      <c r="E869" s="38"/>
      <c r="F869" s="27"/>
      <c r="G869" s="27"/>
      <c r="H869" s="99"/>
      <c r="M869" s="27"/>
      <c r="N869" s="48"/>
    </row>
    <row r="870" spans="1:14" s="7" customFormat="1" x14ac:dyDescent="0.35">
      <c r="A870" s="113"/>
      <c r="B870" s="27"/>
      <c r="C870" s="48"/>
      <c r="D870" s="27"/>
      <c r="E870" s="38"/>
      <c r="F870" s="27"/>
      <c r="G870" s="27"/>
      <c r="H870" s="99"/>
      <c r="M870" s="27"/>
      <c r="N870" s="48"/>
    </row>
    <row r="871" spans="1:14" s="7" customFormat="1" x14ac:dyDescent="0.35">
      <c r="A871" s="113"/>
      <c r="B871" s="27"/>
      <c r="C871" s="48"/>
      <c r="D871" s="27"/>
      <c r="E871" s="38"/>
      <c r="F871" s="27"/>
      <c r="G871" s="27"/>
      <c r="H871" s="99"/>
      <c r="M871" s="27"/>
      <c r="N871" s="48"/>
    </row>
    <row r="872" spans="1:14" s="7" customFormat="1" x14ac:dyDescent="0.35">
      <c r="A872" s="113"/>
      <c r="B872" s="27"/>
      <c r="C872" s="48"/>
      <c r="D872" s="27"/>
      <c r="E872" s="38"/>
      <c r="F872" s="27"/>
      <c r="G872" s="27"/>
      <c r="H872" s="99"/>
      <c r="M872" s="27"/>
      <c r="N872" s="48"/>
    </row>
    <row r="873" spans="1:14" s="7" customFormat="1" x14ac:dyDescent="0.35">
      <c r="A873" s="113"/>
      <c r="B873" s="27"/>
      <c r="C873" s="48"/>
      <c r="D873" s="27"/>
      <c r="E873" s="38"/>
      <c r="F873" s="27"/>
      <c r="G873" s="27"/>
      <c r="H873" s="99"/>
      <c r="M873" s="27"/>
      <c r="N873" s="48"/>
    </row>
    <row r="874" spans="1:14" s="7" customFormat="1" x14ac:dyDescent="0.35">
      <c r="A874" s="113"/>
      <c r="B874" s="27"/>
      <c r="C874" s="48"/>
      <c r="D874" s="27"/>
      <c r="E874" s="38"/>
      <c r="F874" s="27"/>
      <c r="G874" s="27"/>
      <c r="H874" s="99"/>
      <c r="M874" s="27"/>
      <c r="N874" s="48"/>
    </row>
    <row r="875" spans="1:14" s="7" customFormat="1" x14ac:dyDescent="0.35">
      <c r="A875" s="113"/>
      <c r="B875" s="27"/>
      <c r="C875" s="48"/>
      <c r="D875" s="27"/>
      <c r="E875" s="38"/>
      <c r="F875" s="27"/>
      <c r="G875" s="27"/>
      <c r="H875" s="99"/>
      <c r="M875" s="27"/>
      <c r="N875" s="48"/>
    </row>
    <row r="876" spans="1:14" s="7" customFormat="1" x14ac:dyDescent="0.35">
      <c r="A876" s="113"/>
      <c r="B876" s="27"/>
      <c r="C876" s="48"/>
      <c r="D876" s="27"/>
      <c r="E876" s="38"/>
      <c r="F876" s="27"/>
      <c r="G876" s="27"/>
      <c r="H876" s="99"/>
      <c r="M876" s="27"/>
      <c r="N876" s="48"/>
    </row>
    <row r="877" spans="1:14" s="7" customFormat="1" x14ac:dyDescent="0.35">
      <c r="A877" s="113"/>
      <c r="B877" s="27"/>
      <c r="C877" s="48"/>
      <c r="D877" s="27"/>
      <c r="E877" s="38"/>
      <c r="F877" s="27"/>
      <c r="G877" s="27"/>
      <c r="H877" s="99"/>
      <c r="M877" s="27"/>
      <c r="N877" s="48"/>
    </row>
    <row r="878" spans="1:14" s="7" customFormat="1" x14ac:dyDescent="0.35">
      <c r="A878" s="113"/>
      <c r="B878" s="27"/>
      <c r="C878" s="48"/>
      <c r="D878" s="27"/>
      <c r="E878" s="38"/>
      <c r="F878" s="27"/>
      <c r="G878" s="27"/>
      <c r="H878" s="99"/>
      <c r="M878" s="27"/>
      <c r="N878" s="48"/>
    </row>
    <row r="879" spans="1:14" s="7" customFormat="1" x14ac:dyDescent="0.35">
      <c r="A879" s="113"/>
      <c r="B879" s="27"/>
      <c r="C879" s="48"/>
      <c r="D879" s="27"/>
      <c r="E879" s="38"/>
      <c r="F879" s="27"/>
      <c r="G879" s="27"/>
      <c r="H879" s="99"/>
      <c r="M879" s="27"/>
      <c r="N879" s="48"/>
    </row>
    <row r="880" spans="1:14" s="7" customFormat="1" x14ac:dyDescent="0.35">
      <c r="A880" s="113"/>
      <c r="B880" s="27"/>
      <c r="C880" s="48"/>
      <c r="D880" s="27"/>
      <c r="E880" s="38"/>
      <c r="F880" s="27"/>
      <c r="G880" s="27"/>
      <c r="H880" s="99"/>
      <c r="M880" s="27"/>
      <c r="N880" s="48"/>
    </row>
    <row r="881" spans="1:14" s="7" customFormat="1" x14ac:dyDescent="0.35">
      <c r="A881" s="113"/>
      <c r="B881" s="27"/>
      <c r="C881" s="48"/>
      <c r="D881" s="27"/>
      <c r="E881" s="38"/>
      <c r="F881" s="27"/>
      <c r="G881" s="27"/>
      <c r="H881" s="99"/>
      <c r="M881" s="27"/>
      <c r="N881" s="48"/>
    </row>
    <row r="882" spans="1:14" s="7" customFormat="1" x14ac:dyDescent="0.35">
      <c r="A882" s="113"/>
      <c r="B882" s="27"/>
      <c r="C882" s="48"/>
      <c r="D882" s="27"/>
      <c r="E882" s="38"/>
      <c r="F882" s="27"/>
      <c r="G882" s="27"/>
      <c r="H882" s="99"/>
      <c r="M882" s="27"/>
      <c r="N882" s="48"/>
    </row>
    <row r="883" spans="1:14" s="7" customFormat="1" x14ac:dyDescent="0.35">
      <c r="A883" s="113"/>
      <c r="B883" s="27"/>
      <c r="C883" s="48"/>
      <c r="D883" s="27"/>
      <c r="E883" s="38"/>
      <c r="F883" s="27"/>
      <c r="G883" s="27"/>
      <c r="H883" s="99"/>
      <c r="M883" s="27"/>
      <c r="N883" s="48"/>
    </row>
    <row r="884" spans="1:14" s="7" customFormat="1" x14ac:dyDescent="0.35">
      <c r="A884" s="113"/>
      <c r="B884" s="27"/>
      <c r="C884" s="48"/>
      <c r="D884" s="27"/>
      <c r="E884" s="38"/>
      <c r="F884" s="27"/>
      <c r="G884" s="27"/>
      <c r="H884" s="99"/>
      <c r="M884" s="27"/>
      <c r="N884" s="48"/>
    </row>
    <row r="885" spans="1:14" s="7" customFormat="1" x14ac:dyDescent="0.35">
      <c r="A885" s="113"/>
      <c r="B885" s="27"/>
      <c r="C885" s="48"/>
      <c r="D885" s="27"/>
      <c r="E885" s="38"/>
      <c r="F885" s="27"/>
      <c r="G885" s="27"/>
      <c r="H885" s="99"/>
      <c r="M885" s="27"/>
      <c r="N885" s="48"/>
    </row>
    <row r="886" spans="1:14" s="7" customFormat="1" x14ac:dyDescent="0.35">
      <c r="A886" s="113"/>
      <c r="B886" s="27"/>
      <c r="C886" s="48"/>
      <c r="D886" s="27"/>
      <c r="E886" s="38"/>
      <c r="F886" s="27"/>
      <c r="G886" s="27"/>
      <c r="H886" s="99"/>
      <c r="M886" s="27"/>
      <c r="N886" s="48"/>
    </row>
    <row r="887" spans="1:14" s="7" customFormat="1" x14ac:dyDescent="0.35">
      <c r="A887" s="113"/>
      <c r="B887" s="27"/>
      <c r="C887" s="48"/>
      <c r="D887" s="27"/>
      <c r="E887" s="38"/>
      <c r="F887" s="27"/>
      <c r="G887" s="27"/>
      <c r="H887" s="99"/>
      <c r="M887" s="27"/>
      <c r="N887" s="48"/>
    </row>
    <row r="888" spans="1:14" s="7" customFormat="1" x14ac:dyDescent="0.35">
      <c r="A888" s="113"/>
      <c r="B888" s="27"/>
      <c r="C888" s="48"/>
      <c r="D888" s="27"/>
      <c r="E888" s="38"/>
      <c r="F888" s="27"/>
      <c r="G888" s="27"/>
      <c r="H888" s="99"/>
      <c r="M888" s="27"/>
      <c r="N888" s="48"/>
    </row>
    <row r="889" spans="1:14" s="7" customFormat="1" x14ac:dyDescent="0.35">
      <c r="A889" s="113"/>
      <c r="B889" s="27"/>
      <c r="C889" s="48"/>
      <c r="D889" s="27"/>
      <c r="E889" s="38"/>
      <c r="F889" s="27"/>
      <c r="G889" s="27"/>
      <c r="H889" s="99"/>
      <c r="M889" s="27"/>
      <c r="N889" s="48"/>
    </row>
    <row r="890" spans="1:14" s="7" customFormat="1" x14ac:dyDescent="0.35">
      <c r="A890" s="113"/>
      <c r="B890" s="27"/>
      <c r="C890" s="48"/>
      <c r="D890" s="27"/>
      <c r="E890" s="38"/>
      <c r="F890" s="27"/>
      <c r="G890" s="27"/>
      <c r="H890" s="99"/>
      <c r="M890" s="27"/>
      <c r="N890" s="48"/>
    </row>
    <row r="891" spans="1:14" s="7" customFormat="1" x14ac:dyDescent="0.35">
      <c r="A891" s="113"/>
      <c r="B891" s="27"/>
      <c r="C891" s="48"/>
      <c r="D891" s="27"/>
      <c r="E891" s="38"/>
      <c r="F891" s="27"/>
      <c r="G891" s="27"/>
      <c r="H891" s="99"/>
      <c r="M891" s="27"/>
      <c r="N891" s="48"/>
    </row>
    <row r="892" spans="1:14" s="7" customFormat="1" x14ac:dyDescent="0.35">
      <c r="A892" s="113"/>
      <c r="B892" s="27"/>
      <c r="C892" s="48"/>
      <c r="D892" s="27"/>
      <c r="E892" s="38"/>
      <c r="F892" s="27"/>
      <c r="G892" s="27"/>
      <c r="H892" s="99"/>
      <c r="M892" s="27"/>
      <c r="N892" s="48"/>
    </row>
    <row r="893" spans="1:14" s="7" customFormat="1" x14ac:dyDescent="0.35">
      <c r="A893" s="113"/>
      <c r="B893" s="27"/>
      <c r="C893" s="48"/>
      <c r="D893" s="27"/>
      <c r="E893" s="38"/>
      <c r="F893" s="27"/>
      <c r="G893" s="27"/>
      <c r="H893" s="99"/>
      <c r="M893" s="27"/>
      <c r="N893" s="48"/>
    </row>
    <row r="894" spans="1:14" s="7" customFormat="1" x14ac:dyDescent="0.35">
      <c r="A894" s="113"/>
      <c r="B894" s="27"/>
      <c r="C894" s="48"/>
      <c r="D894" s="27"/>
      <c r="E894" s="38"/>
      <c r="F894" s="27"/>
      <c r="G894" s="27"/>
      <c r="H894" s="99"/>
      <c r="M894" s="27"/>
      <c r="N894" s="48"/>
    </row>
    <row r="895" spans="1:14" s="7" customFormat="1" x14ac:dyDescent="0.35">
      <c r="A895" s="113"/>
      <c r="B895" s="27"/>
      <c r="C895" s="48"/>
      <c r="D895" s="27"/>
      <c r="E895" s="38"/>
      <c r="F895" s="27"/>
      <c r="G895" s="27"/>
      <c r="H895" s="99"/>
      <c r="M895" s="27"/>
      <c r="N895" s="48"/>
    </row>
    <row r="896" spans="1:14" s="7" customFormat="1" x14ac:dyDescent="0.35">
      <c r="A896" s="113"/>
      <c r="B896" s="27"/>
      <c r="C896" s="48"/>
      <c r="D896" s="27"/>
      <c r="E896" s="38"/>
      <c r="F896" s="27"/>
      <c r="G896" s="27"/>
      <c r="H896" s="99"/>
      <c r="M896" s="27"/>
      <c r="N896" s="48"/>
    </row>
    <row r="897" spans="1:14" s="7" customFormat="1" x14ac:dyDescent="0.35">
      <c r="A897" s="113"/>
      <c r="B897" s="27"/>
      <c r="C897" s="48"/>
      <c r="D897" s="27"/>
      <c r="E897" s="38"/>
      <c r="F897" s="27"/>
      <c r="G897" s="27"/>
      <c r="H897" s="99"/>
      <c r="M897" s="27"/>
      <c r="N897" s="48"/>
    </row>
    <row r="898" spans="1:14" s="7" customFormat="1" x14ac:dyDescent="0.35">
      <c r="A898" s="113"/>
      <c r="B898" s="27"/>
      <c r="C898" s="48"/>
      <c r="D898" s="27"/>
      <c r="E898" s="38"/>
      <c r="F898" s="27"/>
      <c r="G898" s="27"/>
      <c r="H898" s="99"/>
      <c r="M898" s="27"/>
      <c r="N898" s="48"/>
    </row>
    <row r="899" spans="1:14" s="7" customFormat="1" x14ac:dyDescent="0.35">
      <c r="A899" s="113"/>
      <c r="B899" s="27"/>
      <c r="C899" s="48"/>
      <c r="D899" s="27"/>
      <c r="E899" s="38"/>
      <c r="F899" s="27"/>
      <c r="G899" s="27"/>
      <c r="H899" s="99"/>
      <c r="M899" s="27"/>
      <c r="N899" s="48"/>
    </row>
    <row r="900" spans="1:14" s="7" customFormat="1" x14ac:dyDescent="0.35">
      <c r="A900" s="113"/>
      <c r="B900" s="27"/>
      <c r="C900" s="48"/>
      <c r="D900" s="27"/>
      <c r="E900" s="38"/>
      <c r="F900" s="27"/>
      <c r="G900" s="27"/>
      <c r="H900" s="99"/>
      <c r="M900" s="27"/>
      <c r="N900" s="48"/>
    </row>
    <row r="901" spans="1:14" s="7" customFormat="1" x14ac:dyDescent="0.35">
      <c r="A901" s="113"/>
      <c r="B901" s="27"/>
      <c r="C901" s="48"/>
      <c r="D901" s="27"/>
      <c r="E901" s="38"/>
      <c r="F901" s="27"/>
      <c r="G901" s="27"/>
      <c r="H901" s="99"/>
      <c r="M901" s="27"/>
      <c r="N901" s="48"/>
    </row>
    <row r="902" spans="1:14" s="7" customFormat="1" x14ac:dyDescent="0.35">
      <c r="A902" s="113"/>
      <c r="B902" s="27"/>
      <c r="C902" s="48"/>
      <c r="D902" s="27"/>
      <c r="E902" s="38"/>
      <c r="F902" s="27"/>
      <c r="G902" s="27"/>
      <c r="H902" s="99"/>
      <c r="M902" s="27"/>
      <c r="N902" s="48"/>
    </row>
    <row r="903" spans="1:14" s="7" customFormat="1" x14ac:dyDescent="0.35">
      <c r="A903" s="113"/>
      <c r="B903" s="27"/>
      <c r="C903" s="48"/>
      <c r="D903" s="27"/>
      <c r="E903" s="38"/>
      <c r="F903" s="27"/>
      <c r="G903" s="27"/>
      <c r="H903" s="99"/>
      <c r="M903" s="27"/>
      <c r="N903" s="48"/>
    </row>
    <row r="904" spans="1:14" s="7" customFormat="1" x14ac:dyDescent="0.35">
      <c r="A904" s="113"/>
      <c r="B904" s="27"/>
      <c r="C904" s="48"/>
      <c r="D904" s="27"/>
      <c r="E904" s="38"/>
      <c r="F904" s="27"/>
      <c r="G904" s="27"/>
      <c r="H904" s="99"/>
      <c r="M904" s="27"/>
      <c r="N904" s="48"/>
    </row>
    <row r="905" spans="1:14" s="7" customFormat="1" x14ac:dyDescent="0.35">
      <c r="A905" s="113"/>
      <c r="B905" s="27"/>
      <c r="C905" s="48"/>
      <c r="D905" s="27"/>
      <c r="E905" s="38"/>
      <c r="F905" s="27"/>
      <c r="G905" s="27"/>
      <c r="H905" s="99"/>
      <c r="M905" s="27"/>
      <c r="N905" s="48"/>
    </row>
    <row r="906" spans="1:14" s="7" customFormat="1" x14ac:dyDescent="0.35">
      <c r="A906" s="113"/>
      <c r="B906" s="27"/>
      <c r="C906" s="48"/>
      <c r="D906" s="27"/>
      <c r="E906" s="38"/>
      <c r="F906" s="27"/>
      <c r="G906" s="27"/>
      <c r="H906" s="99"/>
      <c r="M906" s="27"/>
      <c r="N906" s="48"/>
    </row>
    <row r="907" spans="1:14" s="7" customFormat="1" x14ac:dyDescent="0.35">
      <c r="A907" s="113"/>
      <c r="B907" s="27"/>
      <c r="C907" s="48"/>
      <c r="D907" s="27"/>
      <c r="E907" s="38"/>
      <c r="F907" s="27"/>
      <c r="G907" s="27"/>
      <c r="H907" s="99"/>
      <c r="M907" s="27"/>
      <c r="N907" s="48"/>
    </row>
    <row r="908" spans="1:14" s="7" customFormat="1" x14ac:dyDescent="0.35">
      <c r="A908" s="113"/>
      <c r="B908" s="27"/>
      <c r="C908" s="48"/>
      <c r="D908" s="27"/>
      <c r="E908" s="38"/>
      <c r="F908" s="27"/>
      <c r="G908" s="27"/>
      <c r="H908" s="99"/>
      <c r="M908" s="27"/>
      <c r="N908" s="48"/>
    </row>
    <row r="909" spans="1:14" s="7" customFormat="1" x14ac:dyDescent="0.35">
      <c r="A909" s="113"/>
      <c r="B909" s="27"/>
      <c r="C909" s="48"/>
      <c r="D909" s="27"/>
      <c r="E909" s="38"/>
      <c r="F909" s="27"/>
      <c r="G909" s="27"/>
      <c r="H909" s="99"/>
      <c r="M909" s="27"/>
      <c r="N909" s="48"/>
    </row>
    <row r="910" spans="1:14" s="7" customFormat="1" x14ac:dyDescent="0.35">
      <c r="A910" s="113"/>
      <c r="B910" s="27"/>
      <c r="C910" s="48"/>
      <c r="D910" s="27"/>
      <c r="E910" s="38"/>
      <c r="F910" s="27"/>
      <c r="G910" s="27"/>
      <c r="H910" s="99"/>
      <c r="M910" s="27"/>
      <c r="N910" s="48"/>
    </row>
    <row r="911" spans="1:14" s="7" customFormat="1" x14ac:dyDescent="0.35">
      <c r="A911" s="113"/>
      <c r="B911" s="27"/>
      <c r="C911" s="48"/>
      <c r="D911" s="27"/>
      <c r="E911" s="38"/>
      <c r="F911" s="27"/>
      <c r="G911" s="27"/>
      <c r="H911" s="99"/>
      <c r="M911" s="27"/>
      <c r="N911" s="48"/>
    </row>
    <row r="912" spans="1:14" s="7" customFormat="1" x14ac:dyDescent="0.35">
      <c r="A912" s="113"/>
      <c r="B912" s="27"/>
      <c r="C912" s="48"/>
      <c r="D912" s="27"/>
      <c r="E912" s="38"/>
      <c r="F912" s="27"/>
      <c r="G912" s="27"/>
      <c r="H912" s="99"/>
      <c r="M912" s="27"/>
      <c r="N912" s="48"/>
    </row>
    <row r="913" spans="1:14" s="7" customFormat="1" x14ac:dyDescent="0.35">
      <c r="A913" s="113"/>
      <c r="B913" s="27"/>
      <c r="C913" s="48"/>
      <c r="D913" s="27"/>
      <c r="E913" s="38"/>
      <c r="F913" s="27"/>
      <c r="G913" s="27"/>
      <c r="H913" s="99"/>
      <c r="M913" s="27"/>
      <c r="N913" s="48"/>
    </row>
    <row r="914" spans="1:14" s="7" customFormat="1" x14ac:dyDescent="0.35">
      <c r="A914" s="113"/>
      <c r="B914" s="27"/>
      <c r="C914" s="48"/>
      <c r="D914" s="27"/>
      <c r="E914" s="38"/>
      <c r="F914" s="27"/>
      <c r="G914" s="27"/>
      <c r="H914" s="99"/>
      <c r="M914" s="27"/>
      <c r="N914" s="48"/>
    </row>
    <row r="915" spans="1:14" s="7" customFormat="1" x14ac:dyDescent="0.35">
      <c r="A915" s="113"/>
      <c r="B915" s="27"/>
      <c r="C915" s="48"/>
      <c r="D915" s="27"/>
      <c r="E915" s="38"/>
      <c r="F915" s="27"/>
      <c r="G915" s="27"/>
      <c r="H915" s="99"/>
      <c r="M915" s="27"/>
      <c r="N915" s="48"/>
    </row>
    <row r="916" spans="1:14" s="7" customFormat="1" x14ac:dyDescent="0.35">
      <c r="A916" s="113"/>
      <c r="B916" s="27"/>
      <c r="C916" s="48"/>
      <c r="D916" s="27"/>
      <c r="E916" s="38"/>
      <c r="F916" s="27"/>
      <c r="G916" s="27"/>
      <c r="H916" s="99"/>
      <c r="M916" s="27"/>
      <c r="N916" s="48"/>
    </row>
    <row r="917" spans="1:14" s="7" customFormat="1" x14ac:dyDescent="0.35">
      <c r="A917" s="113"/>
      <c r="B917" s="27"/>
      <c r="C917" s="48"/>
      <c r="D917" s="27"/>
      <c r="E917" s="38"/>
      <c r="F917" s="27"/>
      <c r="G917" s="27"/>
      <c r="H917" s="99"/>
      <c r="M917" s="27"/>
      <c r="N917" s="48"/>
    </row>
    <row r="918" spans="1:14" s="7" customFormat="1" x14ac:dyDescent="0.35">
      <c r="A918" s="113"/>
      <c r="B918" s="27"/>
      <c r="C918" s="48"/>
      <c r="D918" s="27"/>
      <c r="E918" s="38"/>
      <c r="F918" s="27"/>
      <c r="G918" s="27"/>
      <c r="H918" s="99"/>
      <c r="M918" s="27"/>
      <c r="N918" s="48"/>
    </row>
    <row r="919" spans="1:14" s="7" customFormat="1" x14ac:dyDescent="0.35">
      <c r="A919" s="113"/>
      <c r="B919" s="27"/>
      <c r="C919" s="48"/>
      <c r="D919" s="27"/>
      <c r="E919" s="38"/>
      <c r="F919" s="27"/>
      <c r="G919" s="27"/>
      <c r="H919" s="99"/>
      <c r="M919" s="27"/>
      <c r="N919" s="48"/>
    </row>
    <row r="920" spans="1:14" s="7" customFormat="1" x14ac:dyDescent="0.35">
      <c r="A920" s="113"/>
      <c r="B920" s="27"/>
      <c r="C920" s="48"/>
      <c r="D920" s="27"/>
      <c r="E920" s="38"/>
      <c r="F920" s="27"/>
      <c r="G920" s="27"/>
      <c r="H920" s="99"/>
      <c r="M920" s="27"/>
      <c r="N920" s="48"/>
    </row>
    <row r="921" spans="1:14" s="7" customFormat="1" x14ac:dyDescent="0.35">
      <c r="A921" s="113"/>
      <c r="B921" s="27"/>
      <c r="C921" s="48"/>
      <c r="D921" s="27"/>
      <c r="E921" s="38"/>
      <c r="F921" s="27"/>
      <c r="G921" s="27"/>
      <c r="H921" s="99"/>
      <c r="M921" s="27"/>
      <c r="N921" s="48"/>
    </row>
    <row r="922" spans="1:14" s="7" customFormat="1" x14ac:dyDescent="0.35">
      <c r="A922" s="113"/>
      <c r="B922" s="27"/>
      <c r="C922" s="48"/>
      <c r="D922" s="27"/>
      <c r="E922" s="38"/>
      <c r="F922" s="27"/>
      <c r="G922" s="27"/>
      <c r="H922" s="99"/>
      <c r="M922" s="27"/>
      <c r="N922" s="48"/>
    </row>
    <row r="923" spans="1:14" s="7" customFormat="1" x14ac:dyDescent="0.35">
      <c r="A923" s="113"/>
      <c r="B923" s="27"/>
      <c r="C923" s="48"/>
      <c r="D923" s="27"/>
      <c r="E923" s="38"/>
      <c r="F923" s="27"/>
      <c r="G923" s="27"/>
      <c r="H923" s="99"/>
      <c r="M923" s="27"/>
      <c r="N923" s="48"/>
    </row>
    <row r="924" spans="1:14" s="7" customFormat="1" x14ac:dyDescent="0.35">
      <c r="A924" s="113"/>
      <c r="B924" s="27"/>
      <c r="C924" s="48"/>
      <c r="D924" s="27"/>
      <c r="E924" s="38"/>
      <c r="F924" s="27"/>
      <c r="G924" s="27"/>
      <c r="H924" s="99"/>
      <c r="M924" s="27"/>
      <c r="N924" s="48"/>
    </row>
    <row r="925" spans="1:14" s="7" customFormat="1" x14ac:dyDescent="0.35">
      <c r="A925" s="113"/>
      <c r="B925" s="27"/>
      <c r="C925" s="48"/>
      <c r="D925" s="27"/>
      <c r="E925" s="38"/>
      <c r="F925" s="27"/>
      <c r="G925" s="27"/>
      <c r="H925" s="99"/>
      <c r="M925" s="27"/>
      <c r="N925" s="48"/>
    </row>
    <row r="926" spans="1:14" s="7" customFormat="1" x14ac:dyDescent="0.35">
      <c r="A926" s="113"/>
      <c r="B926" s="27"/>
      <c r="C926" s="48"/>
      <c r="D926" s="27"/>
      <c r="E926" s="38"/>
      <c r="F926" s="27"/>
      <c r="G926" s="27"/>
      <c r="H926" s="99"/>
      <c r="M926" s="27"/>
      <c r="N926" s="48"/>
    </row>
    <row r="927" spans="1:14" s="7" customFormat="1" x14ac:dyDescent="0.35">
      <c r="A927" s="113"/>
      <c r="B927" s="27"/>
      <c r="C927" s="48"/>
      <c r="D927" s="27"/>
      <c r="E927" s="38"/>
      <c r="F927" s="27"/>
      <c r="G927" s="27"/>
      <c r="H927" s="99"/>
      <c r="M927" s="27"/>
      <c r="N927" s="48"/>
    </row>
    <row r="928" spans="1:14" s="7" customFormat="1" x14ac:dyDescent="0.35">
      <c r="A928" s="113"/>
      <c r="B928" s="27"/>
      <c r="C928" s="48"/>
      <c r="D928" s="27"/>
      <c r="E928" s="38"/>
      <c r="F928" s="27"/>
      <c r="G928" s="27"/>
      <c r="H928" s="99"/>
      <c r="M928" s="27"/>
      <c r="N928" s="48"/>
    </row>
    <row r="929" spans="1:14" s="7" customFormat="1" x14ac:dyDescent="0.35">
      <c r="A929" s="113"/>
      <c r="B929" s="27"/>
      <c r="C929" s="48"/>
      <c r="D929" s="27"/>
      <c r="E929" s="38"/>
      <c r="F929" s="27"/>
      <c r="G929" s="27"/>
      <c r="H929" s="99"/>
      <c r="M929" s="27"/>
      <c r="N929" s="48"/>
    </row>
    <row r="930" spans="1:14" s="7" customFormat="1" x14ac:dyDescent="0.35">
      <c r="A930" s="113"/>
      <c r="B930" s="27"/>
      <c r="C930" s="48"/>
      <c r="D930" s="27"/>
      <c r="E930" s="38"/>
      <c r="F930" s="27"/>
      <c r="G930" s="27"/>
      <c r="H930" s="99"/>
      <c r="M930" s="27"/>
      <c r="N930" s="48"/>
    </row>
    <row r="931" spans="1:14" s="7" customFormat="1" x14ac:dyDescent="0.35">
      <c r="A931" s="113"/>
      <c r="B931" s="27"/>
      <c r="C931" s="48"/>
      <c r="D931" s="27"/>
      <c r="E931" s="38"/>
      <c r="F931" s="27"/>
      <c r="G931" s="27"/>
      <c r="H931" s="99"/>
      <c r="M931" s="27"/>
      <c r="N931" s="48"/>
    </row>
    <row r="932" spans="1:14" s="7" customFormat="1" x14ac:dyDescent="0.35">
      <c r="A932" s="113"/>
      <c r="B932" s="27"/>
      <c r="C932" s="48"/>
      <c r="D932" s="27"/>
      <c r="E932" s="38"/>
      <c r="F932" s="27"/>
      <c r="G932" s="27"/>
      <c r="H932" s="99"/>
      <c r="M932" s="27"/>
      <c r="N932" s="48"/>
    </row>
    <row r="933" spans="1:14" s="7" customFormat="1" x14ac:dyDescent="0.35">
      <c r="A933" s="113"/>
      <c r="B933" s="27"/>
      <c r="C933" s="48"/>
      <c r="D933" s="27"/>
      <c r="E933" s="38"/>
      <c r="F933" s="27"/>
      <c r="G933" s="27"/>
      <c r="H933" s="99"/>
      <c r="M933" s="27"/>
      <c r="N933" s="48"/>
    </row>
    <row r="934" spans="1:14" s="7" customFormat="1" x14ac:dyDescent="0.35">
      <c r="A934" s="113"/>
      <c r="B934" s="27"/>
      <c r="C934" s="48"/>
      <c r="D934" s="27"/>
      <c r="E934" s="38"/>
      <c r="F934" s="27"/>
      <c r="G934" s="27"/>
      <c r="H934" s="99"/>
      <c r="M934" s="27"/>
      <c r="N934" s="48"/>
    </row>
    <row r="935" spans="1:14" s="7" customFormat="1" x14ac:dyDescent="0.35">
      <c r="A935" s="113"/>
      <c r="B935" s="27"/>
      <c r="C935" s="48"/>
      <c r="D935" s="27"/>
      <c r="E935" s="38"/>
      <c r="F935" s="27"/>
      <c r="G935" s="27"/>
      <c r="H935" s="99"/>
      <c r="M935" s="27"/>
      <c r="N935" s="48"/>
    </row>
    <row r="936" spans="1:14" s="7" customFormat="1" x14ac:dyDescent="0.35">
      <c r="A936" s="113"/>
      <c r="B936" s="27"/>
      <c r="C936" s="48"/>
      <c r="D936" s="27"/>
      <c r="E936" s="38"/>
      <c r="F936" s="27"/>
      <c r="G936" s="27"/>
      <c r="H936" s="99"/>
      <c r="M936" s="27"/>
      <c r="N936" s="48"/>
    </row>
    <row r="937" spans="1:14" s="7" customFormat="1" x14ac:dyDescent="0.35">
      <c r="A937" s="113"/>
      <c r="B937" s="27"/>
      <c r="C937" s="48"/>
      <c r="D937" s="27"/>
      <c r="E937" s="38"/>
      <c r="F937" s="27"/>
      <c r="G937" s="27"/>
      <c r="H937" s="99"/>
      <c r="M937" s="27"/>
      <c r="N937" s="48"/>
    </row>
    <row r="938" spans="1:14" s="7" customFormat="1" x14ac:dyDescent="0.35">
      <c r="A938" s="113"/>
      <c r="B938" s="27"/>
      <c r="C938" s="48"/>
      <c r="D938" s="27"/>
      <c r="E938" s="38"/>
      <c r="F938" s="27"/>
      <c r="G938" s="27"/>
      <c r="H938" s="99"/>
      <c r="M938" s="27"/>
      <c r="N938" s="48"/>
    </row>
    <row r="939" spans="1:14" s="7" customFormat="1" x14ac:dyDescent="0.35">
      <c r="A939" s="113"/>
      <c r="B939" s="27"/>
      <c r="C939" s="48"/>
      <c r="D939" s="27"/>
      <c r="E939" s="38"/>
      <c r="F939" s="27"/>
      <c r="G939" s="27"/>
      <c r="H939" s="99"/>
      <c r="M939" s="27"/>
      <c r="N939" s="48"/>
    </row>
    <row r="940" spans="1:14" s="7" customFormat="1" x14ac:dyDescent="0.35">
      <c r="A940" s="113"/>
      <c r="B940" s="27"/>
      <c r="C940" s="48"/>
      <c r="D940" s="27"/>
      <c r="E940" s="38"/>
      <c r="F940" s="27"/>
      <c r="G940" s="27"/>
      <c r="H940" s="99"/>
      <c r="M940" s="27"/>
      <c r="N940" s="48"/>
    </row>
    <row r="941" spans="1:14" s="7" customFormat="1" x14ac:dyDescent="0.35">
      <c r="A941" s="113"/>
      <c r="B941" s="27"/>
      <c r="C941" s="48"/>
      <c r="D941" s="27"/>
      <c r="E941" s="38"/>
      <c r="F941" s="27"/>
      <c r="G941" s="27"/>
      <c r="H941" s="99"/>
      <c r="M941" s="27"/>
      <c r="N941" s="48"/>
    </row>
    <row r="942" spans="1:14" s="7" customFormat="1" x14ac:dyDescent="0.35">
      <c r="A942" s="113"/>
      <c r="B942" s="27"/>
      <c r="C942" s="48"/>
      <c r="D942" s="27"/>
      <c r="E942" s="38"/>
      <c r="F942" s="27"/>
      <c r="G942" s="27"/>
      <c r="H942" s="99"/>
      <c r="M942" s="27"/>
      <c r="N942" s="48"/>
    </row>
    <row r="943" spans="1:14" s="7" customFormat="1" x14ac:dyDescent="0.35">
      <c r="A943" s="113"/>
      <c r="B943" s="27"/>
      <c r="C943" s="48"/>
      <c r="D943" s="27"/>
      <c r="E943" s="38"/>
      <c r="F943" s="27"/>
      <c r="G943" s="27"/>
      <c r="H943" s="99"/>
      <c r="M943" s="27"/>
      <c r="N943" s="48"/>
    </row>
    <row r="944" spans="1:14" s="7" customFormat="1" x14ac:dyDescent="0.35">
      <c r="A944" s="113"/>
      <c r="B944" s="27"/>
      <c r="C944" s="48"/>
      <c r="D944" s="27"/>
      <c r="E944" s="38"/>
      <c r="F944" s="27"/>
      <c r="G944" s="27"/>
      <c r="H944" s="99"/>
      <c r="M944" s="27"/>
      <c r="N944" s="48"/>
    </row>
    <row r="945" spans="1:14" s="7" customFormat="1" x14ac:dyDescent="0.35">
      <c r="A945" s="113"/>
      <c r="B945" s="27"/>
      <c r="C945" s="48"/>
      <c r="D945" s="27"/>
      <c r="E945" s="38"/>
      <c r="F945" s="27"/>
      <c r="G945" s="27"/>
      <c r="H945" s="99"/>
      <c r="M945" s="27"/>
      <c r="N945" s="48"/>
    </row>
    <row r="946" spans="1:14" s="7" customFormat="1" x14ac:dyDescent="0.35">
      <c r="A946" s="113"/>
      <c r="B946" s="27"/>
      <c r="C946" s="48"/>
      <c r="D946" s="27"/>
      <c r="E946" s="38"/>
      <c r="F946" s="27"/>
      <c r="G946" s="27"/>
      <c r="H946" s="99"/>
      <c r="M946" s="27"/>
      <c r="N946" s="48"/>
    </row>
    <row r="947" spans="1:14" s="7" customFormat="1" x14ac:dyDescent="0.35">
      <c r="A947" s="113"/>
      <c r="B947" s="27"/>
      <c r="C947" s="48"/>
      <c r="D947" s="27"/>
      <c r="E947" s="38"/>
      <c r="F947" s="27"/>
      <c r="G947" s="27"/>
      <c r="H947" s="99"/>
      <c r="M947" s="27"/>
      <c r="N947" s="48"/>
    </row>
    <row r="948" spans="1:14" s="7" customFormat="1" x14ac:dyDescent="0.35">
      <c r="A948" s="113"/>
      <c r="B948" s="27"/>
      <c r="C948" s="48"/>
      <c r="D948" s="27"/>
      <c r="E948" s="38"/>
      <c r="F948" s="27"/>
      <c r="G948" s="27"/>
      <c r="H948" s="99"/>
      <c r="M948" s="27"/>
      <c r="N948" s="48"/>
    </row>
    <row r="949" spans="1:14" s="7" customFormat="1" x14ac:dyDescent="0.35">
      <c r="A949" s="113"/>
      <c r="B949" s="27"/>
      <c r="C949" s="48"/>
      <c r="D949" s="27"/>
      <c r="E949" s="38"/>
      <c r="F949" s="27"/>
      <c r="G949" s="27"/>
      <c r="H949" s="99"/>
      <c r="M949" s="27"/>
      <c r="N949" s="48"/>
    </row>
    <row r="950" spans="1:14" s="7" customFormat="1" x14ac:dyDescent="0.35">
      <c r="A950" s="113"/>
      <c r="B950" s="27"/>
      <c r="C950" s="48"/>
      <c r="D950" s="27"/>
      <c r="E950" s="38"/>
      <c r="F950" s="27"/>
      <c r="G950" s="27"/>
      <c r="H950" s="99"/>
      <c r="M950" s="27"/>
      <c r="N950" s="48"/>
    </row>
    <row r="951" spans="1:14" s="7" customFormat="1" x14ac:dyDescent="0.35">
      <c r="A951" s="113"/>
      <c r="B951" s="27"/>
      <c r="C951" s="48"/>
      <c r="D951" s="27"/>
      <c r="E951" s="38"/>
      <c r="F951" s="27"/>
      <c r="G951" s="27"/>
      <c r="H951" s="99"/>
      <c r="M951" s="27"/>
      <c r="N951" s="48"/>
    </row>
    <row r="952" spans="1:14" s="7" customFormat="1" x14ac:dyDescent="0.35">
      <c r="A952" s="113"/>
      <c r="B952" s="27"/>
      <c r="C952" s="48"/>
      <c r="D952" s="27"/>
      <c r="E952" s="38"/>
      <c r="F952" s="27"/>
      <c r="G952" s="27"/>
      <c r="H952" s="99"/>
      <c r="M952" s="27"/>
      <c r="N952" s="48"/>
    </row>
    <row r="953" spans="1:14" s="7" customFormat="1" x14ac:dyDescent="0.35">
      <c r="A953" s="113"/>
      <c r="B953" s="27"/>
      <c r="C953" s="48"/>
      <c r="D953" s="27"/>
      <c r="E953" s="38"/>
      <c r="F953" s="27"/>
      <c r="G953" s="27"/>
      <c r="H953" s="99"/>
      <c r="M953" s="27"/>
      <c r="N953" s="48"/>
    </row>
    <row r="954" spans="1:14" s="7" customFormat="1" x14ac:dyDescent="0.35">
      <c r="A954" s="113"/>
      <c r="B954" s="27"/>
      <c r="C954" s="48"/>
      <c r="D954" s="27"/>
      <c r="E954" s="38"/>
      <c r="F954" s="27"/>
      <c r="G954" s="27"/>
      <c r="H954" s="99"/>
      <c r="M954" s="27"/>
      <c r="N954" s="48"/>
    </row>
    <row r="955" spans="1:14" s="7" customFormat="1" x14ac:dyDescent="0.35">
      <c r="A955" s="113"/>
      <c r="B955" s="27"/>
      <c r="C955" s="48"/>
      <c r="D955" s="27"/>
      <c r="E955" s="38"/>
      <c r="F955" s="27"/>
      <c r="G955" s="27"/>
      <c r="H955" s="99"/>
      <c r="M955" s="27"/>
      <c r="N955" s="48"/>
    </row>
    <row r="956" spans="1:14" s="7" customFormat="1" x14ac:dyDescent="0.35">
      <c r="A956" s="113"/>
      <c r="B956" s="27"/>
      <c r="C956" s="48"/>
      <c r="D956" s="27"/>
      <c r="E956" s="38"/>
      <c r="F956" s="27"/>
      <c r="G956" s="27"/>
      <c r="H956" s="99"/>
      <c r="M956" s="27"/>
      <c r="N956" s="48"/>
    </row>
    <row r="957" spans="1:14" s="7" customFormat="1" x14ac:dyDescent="0.35">
      <c r="A957" s="113"/>
      <c r="B957" s="27"/>
      <c r="C957" s="48"/>
      <c r="D957" s="27"/>
      <c r="E957" s="38"/>
      <c r="F957" s="27"/>
      <c r="G957" s="27"/>
      <c r="H957" s="99"/>
      <c r="M957" s="27"/>
      <c r="N957" s="48"/>
    </row>
    <row r="958" spans="1:14" s="7" customFormat="1" x14ac:dyDescent="0.35">
      <c r="A958" s="113"/>
      <c r="B958" s="27"/>
      <c r="C958" s="48"/>
      <c r="D958" s="27"/>
      <c r="E958" s="38"/>
      <c r="F958" s="27"/>
      <c r="G958" s="27"/>
      <c r="H958" s="99"/>
      <c r="M958" s="27"/>
      <c r="N958" s="48"/>
    </row>
    <row r="959" spans="1:14" s="7" customFormat="1" x14ac:dyDescent="0.35">
      <c r="A959" s="113"/>
      <c r="B959" s="27"/>
      <c r="C959" s="48"/>
      <c r="D959" s="27"/>
      <c r="E959" s="38"/>
      <c r="F959" s="27"/>
      <c r="G959" s="27"/>
      <c r="H959" s="99"/>
      <c r="M959" s="27"/>
      <c r="N959" s="48"/>
    </row>
    <row r="960" spans="1:14" s="7" customFormat="1" x14ac:dyDescent="0.35">
      <c r="A960" s="113"/>
      <c r="B960" s="27"/>
      <c r="C960" s="48"/>
      <c r="D960" s="27"/>
      <c r="E960" s="38"/>
      <c r="F960" s="27"/>
      <c r="G960" s="27"/>
      <c r="H960" s="99"/>
      <c r="M960" s="27"/>
      <c r="N960" s="48"/>
    </row>
    <row r="961" spans="1:14" s="7" customFormat="1" x14ac:dyDescent="0.35">
      <c r="A961" s="113"/>
      <c r="B961" s="27"/>
      <c r="C961" s="48"/>
      <c r="D961" s="27"/>
      <c r="E961" s="38"/>
      <c r="F961" s="27"/>
      <c r="G961" s="27"/>
      <c r="H961" s="99"/>
      <c r="M961" s="27"/>
      <c r="N961" s="48"/>
    </row>
    <row r="962" spans="1:14" s="7" customFormat="1" x14ac:dyDescent="0.35">
      <c r="A962" s="113"/>
      <c r="B962" s="27"/>
      <c r="C962" s="48"/>
      <c r="D962" s="27"/>
      <c r="E962" s="38"/>
      <c r="F962" s="27"/>
      <c r="G962" s="27"/>
      <c r="H962" s="99"/>
      <c r="M962" s="27"/>
      <c r="N962" s="48"/>
    </row>
    <row r="963" spans="1:14" s="7" customFormat="1" x14ac:dyDescent="0.35">
      <c r="A963" s="113"/>
      <c r="B963" s="27"/>
      <c r="C963" s="48"/>
      <c r="D963" s="27"/>
      <c r="E963" s="38"/>
      <c r="F963" s="27"/>
      <c r="G963" s="27"/>
      <c r="H963" s="99"/>
      <c r="M963" s="27"/>
      <c r="N963" s="48"/>
    </row>
    <row r="964" spans="1:14" s="7" customFormat="1" x14ac:dyDescent="0.35">
      <c r="A964" s="113"/>
      <c r="B964" s="27"/>
      <c r="C964" s="48"/>
      <c r="D964" s="27"/>
      <c r="E964" s="38"/>
      <c r="F964" s="27"/>
      <c r="G964" s="27"/>
      <c r="H964" s="99"/>
      <c r="M964" s="27"/>
      <c r="N964" s="48"/>
    </row>
    <row r="965" spans="1:14" s="7" customFormat="1" x14ac:dyDescent="0.35">
      <c r="A965" s="113"/>
      <c r="B965" s="27"/>
      <c r="C965" s="48"/>
      <c r="D965" s="27"/>
      <c r="E965" s="38"/>
      <c r="F965" s="27"/>
      <c r="G965" s="27"/>
      <c r="H965" s="99"/>
      <c r="M965" s="27"/>
      <c r="N965" s="48"/>
    </row>
    <row r="966" spans="1:14" s="7" customFormat="1" x14ac:dyDescent="0.35">
      <c r="A966" s="113"/>
      <c r="B966" s="27"/>
      <c r="C966" s="48"/>
      <c r="D966" s="27"/>
      <c r="E966" s="38"/>
      <c r="F966" s="27"/>
      <c r="G966" s="27"/>
      <c r="H966" s="99"/>
      <c r="M966" s="27"/>
      <c r="N966" s="48"/>
    </row>
    <row r="967" spans="1:14" s="7" customFormat="1" x14ac:dyDescent="0.35">
      <c r="A967" s="113"/>
      <c r="B967" s="27"/>
      <c r="C967" s="48"/>
      <c r="D967" s="27"/>
      <c r="E967" s="38"/>
      <c r="F967" s="27"/>
      <c r="G967" s="27"/>
      <c r="H967" s="99"/>
      <c r="M967" s="27"/>
      <c r="N967" s="48"/>
    </row>
    <row r="968" spans="1:14" s="7" customFormat="1" x14ac:dyDescent="0.35">
      <c r="A968" s="113"/>
      <c r="B968" s="27"/>
      <c r="C968" s="48"/>
      <c r="D968" s="27"/>
      <c r="E968" s="38"/>
      <c r="F968" s="27"/>
      <c r="G968" s="27"/>
      <c r="H968" s="99"/>
      <c r="M968" s="27"/>
      <c r="N968" s="48"/>
    </row>
    <row r="969" spans="1:14" s="7" customFormat="1" x14ac:dyDescent="0.35">
      <c r="A969" s="113"/>
      <c r="B969" s="27"/>
      <c r="C969" s="48"/>
      <c r="D969" s="27"/>
      <c r="E969" s="38"/>
      <c r="F969" s="27"/>
      <c r="G969" s="27"/>
      <c r="H969" s="99"/>
      <c r="M969" s="27"/>
      <c r="N969" s="48"/>
    </row>
    <row r="970" spans="1:14" s="7" customFormat="1" x14ac:dyDescent="0.35">
      <c r="A970" s="113"/>
      <c r="B970" s="27"/>
      <c r="C970" s="48"/>
      <c r="D970" s="27"/>
      <c r="E970" s="38"/>
      <c r="F970" s="27"/>
      <c r="G970" s="27"/>
      <c r="H970" s="99"/>
      <c r="M970" s="27"/>
      <c r="N970" s="48"/>
    </row>
    <row r="971" spans="1:14" s="7" customFormat="1" x14ac:dyDescent="0.35">
      <c r="A971" s="113"/>
      <c r="B971" s="27"/>
      <c r="C971" s="48"/>
      <c r="D971" s="27"/>
      <c r="E971" s="38"/>
      <c r="F971" s="27"/>
      <c r="G971" s="27"/>
      <c r="H971" s="99"/>
      <c r="M971" s="27"/>
      <c r="N971" s="48"/>
    </row>
    <row r="972" spans="1:14" s="7" customFormat="1" x14ac:dyDescent="0.35">
      <c r="A972" s="113"/>
      <c r="B972" s="27"/>
      <c r="C972" s="48"/>
      <c r="D972" s="27"/>
      <c r="E972" s="38"/>
      <c r="F972" s="27"/>
      <c r="G972" s="27"/>
      <c r="H972" s="99"/>
      <c r="M972" s="27"/>
      <c r="N972" s="48"/>
    </row>
    <row r="973" spans="1:14" s="7" customFormat="1" x14ac:dyDescent="0.35">
      <c r="A973" s="113"/>
      <c r="B973" s="27"/>
      <c r="C973" s="48"/>
      <c r="D973" s="27"/>
      <c r="E973" s="38"/>
      <c r="F973" s="27"/>
      <c r="G973" s="27"/>
      <c r="H973" s="99"/>
      <c r="M973" s="27"/>
      <c r="N973" s="48"/>
    </row>
    <row r="974" spans="1:14" s="7" customFormat="1" x14ac:dyDescent="0.35">
      <c r="A974" s="113"/>
      <c r="B974" s="27"/>
      <c r="C974" s="48"/>
      <c r="D974" s="27"/>
      <c r="E974" s="38"/>
      <c r="F974" s="27"/>
      <c r="G974" s="27"/>
      <c r="H974" s="99"/>
      <c r="M974" s="27"/>
      <c r="N974" s="48"/>
    </row>
    <row r="975" spans="1:14" s="7" customFormat="1" x14ac:dyDescent="0.35">
      <c r="A975" s="113"/>
      <c r="B975" s="27"/>
      <c r="C975" s="48"/>
      <c r="D975" s="27"/>
      <c r="E975" s="38"/>
      <c r="F975" s="27"/>
      <c r="G975" s="27"/>
      <c r="H975" s="99"/>
      <c r="M975" s="27"/>
      <c r="N975" s="48"/>
    </row>
    <row r="976" spans="1:14" s="7" customFormat="1" x14ac:dyDescent="0.35">
      <c r="A976" s="113"/>
      <c r="B976" s="27"/>
      <c r="C976" s="48"/>
      <c r="D976" s="27"/>
      <c r="E976" s="38"/>
      <c r="F976" s="27"/>
      <c r="G976" s="27"/>
      <c r="H976" s="99"/>
      <c r="M976" s="27"/>
      <c r="N976" s="48"/>
    </row>
    <row r="977" spans="1:14" s="7" customFormat="1" x14ac:dyDescent="0.35">
      <c r="A977" s="113"/>
      <c r="B977" s="27"/>
      <c r="C977" s="48"/>
      <c r="D977" s="27"/>
      <c r="E977" s="38"/>
      <c r="F977" s="27"/>
      <c r="G977" s="27"/>
      <c r="H977" s="99"/>
      <c r="M977" s="27"/>
      <c r="N977" s="48"/>
    </row>
    <row r="978" spans="1:14" s="7" customFormat="1" x14ac:dyDescent="0.35">
      <c r="A978" s="113"/>
      <c r="B978" s="27"/>
      <c r="C978" s="48"/>
      <c r="D978" s="27"/>
      <c r="E978" s="38"/>
      <c r="F978" s="27"/>
      <c r="G978" s="27"/>
      <c r="H978" s="99"/>
      <c r="M978" s="27"/>
      <c r="N978" s="48"/>
    </row>
    <row r="979" spans="1:14" s="7" customFormat="1" x14ac:dyDescent="0.35">
      <c r="A979" s="113"/>
      <c r="B979" s="27"/>
      <c r="C979" s="48"/>
      <c r="D979" s="27"/>
      <c r="E979" s="38"/>
      <c r="F979" s="27"/>
      <c r="G979" s="27"/>
      <c r="H979" s="99"/>
      <c r="M979" s="27"/>
      <c r="N979" s="48"/>
    </row>
    <row r="980" spans="1:14" s="7" customFormat="1" x14ac:dyDescent="0.35">
      <c r="A980" s="113"/>
      <c r="B980" s="27"/>
      <c r="C980" s="48"/>
      <c r="D980" s="27"/>
      <c r="E980" s="38"/>
      <c r="F980" s="27"/>
      <c r="G980" s="27"/>
      <c r="H980" s="99"/>
      <c r="M980" s="27"/>
      <c r="N980" s="48"/>
    </row>
    <row r="981" spans="1:14" s="7" customFormat="1" x14ac:dyDescent="0.35">
      <c r="A981" s="113"/>
      <c r="B981" s="27"/>
      <c r="C981" s="48"/>
      <c r="D981" s="27"/>
      <c r="E981" s="38"/>
      <c r="F981" s="27"/>
      <c r="G981" s="27"/>
      <c r="H981" s="99"/>
      <c r="M981" s="27"/>
      <c r="N981" s="48"/>
    </row>
    <row r="982" spans="1:14" s="7" customFormat="1" x14ac:dyDescent="0.35">
      <c r="A982" s="113"/>
      <c r="B982" s="27"/>
      <c r="C982" s="48"/>
      <c r="D982" s="27"/>
      <c r="E982" s="38"/>
      <c r="F982" s="27"/>
      <c r="G982" s="27"/>
      <c r="H982" s="99"/>
      <c r="M982" s="27"/>
      <c r="N982" s="48"/>
    </row>
    <row r="983" spans="1:14" s="7" customFormat="1" x14ac:dyDescent="0.35">
      <c r="A983" s="113"/>
      <c r="B983" s="27"/>
      <c r="C983" s="48"/>
      <c r="D983" s="27"/>
      <c r="E983" s="38"/>
      <c r="F983" s="27"/>
      <c r="G983" s="27"/>
      <c r="H983" s="99"/>
      <c r="M983" s="27"/>
      <c r="N983" s="48"/>
    </row>
    <row r="984" spans="1:14" s="7" customFormat="1" x14ac:dyDescent="0.35">
      <c r="A984" s="113"/>
      <c r="B984" s="27"/>
      <c r="C984" s="48"/>
      <c r="D984" s="27"/>
      <c r="E984" s="38"/>
      <c r="F984" s="27"/>
      <c r="G984" s="27"/>
      <c r="H984" s="99"/>
      <c r="M984" s="27"/>
      <c r="N984" s="48"/>
    </row>
    <row r="985" spans="1:14" s="7" customFormat="1" x14ac:dyDescent="0.35">
      <c r="A985" s="113"/>
      <c r="B985" s="27"/>
      <c r="C985" s="48"/>
      <c r="D985" s="27"/>
      <c r="E985" s="38"/>
      <c r="F985" s="27"/>
      <c r="G985" s="27"/>
      <c r="H985" s="99"/>
      <c r="M985" s="27"/>
      <c r="N985" s="48"/>
    </row>
    <row r="986" spans="1:14" s="7" customFormat="1" x14ac:dyDescent="0.35">
      <c r="A986" s="113"/>
      <c r="B986" s="27"/>
      <c r="C986" s="48"/>
      <c r="D986" s="27"/>
      <c r="E986" s="38"/>
      <c r="F986" s="27"/>
      <c r="G986" s="27"/>
      <c r="H986" s="99"/>
      <c r="M986" s="27"/>
      <c r="N986" s="48"/>
    </row>
    <row r="987" spans="1:14" s="7" customFormat="1" x14ac:dyDescent="0.35">
      <c r="A987" s="113"/>
      <c r="B987" s="27"/>
      <c r="C987" s="48"/>
      <c r="D987" s="27"/>
      <c r="E987" s="38"/>
      <c r="F987" s="27"/>
      <c r="G987" s="27"/>
      <c r="H987" s="99"/>
      <c r="M987" s="27"/>
      <c r="N987" s="48"/>
    </row>
    <row r="988" spans="1:14" s="7" customFormat="1" x14ac:dyDescent="0.35">
      <c r="A988" s="113"/>
      <c r="B988" s="27"/>
      <c r="C988" s="48"/>
      <c r="D988" s="27"/>
      <c r="E988" s="38"/>
      <c r="F988" s="27"/>
      <c r="G988" s="27"/>
      <c r="H988" s="99"/>
      <c r="M988" s="27"/>
      <c r="N988" s="48"/>
    </row>
    <row r="989" spans="1:14" s="7" customFormat="1" x14ac:dyDescent="0.35">
      <c r="A989" s="113"/>
      <c r="B989" s="27"/>
      <c r="C989" s="48"/>
      <c r="D989" s="27"/>
      <c r="E989" s="38"/>
      <c r="F989" s="27"/>
      <c r="G989" s="27"/>
      <c r="H989" s="99"/>
      <c r="M989" s="27"/>
      <c r="N989" s="48"/>
    </row>
    <row r="990" spans="1:14" s="7" customFormat="1" x14ac:dyDescent="0.35">
      <c r="A990" s="113"/>
      <c r="B990" s="27"/>
      <c r="C990" s="48"/>
      <c r="D990" s="27"/>
      <c r="E990" s="38"/>
      <c r="F990" s="27"/>
      <c r="G990" s="27"/>
      <c r="H990" s="99"/>
      <c r="M990" s="27"/>
      <c r="N990" s="48"/>
    </row>
    <row r="991" spans="1:14" s="7" customFormat="1" x14ac:dyDescent="0.35">
      <c r="A991" s="113"/>
      <c r="B991" s="27"/>
      <c r="C991" s="48"/>
      <c r="D991" s="27"/>
      <c r="E991" s="38"/>
      <c r="F991" s="27"/>
      <c r="G991" s="27"/>
      <c r="H991" s="99"/>
      <c r="M991" s="27"/>
      <c r="N991" s="48"/>
    </row>
    <row r="992" spans="1:14" s="7" customFormat="1" x14ac:dyDescent="0.35">
      <c r="A992" s="113"/>
      <c r="B992" s="27"/>
      <c r="C992" s="48"/>
      <c r="D992" s="27"/>
      <c r="E992" s="38"/>
      <c r="F992" s="27"/>
      <c r="G992" s="27"/>
      <c r="H992" s="99"/>
      <c r="M992" s="27"/>
      <c r="N992" s="48"/>
    </row>
    <row r="993" spans="1:14" s="7" customFormat="1" x14ac:dyDescent="0.35">
      <c r="A993" s="113"/>
      <c r="B993" s="27"/>
      <c r="C993" s="48"/>
      <c r="D993" s="27"/>
      <c r="E993" s="38"/>
      <c r="F993" s="27"/>
      <c r="G993" s="27"/>
      <c r="H993" s="99"/>
      <c r="M993" s="27"/>
      <c r="N993" s="48"/>
    </row>
    <row r="994" spans="1:14" s="7" customFormat="1" x14ac:dyDescent="0.35">
      <c r="A994" s="113"/>
      <c r="B994" s="27"/>
      <c r="C994" s="48"/>
      <c r="D994" s="27"/>
      <c r="E994" s="38"/>
      <c r="F994" s="27"/>
      <c r="G994" s="27"/>
      <c r="H994" s="99"/>
      <c r="M994" s="27"/>
      <c r="N994" s="48"/>
    </row>
    <row r="995" spans="1:14" s="7" customFormat="1" x14ac:dyDescent="0.35">
      <c r="A995" s="113"/>
      <c r="B995" s="27"/>
      <c r="C995" s="48"/>
      <c r="D995" s="27"/>
      <c r="E995" s="38"/>
      <c r="F995" s="27"/>
      <c r="G995" s="27"/>
      <c r="H995" s="99"/>
      <c r="M995" s="27"/>
      <c r="N995" s="48"/>
    </row>
    <row r="996" spans="1:14" s="7" customFormat="1" x14ac:dyDescent="0.35">
      <c r="A996" s="113"/>
      <c r="B996" s="27"/>
      <c r="C996" s="48"/>
      <c r="D996" s="27"/>
      <c r="E996" s="38"/>
      <c r="F996" s="27"/>
      <c r="G996" s="27"/>
      <c r="H996" s="99"/>
      <c r="M996" s="27"/>
      <c r="N996" s="48"/>
    </row>
    <row r="997" spans="1:14" s="7" customFormat="1" x14ac:dyDescent="0.35">
      <c r="A997" s="113"/>
      <c r="B997" s="27"/>
      <c r="C997" s="48"/>
      <c r="D997" s="27"/>
      <c r="E997" s="38"/>
      <c r="F997" s="27"/>
      <c r="G997" s="27"/>
      <c r="H997" s="99"/>
      <c r="M997" s="27"/>
      <c r="N997" s="48"/>
    </row>
    <row r="998" spans="1:14" s="7" customFormat="1" x14ac:dyDescent="0.35">
      <c r="A998" s="113"/>
      <c r="B998" s="27"/>
      <c r="C998" s="48"/>
      <c r="D998" s="27"/>
      <c r="E998" s="38"/>
      <c r="F998" s="27"/>
      <c r="G998" s="27"/>
      <c r="H998" s="99"/>
      <c r="M998" s="27"/>
      <c r="N998" s="48"/>
    </row>
    <row r="999" spans="1:14" s="7" customFormat="1" x14ac:dyDescent="0.35">
      <c r="A999" s="113"/>
      <c r="B999" s="27"/>
      <c r="C999" s="48"/>
      <c r="D999" s="27"/>
      <c r="E999" s="38"/>
      <c r="F999" s="27"/>
      <c r="G999" s="27"/>
      <c r="H999" s="99"/>
      <c r="M999" s="27"/>
      <c r="N999" s="48"/>
    </row>
    <row r="1000" spans="1:14" s="7" customFormat="1" x14ac:dyDescent="0.35">
      <c r="A1000" s="113"/>
      <c r="B1000" s="27"/>
      <c r="C1000" s="48"/>
      <c r="D1000" s="27"/>
      <c r="E1000" s="38"/>
      <c r="F1000" s="27"/>
      <c r="G1000" s="27"/>
      <c r="H1000" s="99"/>
      <c r="M1000" s="27"/>
      <c r="N1000" s="48"/>
    </row>
    <row r="1001" spans="1:14" s="7" customFormat="1" x14ac:dyDescent="0.35">
      <c r="A1001" s="113"/>
      <c r="B1001" s="27"/>
      <c r="C1001" s="48"/>
      <c r="D1001" s="27"/>
      <c r="E1001" s="38"/>
      <c r="F1001" s="27"/>
      <c r="G1001" s="27"/>
      <c r="H1001" s="99"/>
      <c r="M1001" s="27"/>
      <c r="N1001" s="48"/>
    </row>
    <row r="1002" spans="1:14" s="7" customFormat="1" x14ac:dyDescent="0.35">
      <c r="A1002" s="113"/>
      <c r="B1002" s="27"/>
      <c r="C1002" s="48"/>
      <c r="D1002" s="27"/>
      <c r="E1002" s="38"/>
      <c r="F1002" s="27"/>
      <c r="G1002" s="27"/>
      <c r="H1002" s="99"/>
      <c r="M1002" s="27"/>
      <c r="N1002" s="48"/>
    </row>
    <row r="1003" spans="1:14" s="7" customFormat="1" x14ac:dyDescent="0.35">
      <c r="A1003" s="113"/>
      <c r="B1003" s="27"/>
      <c r="C1003" s="48"/>
      <c r="D1003" s="27"/>
      <c r="E1003" s="38"/>
      <c r="F1003" s="27"/>
      <c r="G1003" s="27"/>
      <c r="H1003" s="99"/>
      <c r="M1003" s="27"/>
      <c r="N1003" s="48"/>
    </row>
    <row r="1004" spans="1:14" s="7" customFormat="1" x14ac:dyDescent="0.35">
      <c r="A1004" s="113"/>
      <c r="B1004" s="27"/>
      <c r="C1004" s="48"/>
      <c r="D1004" s="27"/>
      <c r="E1004" s="38"/>
      <c r="F1004" s="27"/>
      <c r="G1004" s="27"/>
      <c r="H1004" s="99"/>
      <c r="M1004" s="27"/>
      <c r="N1004" s="48"/>
    </row>
    <row r="1005" spans="1:14" s="7" customFormat="1" x14ac:dyDescent="0.35">
      <c r="A1005" s="113"/>
      <c r="B1005" s="27"/>
      <c r="C1005" s="48"/>
      <c r="D1005" s="27"/>
      <c r="E1005" s="38"/>
      <c r="F1005" s="27"/>
      <c r="G1005" s="27"/>
      <c r="H1005" s="99"/>
      <c r="M1005" s="27"/>
      <c r="N1005" s="48"/>
    </row>
    <row r="1006" spans="1:14" s="7" customFormat="1" x14ac:dyDescent="0.35">
      <c r="A1006" s="113"/>
      <c r="B1006" s="27"/>
      <c r="C1006" s="48"/>
      <c r="D1006" s="27"/>
      <c r="E1006" s="38"/>
      <c r="F1006" s="27"/>
      <c r="G1006" s="27"/>
      <c r="H1006" s="99"/>
      <c r="M1006" s="27"/>
      <c r="N1006" s="48"/>
    </row>
    <row r="1007" spans="1:14" s="7" customFormat="1" x14ac:dyDescent="0.35">
      <c r="A1007" s="113"/>
      <c r="B1007" s="27"/>
      <c r="C1007" s="48"/>
      <c r="D1007" s="27"/>
      <c r="E1007" s="38"/>
      <c r="F1007" s="27"/>
      <c r="G1007" s="27"/>
      <c r="H1007" s="99"/>
      <c r="M1007" s="27"/>
      <c r="N1007" s="48"/>
    </row>
    <row r="1008" spans="1:14" s="7" customFormat="1" x14ac:dyDescent="0.35">
      <c r="A1008" s="113"/>
      <c r="B1008" s="27"/>
      <c r="C1008" s="48"/>
      <c r="D1008" s="27"/>
      <c r="E1008" s="38"/>
      <c r="F1008" s="27"/>
      <c r="G1008" s="27"/>
      <c r="H1008" s="99"/>
      <c r="M1008" s="27"/>
      <c r="N1008" s="48"/>
    </row>
    <row r="1009" spans="1:14" s="7" customFormat="1" x14ac:dyDescent="0.35">
      <c r="A1009" s="113"/>
      <c r="B1009" s="27"/>
      <c r="C1009" s="48"/>
      <c r="D1009" s="27"/>
      <c r="E1009" s="38"/>
      <c r="F1009" s="27"/>
      <c r="G1009" s="27"/>
      <c r="H1009" s="99"/>
      <c r="M1009" s="27"/>
      <c r="N1009" s="48"/>
    </row>
    <row r="1010" spans="1:14" s="7" customFormat="1" x14ac:dyDescent="0.35">
      <c r="A1010" s="113"/>
      <c r="B1010" s="27"/>
      <c r="C1010" s="48"/>
      <c r="D1010" s="27"/>
      <c r="E1010" s="38"/>
      <c r="F1010" s="27"/>
      <c r="G1010" s="27"/>
      <c r="H1010" s="99"/>
      <c r="M1010" s="27"/>
      <c r="N1010" s="48"/>
    </row>
    <row r="1011" spans="1:14" s="7" customFormat="1" x14ac:dyDescent="0.35">
      <c r="A1011" s="113"/>
      <c r="B1011" s="27"/>
      <c r="C1011" s="48"/>
      <c r="D1011" s="27"/>
      <c r="E1011" s="38"/>
      <c r="F1011" s="27"/>
      <c r="G1011" s="27"/>
      <c r="H1011" s="99"/>
      <c r="M1011" s="27"/>
      <c r="N1011" s="48"/>
    </row>
    <row r="1012" spans="1:14" s="7" customFormat="1" x14ac:dyDescent="0.35">
      <c r="A1012" s="113"/>
      <c r="B1012" s="27"/>
      <c r="C1012" s="48"/>
      <c r="D1012" s="27"/>
      <c r="E1012" s="38"/>
      <c r="F1012" s="27"/>
      <c r="G1012" s="27"/>
      <c r="H1012" s="99"/>
      <c r="M1012" s="27"/>
      <c r="N1012" s="48"/>
    </row>
    <row r="1013" spans="1:14" s="7" customFormat="1" x14ac:dyDescent="0.35">
      <c r="A1013" s="113"/>
      <c r="B1013" s="27"/>
      <c r="C1013" s="48"/>
      <c r="D1013" s="27"/>
      <c r="E1013" s="38"/>
      <c r="F1013" s="27"/>
      <c r="G1013" s="27"/>
      <c r="H1013" s="99"/>
      <c r="M1013" s="27"/>
      <c r="N1013" s="48"/>
    </row>
    <row r="1014" spans="1:14" s="7" customFormat="1" x14ac:dyDescent="0.35">
      <c r="A1014" s="113"/>
      <c r="B1014" s="27"/>
      <c r="C1014" s="48"/>
      <c r="D1014" s="27"/>
      <c r="E1014" s="38"/>
      <c r="F1014" s="27"/>
      <c r="G1014" s="27"/>
      <c r="H1014" s="99"/>
      <c r="M1014" s="27"/>
      <c r="N1014" s="48"/>
    </row>
    <row r="1015" spans="1:14" s="7" customFormat="1" x14ac:dyDescent="0.35">
      <c r="A1015" s="113"/>
      <c r="B1015" s="27"/>
      <c r="C1015" s="48"/>
      <c r="D1015" s="27"/>
      <c r="E1015" s="38"/>
      <c r="F1015" s="27"/>
      <c r="G1015" s="27"/>
      <c r="H1015" s="99"/>
      <c r="M1015" s="27"/>
      <c r="N1015" s="48"/>
    </row>
    <row r="1016" spans="1:14" s="7" customFormat="1" x14ac:dyDescent="0.35">
      <c r="A1016" s="113"/>
      <c r="B1016" s="27"/>
      <c r="C1016" s="48"/>
      <c r="D1016" s="27"/>
      <c r="E1016" s="38"/>
      <c r="F1016" s="27"/>
      <c r="G1016" s="27"/>
      <c r="H1016" s="99"/>
      <c r="M1016" s="27"/>
      <c r="N1016" s="48"/>
    </row>
    <row r="1017" spans="1:14" s="7" customFormat="1" x14ac:dyDescent="0.35">
      <c r="A1017" s="113"/>
      <c r="B1017" s="27"/>
      <c r="C1017" s="48"/>
      <c r="D1017" s="27"/>
      <c r="E1017" s="38"/>
      <c r="F1017" s="27"/>
      <c r="G1017" s="27"/>
      <c r="H1017" s="99"/>
      <c r="M1017" s="27"/>
      <c r="N1017" s="48"/>
    </row>
    <row r="1018" spans="1:14" s="7" customFormat="1" x14ac:dyDescent="0.35">
      <c r="A1018" s="113"/>
      <c r="B1018" s="27"/>
      <c r="C1018" s="48"/>
      <c r="D1018" s="27"/>
      <c r="E1018" s="38"/>
      <c r="F1018" s="27"/>
      <c r="G1018" s="27"/>
      <c r="H1018" s="99"/>
      <c r="M1018" s="27"/>
      <c r="N1018" s="48"/>
    </row>
    <row r="1019" spans="1:14" s="7" customFormat="1" x14ac:dyDescent="0.35">
      <c r="A1019" s="113"/>
      <c r="B1019" s="27"/>
      <c r="C1019" s="48"/>
      <c r="D1019" s="27"/>
      <c r="E1019" s="38"/>
      <c r="F1019" s="27"/>
      <c r="G1019" s="27"/>
      <c r="H1019" s="99"/>
      <c r="M1019" s="27"/>
      <c r="N1019" s="48"/>
    </row>
    <row r="1020" spans="1:14" s="7" customFormat="1" x14ac:dyDescent="0.35">
      <c r="A1020" s="113"/>
      <c r="B1020" s="27"/>
      <c r="C1020" s="48"/>
      <c r="D1020" s="27"/>
      <c r="E1020" s="38"/>
      <c r="F1020" s="27"/>
      <c r="G1020" s="27"/>
      <c r="H1020" s="99"/>
      <c r="M1020" s="27"/>
      <c r="N1020" s="48"/>
    </row>
    <row r="1021" spans="1:14" s="7" customFormat="1" x14ac:dyDescent="0.35">
      <c r="A1021" s="113"/>
      <c r="B1021" s="27"/>
      <c r="C1021" s="48"/>
      <c r="D1021" s="27"/>
      <c r="E1021" s="38"/>
      <c r="F1021" s="27"/>
      <c r="G1021" s="27"/>
      <c r="H1021" s="99"/>
      <c r="M1021" s="27"/>
      <c r="N1021" s="48"/>
    </row>
    <row r="1022" spans="1:14" s="7" customFormat="1" x14ac:dyDescent="0.35">
      <c r="A1022" s="113"/>
      <c r="B1022" s="27"/>
      <c r="C1022" s="48"/>
      <c r="D1022" s="27"/>
      <c r="E1022" s="38"/>
      <c r="F1022" s="27"/>
      <c r="G1022" s="27"/>
      <c r="H1022" s="99"/>
      <c r="M1022" s="27"/>
      <c r="N1022" s="48"/>
    </row>
    <row r="1023" spans="1:14" s="7" customFormat="1" x14ac:dyDescent="0.35">
      <c r="A1023" s="113"/>
      <c r="B1023" s="27"/>
      <c r="C1023" s="48"/>
      <c r="D1023" s="27"/>
      <c r="E1023" s="38"/>
      <c r="F1023" s="27"/>
      <c r="G1023" s="27"/>
      <c r="H1023" s="99"/>
      <c r="M1023" s="27"/>
      <c r="N1023" s="48"/>
    </row>
    <row r="1024" spans="1:14" s="7" customFormat="1" x14ac:dyDescent="0.35">
      <c r="A1024" s="113"/>
      <c r="B1024" s="27"/>
      <c r="C1024" s="48"/>
      <c r="D1024" s="27"/>
      <c r="E1024" s="38"/>
      <c r="F1024" s="27"/>
      <c r="G1024" s="27"/>
      <c r="H1024" s="99"/>
      <c r="M1024" s="27"/>
      <c r="N1024" s="48"/>
    </row>
    <row r="1025" spans="1:14" s="7" customFormat="1" x14ac:dyDescent="0.35">
      <c r="A1025" s="113"/>
      <c r="B1025" s="27"/>
      <c r="C1025" s="48"/>
      <c r="D1025" s="27"/>
      <c r="E1025" s="38"/>
      <c r="F1025" s="27"/>
      <c r="G1025" s="27"/>
      <c r="H1025" s="99"/>
      <c r="M1025" s="27"/>
      <c r="N1025" s="48"/>
    </row>
    <row r="1026" spans="1:14" s="7" customFormat="1" x14ac:dyDescent="0.35">
      <c r="A1026" s="113"/>
      <c r="B1026" s="27"/>
      <c r="C1026" s="48"/>
      <c r="D1026" s="27"/>
      <c r="E1026" s="38"/>
      <c r="F1026" s="27"/>
      <c r="G1026" s="27"/>
      <c r="H1026" s="99"/>
      <c r="M1026" s="27"/>
      <c r="N1026" s="48"/>
    </row>
    <row r="1027" spans="1:14" s="7" customFormat="1" x14ac:dyDescent="0.35">
      <c r="A1027" s="113"/>
      <c r="B1027" s="27"/>
      <c r="C1027" s="48"/>
      <c r="D1027" s="27"/>
      <c r="E1027" s="38"/>
      <c r="F1027" s="27"/>
      <c r="G1027" s="27"/>
      <c r="H1027" s="99"/>
      <c r="M1027" s="27"/>
      <c r="N1027" s="48"/>
    </row>
    <row r="1028" spans="1:14" s="7" customFormat="1" x14ac:dyDescent="0.35">
      <c r="A1028" s="113"/>
      <c r="B1028" s="27"/>
      <c r="C1028" s="48"/>
      <c r="D1028" s="27"/>
      <c r="E1028" s="38"/>
      <c r="F1028" s="27"/>
      <c r="G1028" s="27"/>
      <c r="H1028" s="99"/>
      <c r="M1028" s="27"/>
      <c r="N1028" s="48"/>
    </row>
    <row r="1029" spans="1:14" s="7" customFormat="1" x14ac:dyDescent="0.35">
      <c r="A1029" s="113"/>
      <c r="B1029" s="27"/>
      <c r="C1029" s="48"/>
      <c r="D1029" s="27"/>
      <c r="E1029" s="38"/>
      <c r="F1029" s="27"/>
      <c r="G1029" s="27"/>
      <c r="H1029" s="99"/>
      <c r="M1029" s="27"/>
      <c r="N1029" s="48"/>
    </row>
    <row r="1030" spans="1:14" s="7" customFormat="1" x14ac:dyDescent="0.35">
      <c r="A1030" s="113"/>
      <c r="B1030" s="27"/>
      <c r="C1030" s="48"/>
      <c r="D1030" s="27"/>
      <c r="E1030" s="38"/>
      <c r="F1030" s="27"/>
      <c r="G1030" s="27"/>
      <c r="H1030" s="99"/>
      <c r="M1030" s="27"/>
      <c r="N1030" s="48"/>
    </row>
    <row r="1031" spans="1:14" s="7" customFormat="1" x14ac:dyDescent="0.35">
      <c r="A1031" s="113"/>
      <c r="B1031" s="27"/>
      <c r="C1031" s="48"/>
      <c r="D1031" s="27"/>
      <c r="E1031" s="38"/>
      <c r="F1031" s="27"/>
      <c r="G1031" s="27"/>
      <c r="H1031" s="99"/>
      <c r="M1031" s="27"/>
      <c r="N1031" s="48"/>
    </row>
    <row r="1032" spans="1:14" s="7" customFormat="1" x14ac:dyDescent="0.35">
      <c r="A1032" s="113"/>
      <c r="B1032" s="27"/>
      <c r="C1032" s="48"/>
      <c r="D1032" s="27"/>
      <c r="E1032" s="38"/>
      <c r="F1032" s="27"/>
      <c r="G1032" s="27"/>
      <c r="H1032" s="99"/>
      <c r="M1032" s="27"/>
      <c r="N1032" s="48"/>
    </row>
    <row r="1033" spans="1:14" s="7" customFormat="1" x14ac:dyDescent="0.35">
      <c r="A1033" s="113"/>
      <c r="B1033" s="27"/>
      <c r="C1033" s="48"/>
      <c r="D1033" s="27"/>
      <c r="E1033" s="38"/>
      <c r="F1033" s="27"/>
      <c r="G1033" s="27"/>
      <c r="H1033" s="99"/>
      <c r="M1033" s="27"/>
      <c r="N1033" s="48"/>
    </row>
    <row r="1034" spans="1:14" s="7" customFormat="1" x14ac:dyDescent="0.35">
      <c r="A1034" s="113"/>
      <c r="B1034" s="27"/>
      <c r="C1034" s="48"/>
      <c r="D1034" s="27"/>
      <c r="E1034" s="38"/>
      <c r="F1034" s="27"/>
      <c r="G1034" s="27"/>
      <c r="H1034" s="99"/>
      <c r="M1034" s="27"/>
      <c r="N1034" s="48"/>
    </row>
    <row r="1035" spans="1:14" s="7" customFormat="1" x14ac:dyDescent="0.35">
      <c r="A1035" s="113"/>
      <c r="B1035" s="27"/>
      <c r="C1035" s="48"/>
      <c r="D1035" s="27"/>
      <c r="E1035" s="38"/>
      <c r="F1035" s="27"/>
      <c r="G1035" s="27"/>
      <c r="H1035" s="99"/>
      <c r="M1035" s="27"/>
      <c r="N1035" s="48"/>
    </row>
    <row r="1036" spans="1:14" s="7" customFormat="1" x14ac:dyDescent="0.35">
      <c r="A1036" s="113"/>
      <c r="B1036" s="27"/>
      <c r="C1036" s="48"/>
      <c r="D1036" s="27"/>
      <c r="E1036" s="38"/>
      <c r="F1036" s="27"/>
      <c r="G1036" s="27"/>
      <c r="H1036" s="99"/>
      <c r="M1036" s="27"/>
      <c r="N1036" s="48"/>
    </row>
    <row r="1037" spans="1:14" s="7" customFormat="1" x14ac:dyDescent="0.35">
      <c r="A1037" s="113"/>
      <c r="B1037" s="27"/>
      <c r="C1037" s="48"/>
      <c r="D1037" s="27"/>
      <c r="E1037" s="38"/>
      <c r="F1037" s="27"/>
      <c r="G1037" s="27"/>
      <c r="H1037" s="99"/>
      <c r="M1037" s="27"/>
      <c r="N1037" s="48"/>
    </row>
    <row r="1038" spans="1:14" s="7" customFormat="1" x14ac:dyDescent="0.35">
      <c r="A1038" s="113"/>
      <c r="B1038" s="27"/>
      <c r="C1038" s="48"/>
      <c r="D1038" s="27"/>
      <c r="E1038" s="38"/>
      <c r="F1038" s="27"/>
      <c r="G1038" s="27"/>
      <c r="H1038" s="99"/>
      <c r="M1038" s="27"/>
      <c r="N1038" s="48"/>
    </row>
    <row r="1039" spans="1:14" s="7" customFormat="1" x14ac:dyDescent="0.35">
      <c r="A1039" s="113"/>
      <c r="B1039" s="27"/>
      <c r="C1039" s="48"/>
      <c r="D1039" s="27"/>
      <c r="E1039" s="38"/>
      <c r="F1039" s="27"/>
      <c r="G1039" s="27"/>
      <c r="H1039" s="99"/>
      <c r="M1039" s="27"/>
      <c r="N1039" s="48"/>
    </row>
    <row r="1040" spans="1:14" s="7" customFormat="1" x14ac:dyDescent="0.35">
      <c r="A1040" s="113"/>
      <c r="B1040" s="27"/>
      <c r="C1040" s="48"/>
      <c r="D1040" s="27"/>
      <c r="E1040" s="38"/>
      <c r="F1040" s="27"/>
      <c r="G1040" s="27"/>
      <c r="H1040" s="99"/>
      <c r="M1040" s="27"/>
      <c r="N1040" s="48"/>
    </row>
    <row r="1041" spans="1:14" s="7" customFormat="1" x14ac:dyDescent="0.35">
      <c r="A1041" s="113"/>
      <c r="B1041" s="27"/>
      <c r="C1041" s="48"/>
      <c r="D1041" s="27"/>
      <c r="E1041" s="38"/>
      <c r="F1041" s="27"/>
      <c r="G1041" s="27"/>
      <c r="H1041" s="99"/>
      <c r="M1041" s="27"/>
      <c r="N1041" s="48"/>
    </row>
    <row r="1042" spans="1:14" s="7" customFormat="1" x14ac:dyDescent="0.35">
      <c r="A1042" s="113"/>
      <c r="B1042" s="27"/>
      <c r="C1042" s="48"/>
      <c r="D1042" s="27"/>
      <c r="E1042" s="38"/>
      <c r="F1042" s="27"/>
      <c r="G1042" s="27"/>
      <c r="H1042" s="99"/>
      <c r="M1042" s="27"/>
      <c r="N1042" s="48"/>
    </row>
    <row r="1043" spans="1:14" s="7" customFormat="1" x14ac:dyDescent="0.35">
      <c r="A1043" s="113"/>
      <c r="B1043" s="27"/>
      <c r="C1043" s="48"/>
      <c r="D1043" s="27"/>
      <c r="E1043" s="38"/>
      <c r="F1043" s="27"/>
      <c r="G1043" s="27"/>
      <c r="H1043" s="99"/>
      <c r="M1043" s="27"/>
      <c r="N1043" s="48"/>
    </row>
    <row r="1044" spans="1:14" s="7" customFormat="1" x14ac:dyDescent="0.35">
      <c r="A1044" s="113"/>
      <c r="B1044" s="27"/>
      <c r="C1044" s="48"/>
      <c r="D1044" s="27"/>
      <c r="E1044" s="38"/>
      <c r="F1044" s="27"/>
      <c r="G1044" s="27"/>
      <c r="H1044" s="99"/>
      <c r="M1044" s="27"/>
      <c r="N1044" s="48"/>
    </row>
    <row r="1045" spans="1:14" s="7" customFormat="1" x14ac:dyDescent="0.35">
      <c r="A1045" s="113"/>
      <c r="B1045" s="27"/>
      <c r="C1045" s="48"/>
      <c r="D1045" s="27"/>
      <c r="E1045" s="38"/>
      <c r="F1045" s="27"/>
      <c r="G1045" s="27"/>
      <c r="H1045" s="99"/>
      <c r="M1045" s="27"/>
      <c r="N1045" s="48"/>
    </row>
    <row r="1046" spans="1:14" s="7" customFormat="1" x14ac:dyDescent="0.35">
      <c r="A1046" s="113"/>
      <c r="B1046" s="27"/>
      <c r="C1046" s="48"/>
      <c r="D1046" s="27"/>
      <c r="E1046" s="38"/>
      <c r="F1046" s="27"/>
      <c r="G1046" s="27"/>
      <c r="H1046" s="99"/>
      <c r="M1046" s="27"/>
      <c r="N1046" s="48"/>
    </row>
    <row r="1047" spans="1:14" s="7" customFormat="1" x14ac:dyDescent="0.35">
      <c r="A1047" s="113"/>
      <c r="B1047" s="27"/>
      <c r="C1047" s="48"/>
      <c r="D1047" s="27"/>
      <c r="E1047" s="38"/>
      <c r="F1047" s="27"/>
      <c r="G1047" s="27"/>
      <c r="H1047" s="99"/>
      <c r="M1047" s="27"/>
      <c r="N1047" s="48"/>
    </row>
    <row r="1048" spans="1:14" s="7" customFormat="1" x14ac:dyDescent="0.35">
      <c r="A1048" s="113"/>
      <c r="B1048" s="27"/>
      <c r="C1048" s="48"/>
      <c r="D1048" s="27"/>
      <c r="E1048" s="38"/>
      <c r="F1048" s="27"/>
      <c r="G1048" s="27"/>
      <c r="H1048" s="99"/>
      <c r="M1048" s="27"/>
      <c r="N1048" s="48"/>
    </row>
    <row r="1049" spans="1:14" s="7" customFormat="1" x14ac:dyDescent="0.35">
      <c r="A1049" s="113"/>
      <c r="B1049" s="27"/>
      <c r="C1049" s="48"/>
      <c r="D1049" s="27"/>
      <c r="E1049" s="38"/>
      <c r="F1049" s="27"/>
      <c r="G1049" s="27"/>
      <c r="H1049" s="99"/>
      <c r="M1049" s="27"/>
      <c r="N1049" s="48"/>
    </row>
    <row r="1050" spans="1:14" s="7" customFormat="1" x14ac:dyDescent="0.35">
      <c r="A1050" s="113"/>
      <c r="B1050" s="27"/>
      <c r="C1050" s="48"/>
      <c r="D1050" s="27"/>
      <c r="E1050" s="38"/>
      <c r="F1050" s="27"/>
      <c r="G1050" s="27"/>
      <c r="H1050" s="99"/>
      <c r="M1050" s="27"/>
      <c r="N1050" s="48"/>
    </row>
    <row r="1051" spans="1:14" s="7" customFormat="1" x14ac:dyDescent="0.35">
      <c r="A1051" s="113"/>
      <c r="B1051" s="27"/>
      <c r="C1051" s="48"/>
      <c r="D1051" s="27"/>
      <c r="E1051" s="38"/>
      <c r="F1051" s="27"/>
      <c r="G1051" s="27"/>
      <c r="H1051" s="99"/>
      <c r="M1051" s="27"/>
      <c r="N1051" s="48"/>
    </row>
    <row r="1052" spans="1:14" s="7" customFormat="1" x14ac:dyDescent="0.35">
      <c r="A1052" s="113"/>
      <c r="B1052" s="27"/>
      <c r="C1052" s="48"/>
      <c r="D1052" s="27"/>
      <c r="E1052" s="38"/>
      <c r="F1052" s="27"/>
      <c r="G1052" s="27"/>
      <c r="H1052" s="99"/>
      <c r="M1052" s="27"/>
      <c r="N1052" s="48"/>
    </row>
    <row r="1053" spans="1:14" s="7" customFormat="1" x14ac:dyDescent="0.35">
      <c r="A1053" s="113"/>
      <c r="B1053" s="27"/>
      <c r="C1053" s="48"/>
      <c r="D1053" s="27"/>
      <c r="E1053" s="38"/>
      <c r="F1053" s="27"/>
      <c r="G1053" s="27"/>
      <c r="H1053" s="99"/>
      <c r="M1053" s="27"/>
      <c r="N1053" s="48"/>
    </row>
    <row r="1054" spans="1:14" s="7" customFormat="1" x14ac:dyDescent="0.35">
      <c r="A1054" s="113"/>
      <c r="B1054" s="27"/>
      <c r="C1054" s="48"/>
      <c r="D1054" s="27"/>
      <c r="E1054" s="38"/>
      <c r="F1054" s="27"/>
      <c r="G1054" s="27"/>
      <c r="H1054" s="99"/>
      <c r="M1054" s="27"/>
      <c r="N1054" s="48"/>
    </row>
    <row r="1055" spans="1:14" s="7" customFormat="1" x14ac:dyDescent="0.35">
      <c r="A1055" s="113"/>
      <c r="B1055" s="27"/>
      <c r="C1055" s="48"/>
      <c r="D1055" s="27"/>
      <c r="E1055" s="38"/>
      <c r="F1055" s="27"/>
      <c r="G1055" s="27"/>
      <c r="H1055" s="99"/>
      <c r="M1055" s="27"/>
      <c r="N1055" s="48"/>
    </row>
    <row r="1056" spans="1:14" s="7" customFormat="1" x14ac:dyDescent="0.35">
      <c r="A1056" s="113"/>
      <c r="B1056" s="27"/>
      <c r="C1056" s="48"/>
      <c r="D1056" s="27"/>
      <c r="E1056" s="38"/>
      <c r="F1056" s="27"/>
      <c r="G1056" s="27"/>
      <c r="H1056" s="99"/>
      <c r="M1056" s="27"/>
      <c r="N1056" s="48"/>
    </row>
    <row r="1057" spans="1:14" s="7" customFormat="1" x14ac:dyDescent="0.35">
      <c r="A1057" s="113"/>
      <c r="B1057" s="27"/>
      <c r="C1057" s="48"/>
      <c r="D1057" s="27"/>
      <c r="E1057" s="38"/>
      <c r="F1057" s="27"/>
      <c r="G1057" s="27"/>
      <c r="H1057" s="99"/>
      <c r="M1057" s="27"/>
      <c r="N1057" s="48"/>
    </row>
    <row r="1058" spans="1:14" s="7" customFormat="1" x14ac:dyDescent="0.35">
      <c r="A1058" s="113"/>
      <c r="B1058" s="27"/>
      <c r="C1058" s="48"/>
      <c r="D1058" s="27"/>
      <c r="E1058" s="38"/>
      <c r="F1058" s="27"/>
      <c r="G1058" s="27"/>
      <c r="H1058" s="99"/>
      <c r="M1058" s="27"/>
      <c r="N1058" s="48"/>
    </row>
    <row r="1059" spans="1:14" s="7" customFormat="1" x14ac:dyDescent="0.35">
      <c r="A1059" s="113"/>
      <c r="B1059" s="27"/>
      <c r="C1059" s="48"/>
      <c r="D1059" s="27"/>
      <c r="E1059" s="38"/>
      <c r="F1059" s="27"/>
      <c r="G1059" s="27"/>
      <c r="H1059" s="99"/>
      <c r="M1059" s="27"/>
      <c r="N1059" s="48"/>
    </row>
    <row r="1060" spans="1:14" s="7" customFormat="1" x14ac:dyDescent="0.35">
      <c r="A1060" s="113"/>
      <c r="B1060" s="27"/>
      <c r="C1060" s="48"/>
      <c r="D1060" s="27"/>
      <c r="E1060" s="38"/>
      <c r="F1060" s="27"/>
      <c r="G1060" s="27"/>
      <c r="H1060" s="99"/>
      <c r="M1060" s="27"/>
      <c r="N1060" s="48"/>
    </row>
    <row r="1061" spans="1:14" s="7" customFormat="1" x14ac:dyDescent="0.35">
      <c r="A1061" s="113"/>
      <c r="B1061" s="27"/>
      <c r="C1061" s="48"/>
      <c r="D1061" s="27"/>
      <c r="E1061" s="38"/>
      <c r="F1061" s="27"/>
      <c r="G1061" s="27"/>
      <c r="H1061" s="99"/>
      <c r="M1061" s="27"/>
      <c r="N1061" s="48"/>
    </row>
    <row r="1062" spans="1:14" s="7" customFormat="1" x14ac:dyDescent="0.35">
      <c r="A1062" s="113"/>
      <c r="B1062" s="27"/>
      <c r="C1062" s="48"/>
      <c r="D1062" s="27"/>
      <c r="E1062" s="38"/>
      <c r="F1062" s="27"/>
      <c r="G1062" s="27"/>
      <c r="H1062" s="99"/>
      <c r="M1062" s="27"/>
      <c r="N1062" s="48"/>
    </row>
    <row r="1063" spans="1:14" s="7" customFormat="1" x14ac:dyDescent="0.35">
      <c r="A1063" s="113"/>
      <c r="B1063" s="27"/>
      <c r="C1063" s="48"/>
      <c r="D1063" s="27"/>
      <c r="E1063" s="38"/>
      <c r="F1063" s="27"/>
      <c r="G1063" s="27"/>
      <c r="H1063" s="99"/>
      <c r="M1063" s="27"/>
      <c r="N1063" s="48"/>
    </row>
    <row r="1064" spans="1:14" s="7" customFormat="1" x14ac:dyDescent="0.35">
      <c r="A1064" s="113"/>
      <c r="B1064" s="27"/>
      <c r="C1064" s="48"/>
      <c r="D1064" s="27"/>
      <c r="E1064" s="38"/>
      <c r="F1064" s="27"/>
      <c r="G1064" s="27"/>
      <c r="H1064" s="99"/>
      <c r="M1064" s="27"/>
      <c r="N1064" s="48"/>
    </row>
    <row r="1065" spans="1:14" s="7" customFormat="1" x14ac:dyDescent="0.35">
      <c r="A1065" s="113"/>
      <c r="B1065" s="27"/>
      <c r="C1065" s="48"/>
      <c r="D1065" s="27"/>
      <c r="E1065" s="38"/>
      <c r="F1065" s="27"/>
      <c r="G1065" s="27"/>
      <c r="H1065" s="99"/>
      <c r="M1065" s="27"/>
      <c r="N1065" s="48"/>
    </row>
    <row r="1066" spans="1:14" s="7" customFormat="1" x14ac:dyDescent="0.35">
      <c r="A1066" s="113"/>
      <c r="B1066" s="27"/>
      <c r="C1066" s="48"/>
      <c r="D1066" s="27"/>
      <c r="E1066" s="38"/>
      <c r="F1066" s="27"/>
      <c r="G1066" s="27"/>
      <c r="H1066" s="99"/>
      <c r="M1066" s="27"/>
      <c r="N1066" s="48"/>
    </row>
    <row r="1067" spans="1:14" s="7" customFormat="1" x14ac:dyDescent="0.35">
      <c r="A1067" s="113"/>
      <c r="B1067" s="27"/>
      <c r="C1067" s="48"/>
      <c r="D1067" s="27"/>
      <c r="E1067" s="38"/>
      <c r="F1067" s="27"/>
      <c r="G1067" s="27"/>
      <c r="H1067" s="99"/>
      <c r="M1067" s="27"/>
      <c r="N1067" s="48"/>
    </row>
    <row r="1068" spans="1:14" s="7" customFormat="1" x14ac:dyDescent="0.35">
      <c r="A1068" s="113"/>
      <c r="B1068" s="27"/>
      <c r="C1068" s="48"/>
      <c r="D1068" s="27"/>
      <c r="E1068" s="38"/>
      <c r="F1068" s="27"/>
      <c r="G1068" s="27"/>
      <c r="H1068" s="99"/>
      <c r="M1068" s="27"/>
      <c r="N1068" s="48"/>
    </row>
    <row r="1069" spans="1:14" s="7" customFormat="1" x14ac:dyDescent="0.35">
      <c r="A1069" s="113"/>
      <c r="B1069" s="27"/>
      <c r="C1069" s="48"/>
      <c r="D1069" s="27"/>
      <c r="E1069" s="38"/>
      <c r="F1069" s="27"/>
      <c r="G1069" s="27"/>
      <c r="H1069" s="99"/>
      <c r="M1069" s="27"/>
      <c r="N1069" s="48"/>
    </row>
    <row r="1070" spans="1:14" s="7" customFormat="1" x14ac:dyDescent="0.35">
      <c r="A1070" s="113"/>
      <c r="B1070" s="27"/>
      <c r="C1070" s="48"/>
      <c r="D1070" s="27"/>
      <c r="E1070" s="38"/>
      <c r="F1070" s="27"/>
      <c r="G1070" s="27"/>
      <c r="H1070" s="99"/>
      <c r="M1070" s="27"/>
      <c r="N1070" s="48"/>
    </row>
    <row r="1071" spans="1:14" s="7" customFormat="1" x14ac:dyDescent="0.35">
      <c r="A1071" s="113"/>
      <c r="B1071" s="27"/>
      <c r="C1071" s="48"/>
      <c r="D1071" s="27"/>
      <c r="E1071" s="38"/>
      <c r="F1071" s="27"/>
      <c r="G1071" s="27"/>
      <c r="H1071" s="99"/>
      <c r="M1071" s="27"/>
      <c r="N1071" s="48"/>
    </row>
    <row r="1072" spans="1:14" s="7" customFormat="1" x14ac:dyDescent="0.35">
      <c r="A1072" s="113"/>
      <c r="B1072" s="27"/>
      <c r="C1072" s="48"/>
      <c r="D1072" s="27"/>
      <c r="E1072" s="38"/>
      <c r="F1072" s="27"/>
      <c r="G1072" s="27"/>
      <c r="H1072" s="99"/>
      <c r="M1072" s="27"/>
      <c r="N1072" s="48"/>
    </row>
    <row r="1073" spans="1:14" s="7" customFormat="1" x14ac:dyDescent="0.35">
      <c r="A1073" s="113"/>
      <c r="B1073" s="27"/>
      <c r="C1073" s="48"/>
      <c r="D1073" s="27"/>
      <c r="E1073" s="38"/>
      <c r="F1073" s="27"/>
      <c r="G1073" s="27"/>
      <c r="H1073" s="99"/>
      <c r="M1073" s="27"/>
      <c r="N1073" s="48"/>
    </row>
    <row r="1074" spans="1:14" s="7" customFormat="1" x14ac:dyDescent="0.35">
      <c r="A1074" s="113"/>
      <c r="B1074" s="27"/>
      <c r="C1074" s="48"/>
      <c r="D1074" s="27"/>
      <c r="E1074" s="38"/>
      <c r="F1074" s="27"/>
      <c r="G1074" s="27"/>
      <c r="H1074" s="99"/>
      <c r="M1074" s="27"/>
      <c r="N1074" s="48"/>
    </row>
    <row r="1075" spans="1:14" s="7" customFormat="1" x14ac:dyDescent="0.35">
      <c r="A1075" s="113"/>
      <c r="B1075" s="27"/>
      <c r="C1075" s="48"/>
      <c r="D1075" s="27"/>
      <c r="E1075" s="38"/>
      <c r="F1075" s="27"/>
      <c r="G1075" s="27"/>
      <c r="H1075" s="99"/>
      <c r="M1075" s="27"/>
      <c r="N1075" s="48"/>
    </row>
    <row r="1076" spans="1:14" s="7" customFormat="1" x14ac:dyDescent="0.35">
      <c r="A1076" s="113"/>
      <c r="B1076" s="27"/>
      <c r="C1076" s="48"/>
      <c r="D1076" s="27"/>
      <c r="E1076" s="38"/>
      <c r="F1076" s="27"/>
      <c r="G1076" s="27"/>
      <c r="H1076" s="99"/>
      <c r="M1076" s="27"/>
      <c r="N1076" s="48"/>
    </row>
    <row r="1077" spans="1:14" s="7" customFormat="1" x14ac:dyDescent="0.35">
      <c r="A1077" s="113"/>
      <c r="B1077" s="27"/>
      <c r="C1077" s="48"/>
      <c r="D1077" s="27"/>
      <c r="E1077" s="38"/>
      <c r="F1077" s="27"/>
      <c r="G1077" s="27"/>
      <c r="H1077" s="99"/>
      <c r="M1077" s="27"/>
      <c r="N1077" s="48"/>
    </row>
    <row r="1078" spans="1:14" s="7" customFormat="1" x14ac:dyDescent="0.35">
      <c r="A1078" s="113"/>
      <c r="B1078" s="27"/>
      <c r="C1078" s="48"/>
      <c r="D1078" s="27"/>
      <c r="E1078" s="38"/>
      <c r="F1078" s="27"/>
      <c r="G1078" s="27"/>
      <c r="H1078" s="99"/>
      <c r="M1078" s="27"/>
      <c r="N1078" s="48"/>
    </row>
    <row r="1079" spans="1:14" s="7" customFormat="1" x14ac:dyDescent="0.35">
      <c r="A1079" s="113"/>
      <c r="B1079" s="27"/>
      <c r="C1079" s="48"/>
      <c r="D1079" s="27"/>
      <c r="E1079" s="38"/>
      <c r="F1079" s="27"/>
      <c r="G1079" s="27"/>
      <c r="H1079" s="99"/>
      <c r="M1079" s="27"/>
      <c r="N1079" s="48"/>
    </row>
    <row r="1080" spans="1:14" s="7" customFormat="1" x14ac:dyDescent="0.35">
      <c r="A1080" s="113"/>
      <c r="B1080" s="27"/>
      <c r="C1080" s="48"/>
      <c r="D1080" s="27"/>
      <c r="E1080" s="38"/>
      <c r="F1080" s="27"/>
      <c r="G1080" s="27"/>
      <c r="H1080" s="99"/>
      <c r="M1080" s="27"/>
      <c r="N1080" s="48"/>
    </row>
    <row r="1081" spans="1:14" s="7" customFormat="1" x14ac:dyDescent="0.35">
      <c r="A1081" s="113"/>
      <c r="B1081" s="27"/>
      <c r="C1081" s="48"/>
      <c r="D1081" s="27"/>
      <c r="E1081" s="38"/>
      <c r="F1081" s="27"/>
      <c r="G1081" s="27"/>
      <c r="H1081" s="99"/>
      <c r="M1081" s="27"/>
      <c r="N1081" s="48"/>
    </row>
    <row r="1082" spans="1:14" s="7" customFormat="1" x14ac:dyDescent="0.35">
      <c r="A1082" s="113"/>
      <c r="B1082" s="27"/>
      <c r="C1082" s="48"/>
      <c r="D1082" s="27"/>
      <c r="E1082" s="38"/>
      <c r="F1082" s="27"/>
      <c r="G1082" s="27"/>
      <c r="H1082" s="99"/>
      <c r="M1082" s="27"/>
      <c r="N1082" s="48"/>
    </row>
    <row r="1083" spans="1:14" s="7" customFormat="1" x14ac:dyDescent="0.35">
      <c r="A1083" s="113"/>
      <c r="B1083" s="27"/>
      <c r="C1083" s="48"/>
      <c r="D1083" s="27"/>
      <c r="E1083" s="38"/>
      <c r="F1083" s="27"/>
      <c r="G1083" s="27"/>
      <c r="H1083" s="99"/>
      <c r="M1083" s="27"/>
      <c r="N1083" s="48"/>
    </row>
    <row r="1084" spans="1:14" s="7" customFormat="1" x14ac:dyDescent="0.35">
      <c r="A1084" s="113"/>
      <c r="B1084" s="27"/>
      <c r="C1084" s="48"/>
      <c r="D1084" s="27"/>
      <c r="E1084" s="38"/>
      <c r="F1084" s="27"/>
      <c r="G1084" s="27"/>
      <c r="H1084" s="99"/>
      <c r="M1084" s="27"/>
      <c r="N1084" s="48"/>
    </row>
    <row r="1085" spans="1:14" s="7" customFormat="1" x14ac:dyDescent="0.35">
      <c r="A1085" s="113"/>
      <c r="B1085" s="27"/>
      <c r="C1085" s="48"/>
      <c r="D1085" s="27"/>
      <c r="E1085" s="38"/>
      <c r="F1085" s="27"/>
      <c r="G1085" s="27"/>
      <c r="H1085" s="99"/>
      <c r="M1085" s="27"/>
      <c r="N1085" s="48"/>
    </row>
    <row r="1086" spans="1:14" s="7" customFormat="1" x14ac:dyDescent="0.35">
      <c r="A1086" s="113"/>
      <c r="B1086" s="27"/>
      <c r="C1086" s="48"/>
      <c r="D1086" s="27"/>
      <c r="E1086" s="38"/>
      <c r="F1086" s="27"/>
      <c r="G1086" s="27"/>
      <c r="H1086" s="99"/>
      <c r="M1086" s="27"/>
      <c r="N1086" s="48"/>
    </row>
    <row r="1087" spans="1:14" s="7" customFormat="1" x14ac:dyDescent="0.35">
      <c r="A1087" s="113"/>
      <c r="B1087" s="27"/>
      <c r="C1087" s="48"/>
      <c r="D1087" s="27"/>
      <c r="E1087" s="38"/>
      <c r="F1087" s="27"/>
      <c r="G1087" s="27"/>
      <c r="H1087" s="99"/>
      <c r="M1087" s="27"/>
      <c r="N1087" s="48"/>
    </row>
    <row r="1088" spans="1:14" s="7" customFormat="1" x14ac:dyDescent="0.35">
      <c r="A1088" s="113"/>
      <c r="B1088" s="27"/>
      <c r="C1088" s="48"/>
      <c r="D1088" s="27"/>
      <c r="E1088" s="38"/>
      <c r="F1088" s="27"/>
      <c r="G1088" s="27"/>
      <c r="H1088" s="99"/>
      <c r="M1088" s="27"/>
      <c r="N1088" s="48"/>
    </row>
    <row r="1089" spans="1:14" s="7" customFormat="1" x14ac:dyDescent="0.35">
      <c r="A1089" s="113"/>
      <c r="B1089" s="27"/>
      <c r="C1089" s="48"/>
      <c r="D1089" s="27"/>
      <c r="E1089" s="38"/>
      <c r="F1089" s="27"/>
      <c r="G1089" s="27"/>
      <c r="H1089" s="99"/>
      <c r="M1089" s="27"/>
      <c r="N1089" s="48"/>
    </row>
    <row r="1090" spans="1:14" s="7" customFormat="1" x14ac:dyDescent="0.35">
      <c r="A1090" s="113"/>
      <c r="B1090" s="27"/>
      <c r="C1090" s="48"/>
      <c r="D1090" s="27"/>
      <c r="E1090" s="38"/>
      <c r="F1090" s="27"/>
      <c r="G1090" s="27"/>
      <c r="H1090" s="99"/>
      <c r="M1090" s="27"/>
      <c r="N1090" s="48"/>
    </row>
    <row r="1091" spans="1:14" s="7" customFormat="1" x14ac:dyDescent="0.35">
      <c r="A1091" s="113"/>
      <c r="B1091" s="27"/>
      <c r="C1091" s="48"/>
      <c r="D1091" s="27"/>
      <c r="E1091" s="38"/>
      <c r="F1091" s="27"/>
      <c r="G1091" s="27"/>
      <c r="H1091" s="99"/>
      <c r="M1091" s="27"/>
      <c r="N1091" s="48"/>
    </row>
    <row r="1092" spans="1:14" s="7" customFormat="1" x14ac:dyDescent="0.35">
      <c r="A1092" s="113"/>
      <c r="B1092" s="27"/>
      <c r="C1092" s="48"/>
      <c r="D1092" s="27"/>
      <c r="E1092" s="38"/>
      <c r="F1092" s="27"/>
      <c r="G1092" s="27"/>
      <c r="H1092" s="99"/>
      <c r="M1092" s="27"/>
      <c r="N1092" s="48"/>
    </row>
    <row r="1093" spans="1:14" s="7" customFormat="1" x14ac:dyDescent="0.35">
      <c r="A1093" s="113"/>
      <c r="B1093" s="27"/>
      <c r="C1093" s="48"/>
      <c r="D1093" s="27"/>
      <c r="E1093" s="38"/>
      <c r="F1093" s="27"/>
      <c r="G1093" s="27"/>
      <c r="H1093" s="99"/>
      <c r="M1093" s="27"/>
      <c r="N1093" s="48"/>
    </row>
    <row r="1094" spans="1:14" s="7" customFormat="1" x14ac:dyDescent="0.35">
      <c r="A1094" s="113"/>
      <c r="B1094" s="27"/>
      <c r="C1094" s="48"/>
      <c r="D1094" s="27"/>
      <c r="E1094" s="38"/>
      <c r="F1094" s="27"/>
      <c r="G1094" s="27"/>
      <c r="H1094" s="99"/>
      <c r="M1094" s="27"/>
      <c r="N1094" s="48"/>
    </row>
    <row r="1095" spans="1:14" s="7" customFormat="1" x14ac:dyDescent="0.35">
      <c r="A1095" s="113"/>
      <c r="B1095" s="27"/>
      <c r="C1095" s="48"/>
      <c r="D1095" s="27"/>
      <c r="E1095" s="38"/>
      <c r="F1095" s="27"/>
      <c r="G1095" s="27"/>
      <c r="H1095" s="99"/>
      <c r="M1095" s="27"/>
      <c r="N1095" s="48"/>
    </row>
    <row r="1096" spans="1:14" s="7" customFormat="1" x14ac:dyDescent="0.35">
      <c r="A1096" s="113"/>
      <c r="B1096" s="27"/>
      <c r="C1096" s="48"/>
      <c r="D1096" s="27"/>
      <c r="E1096" s="38"/>
      <c r="F1096" s="27"/>
      <c r="G1096" s="27"/>
      <c r="H1096" s="99"/>
      <c r="M1096" s="27"/>
      <c r="N1096" s="48"/>
    </row>
    <row r="1097" spans="1:14" s="7" customFormat="1" x14ac:dyDescent="0.35">
      <c r="A1097" s="113"/>
      <c r="B1097" s="27"/>
      <c r="C1097" s="48"/>
      <c r="D1097" s="27"/>
      <c r="E1097" s="38"/>
      <c r="F1097" s="27"/>
      <c r="G1097" s="27"/>
      <c r="H1097" s="99"/>
      <c r="M1097" s="27"/>
      <c r="N1097" s="48"/>
    </row>
    <row r="1098" spans="1:14" s="7" customFormat="1" x14ac:dyDescent="0.35">
      <c r="A1098" s="113"/>
      <c r="B1098" s="27"/>
      <c r="C1098" s="48"/>
      <c r="D1098" s="27"/>
      <c r="E1098" s="38"/>
      <c r="F1098" s="27"/>
      <c r="G1098" s="27"/>
      <c r="H1098" s="99"/>
      <c r="M1098" s="27"/>
      <c r="N1098" s="48"/>
    </row>
    <row r="1099" spans="1:14" s="7" customFormat="1" x14ac:dyDescent="0.35">
      <c r="A1099" s="113"/>
      <c r="B1099" s="27"/>
      <c r="C1099" s="48"/>
      <c r="D1099" s="27"/>
      <c r="E1099" s="38"/>
      <c r="F1099" s="27"/>
      <c r="G1099" s="27"/>
      <c r="H1099" s="99"/>
      <c r="M1099" s="27"/>
      <c r="N1099" s="48"/>
    </row>
    <row r="1100" spans="1:14" s="7" customFormat="1" x14ac:dyDescent="0.35">
      <c r="A1100" s="113"/>
      <c r="B1100" s="27"/>
      <c r="C1100" s="48"/>
      <c r="D1100" s="27"/>
      <c r="E1100" s="38"/>
      <c r="F1100" s="27"/>
      <c r="G1100" s="27"/>
      <c r="H1100" s="99"/>
      <c r="M1100" s="27"/>
      <c r="N1100" s="48"/>
    </row>
    <row r="1101" spans="1:14" s="7" customFormat="1" x14ac:dyDescent="0.35">
      <c r="A1101" s="113"/>
      <c r="B1101" s="27"/>
      <c r="C1101" s="48"/>
      <c r="D1101" s="27"/>
      <c r="E1101" s="38"/>
      <c r="F1101" s="27"/>
      <c r="G1101" s="27"/>
      <c r="H1101" s="99"/>
      <c r="M1101" s="27"/>
      <c r="N1101" s="48"/>
    </row>
    <row r="1102" spans="1:14" s="7" customFormat="1" x14ac:dyDescent="0.35">
      <c r="A1102" s="113"/>
      <c r="B1102" s="27"/>
      <c r="C1102" s="48"/>
      <c r="D1102" s="27"/>
      <c r="E1102" s="38"/>
      <c r="F1102" s="27"/>
      <c r="G1102" s="27"/>
      <c r="H1102" s="99"/>
      <c r="M1102" s="27"/>
      <c r="N1102" s="48"/>
    </row>
    <row r="1103" spans="1:14" s="7" customFormat="1" x14ac:dyDescent="0.35">
      <c r="A1103" s="113"/>
      <c r="B1103" s="27"/>
      <c r="C1103" s="48"/>
      <c r="D1103" s="27"/>
      <c r="E1103" s="38"/>
      <c r="F1103" s="27"/>
      <c r="G1103" s="27"/>
      <c r="H1103" s="99"/>
      <c r="M1103" s="27"/>
      <c r="N1103" s="48"/>
    </row>
    <row r="1104" spans="1:14" s="7" customFormat="1" x14ac:dyDescent="0.35">
      <c r="A1104" s="113"/>
      <c r="B1104" s="27"/>
      <c r="C1104" s="48"/>
      <c r="D1104" s="27"/>
      <c r="E1104" s="38"/>
      <c r="F1104" s="27"/>
      <c r="G1104" s="27"/>
      <c r="H1104" s="99"/>
      <c r="M1104" s="27"/>
      <c r="N1104" s="48"/>
    </row>
    <row r="1105" spans="1:14" s="7" customFormat="1" x14ac:dyDescent="0.35">
      <c r="A1105" s="113"/>
      <c r="B1105" s="27"/>
      <c r="C1105" s="48"/>
      <c r="D1105" s="27"/>
      <c r="E1105" s="38"/>
      <c r="F1105" s="27"/>
      <c r="G1105" s="27"/>
      <c r="H1105" s="99"/>
      <c r="M1105" s="27"/>
      <c r="N1105" s="48"/>
    </row>
    <row r="1106" spans="1:14" s="7" customFormat="1" x14ac:dyDescent="0.35">
      <c r="A1106" s="113"/>
      <c r="B1106" s="27"/>
      <c r="C1106" s="48"/>
      <c r="D1106" s="27"/>
      <c r="E1106" s="38"/>
      <c r="F1106" s="27"/>
      <c r="G1106" s="27"/>
      <c r="H1106" s="99"/>
      <c r="M1106" s="27"/>
      <c r="N1106" s="48"/>
    </row>
    <row r="1107" spans="1:14" s="7" customFormat="1" x14ac:dyDescent="0.35">
      <c r="A1107" s="113"/>
      <c r="B1107" s="27"/>
      <c r="C1107" s="48"/>
      <c r="D1107" s="27"/>
      <c r="E1107" s="38"/>
      <c r="F1107" s="27"/>
      <c r="G1107" s="27"/>
      <c r="H1107" s="99"/>
      <c r="M1107" s="27"/>
      <c r="N1107" s="48"/>
    </row>
    <row r="1108" spans="1:14" s="7" customFormat="1" x14ac:dyDescent="0.35">
      <c r="A1108" s="113"/>
      <c r="B1108" s="27"/>
      <c r="C1108" s="48"/>
      <c r="D1108" s="27"/>
      <c r="E1108" s="38"/>
      <c r="F1108" s="27"/>
      <c r="G1108" s="27"/>
      <c r="H1108" s="99"/>
      <c r="M1108" s="27"/>
      <c r="N1108" s="48"/>
    </row>
    <row r="1109" spans="1:14" s="7" customFormat="1" x14ac:dyDescent="0.35">
      <c r="A1109" s="113"/>
      <c r="B1109" s="27"/>
      <c r="C1109" s="48"/>
      <c r="D1109" s="27"/>
      <c r="E1109" s="38"/>
      <c r="F1109" s="27"/>
      <c r="G1109" s="27"/>
      <c r="H1109" s="99"/>
      <c r="M1109" s="27"/>
      <c r="N1109" s="48"/>
    </row>
    <row r="1110" spans="1:14" s="7" customFormat="1" x14ac:dyDescent="0.35">
      <c r="A1110" s="113"/>
      <c r="B1110" s="27"/>
      <c r="C1110" s="48"/>
      <c r="D1110" s="27"/>
      <c r="E1110" s="38"/>
      <c r="F1110" s="27"/>
      <c r="G1110" s="27"/>
      <c r="H1110" s="99"/>
      <c r="M1110" s="27"/>
      <c r="N1110" s="48"/>
    </row>
    <row r="1111" spans="1:14" s="7" customFormat="1" x14ac:dyDescent="0.35">
      <c r="A1111" s="113"/>
      <c r="B1111" s="27"/>
      <c r="C1111" s="48"/>
      <c r="D1111" s="27"/>
      <c r="E1111" s="38"/>
      <c r="F1111" s="27"/>
      <c r="G1111" s="27"/>
      <c r="H1111" s="99"/>
      <c r="M1111" s="27"/>
      <c r="N1111" s="48"/>
    </row>
    <row r="1112" spans="1:14" s="7" customFormat="1" x14ac:dyDescent="0.35">
      <c r="A1112" s="113"/>
      <c r="B1112" s="27"/>
      <c r="C1112" s="48"/>
      <c r="D1112" s="27"/>
      <c r="E1112" s="38"/>
      <c r="F1112" s="27"/>
      <c r="G1112" s="27"/>
      <c r="H1112" s="99"/>
      <c r="M1112" s="27"/>
      <c r="N1112" s="48"/>
    </row>
    <row r="1113" spans="1:14" s="7" customFormat="1" x14ac:dyDescent="0.35">
      <c r="A1113" s="113"/>
      <c r="B1113" s="27"/>
      <c r="C1113" s="48"/>
      <c r="D1113" s="27"/>
      <c r="E1113" s="38"/>
      <c r="F1113" s="27"/>
      <c r="G1113" s="27"/>
      <c r="H1113" s="99"/>
      <c r="M1113" s="27"/>
      <c r="N1113" s="48"/>
    </row>
    <row r="1114" spans="1:14" s="7" customFormat="1" x14ac:dyDescent="0.35">
      <c r="A1114" s="113"/>
      <c r="B1114" s="27"/>
      <c r="C1114" s="48"/>
      <c r="D1114" s="27"/>
      <c r="E1114" s="38"/>
      <c r="F1114" s="27"/>
      <c r="G1114" s="27"/>
      <c r="H1114" s="99"/>
      <c r="M1114" s="27"/>
      <c r="N1114" s="48"/>
    </row>
    <row r="1115" spans="1:14" s="7" customFormat="1" x14ac:dyDescent="0.35">
      <c r="A1115" s="113"/>
      <c r="B1115" s="27"/>
      <c r="C1115" s="48"/>
      <c r="D1115" s="27"/>
      <c r="E1115" s="38"/>
      <c r="F1115" s="27"/>
      <c r="G1115" s="27"/>
      <c r="H1115" s="99"/>
      <c r="M1115" s="27"/>
      <c r="N1115" s="48"/>
    </row>
    <row r="1116" spans="1:14" s="7" customFormat="1" x14ac:dyDescent="0.35">
      <c r="A1116" s="113"/>
      <c r="B1116" s="27"/>
      <c r="C1116" s="48"/>
      <c r="D1116" s="27"/>
      <c r="E1116" s="38"/>
      <c r="F1116" s="27"/>
      <c r="G1116" s="27"/>
      <c r="H1116" s="99"/>
      <c r="M1116" s="27"/>
      <c r="N1116" s="48"/>
    </row>
    <row r="1117" spans="1:14" s="7" customFormat="1" x14ac:dyDescent="0.35">
      <c r="A1117" s="113"/>
      <c r="B1117" s="27"/>
      <c r="C1117" s="48"/>
      <c r="D1117" s="27"/>
      <c r="E1117" s="38"/>
      <c r="F1117" s="27"/>
      <c r="G1117" s="27"/>
      <c r="H1117" s="99"/>
      <c r="M1117" s="27"/>
      <c r="N1117" s="48"/>
    </row>
    <row r="1118" spans="1:14" s="7" customFormat="1" x14ac:dyDescent="0.35">
      <c r="A1118" s="113"/>
      <c r="B1118" s="27"/>
      <c r="C1118" s="48"/>
      <c r="D1118" s="27"/>
      <c r="E1118" s="38"/>
      <c r="F1118" s="27"/>
      <c r="G1118" s="27"/>
      <c r="H1118" s="99"/>
      <c r="M1118" s="27"/>
      <c r="N1118" s="48"/>
    </row>
    <row r="1119" spans="1:14" s="7" customFormat="1" x14ac:dyDescent="0.35">
      <c r="A1119" s="113"/>
      <c r="B1119" s="27"/>
      <c r="C1119" s="48"/>
      <c r="D1119" s="27"/>
      <c r="E1119" s="38"/>
      <c r="F1119" s="27"/>
      <c r="G1119" s="27"/>
      <c r="H1119" s="99"/>
      <c r="M1119" s="27"/>
      <c r="N1119" s="48"/>
    </row>
    <row r="1120" spans="1:14" s="7" customFormat="1" x14ac:dyDescent="0.35">
      <c r="A1120" s="113"/>
      <c r="B1120" s="27"/>
      <c r="C1120" s="48"/>
      <c r="D1120" s="27"/>
      <c r="E1120" s="38"/>
      <c r="F1120" s="27"/>
      <c r="G1120" s="27"/>
      <c r="H1120" s="99"/>
      <c r="M1120" s="27"/>
      <c r="N1120" s="48"/>
    </row>
    <row r="1121" spans="1:14" s="7" customFormat="1" x14ac:dyDescent="0.35">
      <c r="A1121" s="113"/>
      <c r="B1121" s="27"/>
      <c r="C1121" s="48"/>
      <c r="D1121" s="27"/>
      <c r="E1121" s="38"/>
      <c r="F1121" s="27"/>
      <c r="G1121" s="27"/>
      <c r="H1121" s="99"/>
      <c r="M1121" s="27"/>
      <c r="N1121" s="48"/>
    </row>
    <row r="1122" spans="1:14" s="7" customFormat="1" x14ac:dyDescent="0.35">
      <c r="A1122" s="113"/>
      <c r="B1122" s="27"/>
      <c r="C1122" s="48"/>
      <c r="D1122" s="27"/>
      <c r="E1122" s="38"/>
      <c r="F1122" s="27"/>
      <c r="G1122" s="27"/>
      <c r="H1122" s="99"/>
      <c r="M1122" s="27"/>
      <c r="N1122" s="48"/>
    </row>
    <row r="1123" spans="1:14" s="7" customFormat="1" x14ac:dyDescent="0.35">
      <c r="A1123" s="113"/>
      <c r="B1123" s="27"/>
      <c r="C1123" s="48"/>
      <c r="D1123" s="27"/>
      <c r="E1123" s="38"/>
      <c r="F1123" s="27"/>
      <c r="G1123" s="27"/>
      <c r="H1123" s="99"/>
      <c r="M1123" s="27"/>
      <c r="N1123" s="48"/>
    </row>
    <row r="1124" spans="1:14" s="7" customFormat="1" x14ac:dyDescent="0.35">
      <c r="A1124" s="113"/>
      <c r="B1124" s="27"/>
      <c r="C1124" s="48"/>
      <c r="D1124" s="27"/>
      <c r="E1124" s="38"/>
      <c r="F1124" s="27"/>
      <c r="G1124" s="27"/>
      <c r="H1124" s="99"/>
      <c r="M1124" s="27"/>
      <c r="N1124" s="48"/>
    </row>
    <row r="1125" spans="1:14" s="7" customFormat="1" x14ac:dyDescent="0.35">
      <c r="A1125" s="113"/>
      <c r="B1125" s="27"/>
      <c r="C1125" s="48"/>
      <c r="D1125" s="27"/>
      <c r="E1125" s="38"/>
      <c r="F1125" s="27"/>
      <c r="G1125" s="27"/>
      <c r="H1125" s="99"/>
      <c r="M1125" s="27"/>
      <c r="N1125" s="48"/>
    </row>
    <row r="1126" spans="1:14" s="7" customFormat="1" x14ac:dyDescent="0.35">
      <c r="A1126" s="113"/>
      <c r="B1126" s="27"/>
      <c r="C1126" s="48"/>
      <c r="D1126" s="27"/>
      <c r="E1126" s="38"/>
      <c r="F1126" s="27"/>
      <c r="G1126" s="27"/>
      <c r="H1126" s="99"/>
      <c r="M1126" s="27"/>
      <c r="N1126" s="48"/>
    </row>
    <row r="1127" spans="1:14" s="7" customFormat="1" x14ac:dyDescent="0.35">
      <c r="A1127" s="113"/>
      <c r="B1127" s="27"/>
      <c r="C1127" s="48"/>
      <c r="D1127" s="27"/>
      <c r="E1127" s="38"/>
      <c r="F1127" s="27"/>
      <c r="G1127" s="27"/>
      <c r="H1127" s="99"/>
      <c r="M1127" s="27"/>
      <c r="N1127" s="48"/>
    </row>
    <row r="1128" spans="1:14" s="7" customFormat="1" x14ac:dyDescent="0.35">
      <c r="A1128" s="113"/>
      <c r="B1128" s="27"/>
      <c r="C1128" s="48"/>
      <c r="D1128" s="27"/>
      <c r="E1128" s="38"/>
      <c r="F1128" s="27"/>
      <c r="G1128" s="27"/>
      <c r="H1128" s="99"/>
      <c r="M1128" s="27"/>
      <c r="N1128" s="48"/>
    </row>
    <row r="1129" spans="1:14" s="7" customFormat="1" x14ac:dyDescent="0.35">
      <c r="A1129" s="113"/>
      <c r="B1129" s="27"/>
      <c r="C1129" s="48"/>
      <c r="D1129" s="27"/>
      <c r="E1129" s="38"/>
      <c r="F1129" s="27"/>
      <c r="G1129" s="27"/>
      <c r="H1129" s="99"/>
      <c r="M1129" s="27"/>
      <c r="N1129" s="48"/>
    </row>
    <row r="1130" spans="1:14" s="7" customFormat="1" x14ac:dyDescent="0.35">
      <c r="A1130" s="113"/>
      <c r="B1130" s="27"/>
      <c r="C1130" s="48"/>
      <c r="D1130" s="27"/>
      <c r="E1130" s="38"/>
      <c r="F1130" s="27"/>
      <c r="G1130" s="27"/>
      <c r="H1130" s="99"/>
      <c r="M1130" s="27"/>
      <c r="N1130" s="48"/>
    </row>
    <row r="1131" spans="1:14" s="7" customFormat="1" x14ac:dyDescent="0.35">
      <c r="A1131" s="113"/>
      <c r="B1131" s="27"/>
      <c r="C1131" s="48"/>
      <c r="D1131" s="27"/>
      <c r="E1131" s="38"/>
      <c r="F1131" s="27"/>
      <c r="G1131" s="27"/>
      <c r="H1131" s="99"/>
      <c r="M1131" s="27"/>
      <c r="N1131" s="48"/>
    </row>
    <row r="1132" spans="1:14" s="7" customFormat="1" x14ac:dyDescent="0.35">
      <c r="A1132" s="113"/>
      <c r="B1132" s="27"/>
      <c r="C1132" s="48"/>
      <c r="D1132" s="27"/>
      <c r="E1132" s="38"/>
      <c r="F1132" s="27"/>
      <c r="G1132" s="27"/>
      <c r="H1132" s="99"/>
      <c r="M1132" s="27"/>
      <c r="N1132" s="48"/>
    </row>
    <row r="1133" spans="1:14" s="7" customFormat="1" x14ac:dyDescent="0.35">
      <c r="A1133" s="113"/>
      <c r="B1133" s="27"/>
      <c r="C1133" s="48"/>
      <c r="D1133" s="27"/>
      <c r="E1133" s="38"/>
      <c r="F1133" s="27"/>
      <c r="G1133" s="27"/>
      <c r="H1133" s="99"/>
      <c r="M1133" s="27"/>
      <c r="N1133" s="48"/>
    </row>
    <row r="1134" spans="1:14" s="7" customFormat="1" x14ac:dyDescent="0.35">
      <c r="A1134" s="113"/>
      <c r="B1134" s="27"/>
      <c r="C1134" s="48"/>
      <c r="D1134" s="27"/>
      <c r="E1134" s="38"/>
      <c r="F1134" s="27"/>
      <c r="G1134" s="27"/>
      <c r="H1134" s="99"/>
      <c r="M1134" s="27"/>
      <c r="N1134" s="48"/>
    </row>
    <row r="1135" spans="1:14" s="7" customFormat="1" x14ac:dyDescent="0.35">
      <c r="A1135" s="113"/>
      <c r="B1135" s="27"/>
      <c r="C1135" s="48"/>
      <c r="D1135" s="27"/>
      <c r="E1135" s="38"/>
      <c r="F1135" s="27"/>
      <c r="G1135" s="27"/>
      <c r="H1135" s="99"/>
      <c r="M1135" s="27"/>
      <c r="N1135" s="48"/>
    </row>
    <row r="1136" spans="1:14" s="7" customFormat="1" x14ac:dyDescent="0.35">
      <c r="A1136" s="113"/>
      <c r="B1136" s="27"/>
      <c r="C1136" s="48"/>
      <c r="D1136" s="27"/>
      <c r="E1136" s="38"/>
      <c r="F1136" s="27"/>
      <c r="G1136" s="27"/>
      <c r="H1136" s="99"/>
      <c r="M1136" s="27"/>
      <c r="N1136" s="48"/>
    </row>
    <row r="1137" spans="1:14" s="7" customFormat="1" x14ac:dyDescent="0.35">
      <c r="A1137" s="113"/>
      <c r="B1137" s="27"/>
      <c r="C1137" s="48"/>
      <c r="D1137" s="27"/>
      <c r="E1137" s="38"/>
      <c r="F1137" s="27"/>
      <c r="G1137" s="27"/>
      <c r="H1137" s="99"/>
      <c r="M1137" s="27"/>
      <c r="N1137" s="48"/>
    </row>
    <row r="1138" spans="1:14" s="7" customFormat="1" x14ac:dyDescent="0.35">
      <c r="A1138" s="113"/>
      <c r="B1138" s="27"/>
      <c r="C1138" s="48"/>
      <c r="D1138" s="27"/>
      <c r="E1138" s="38"/>
      <c r="F1138" s="27"/>
      <c r="G1138" s="27"/>
      <c r="H1138" s="99"/>
      <c r="M1138" s="27"/>
      <c r="N1138" s="48"/>
    </row>
    <row r="1139" spans="1:14" s="7" customFormat="1" x14ac:dyDescent="0.35">
      <c r="A1139" s="113"/>
      <c r="B1139" s="27"/>
      <c r="C1139" s="48"/>
      <c r="D1139" s="27"/>
      <c r="E1139" s="38"/>
      <c r="F1139" s="27"/>
      <c r="G1139" s="27"/>
      <c r="H1139" s="99"/>
      <c r="M1139" s="27"/>
      <c r="N1139" s="48"/>
    </row>
    <row r="1140" spans="1:14" s="7" customFormat="1" x14ac:dyDescent="0.35">
      <c r="A1140" s="113"/>
      <c r="B1140" s="27"/>
      <c r="C1140" s="48"/>
      <c r="D1140" s="27"/>
      <c r="E1140" s="38"/>
      <c r="F1140" s="27"/>
      <c r="G1140" s="27"/>
      <c r="H1140" s="99"/>
      <c r="M1140" s="27"/>
      <c r="N1140" s="48"/>
    </row>
    <row r="1141" spans="1:14" s="7" customFormat="1" x14ac:dyDescent="0.35">
      <c r="A1141" s="113"/>
      <c r="B1141" s="27"/>
      <c r="C1141" s="48"/>
      <c r="D1141" s="27"/>
      <c r="E1141" s="38"/>
      <c r="F1141" s="27"/>
      <c r="G1141" s="27"/>
      <c r="H1141" s="99"/>
      <c r="M1141" s="27"/>
      <c r="N1141" s="48"/>
    </row>
    <row r="1142" spans="1:14" s="7" customFormat="1" x14ac:dyDescent="0.35">
      <c r="A1142" s="113"/>
      <c r="B1142" s="27"/>
      <c r="C1142" s="48"/>
      <c r="D1142" s="27"/>
      <c r="E1142" s="38"/>
      <c r="F1142" s="27"/>
      <c r="G1142" s="27"/>
      <c r="H1142" s="99"/>
      <c r="M1142" s="27"/>
      <c r="N1142" s="48"/>
    </row>
    <row r="1143" spans="1:14" s="7" customFormat="1" x14ac:dyDescent="0.35">
      <c r="A1143" s="113"/>
      <c r="B1143" s="27"/>
      <c r="C1143" s="48"/>
      <c r="D1143" s="27"/>
      <c r="E1143" s="38"/>
      <c r="F1143" s="27"/>
      <c r="G1143" s="27"/>
      <c r="H1143" s="99"/>
      <c r="M1143" s="27"/>
      <c r="N1143" s="48"/>
    </row>
    <row r="1144" spans="1:14" s="7" customFormat="1" x14ac:dyDescent="0.35">
      <c r="A1144" s="113"/>
      <c r="B1144" s="27"/>
      <c r="C1144" s="48"/>
      <c r="D1144" s="27"/>
      <c r="E1144" s="38"/>
      <c r="F1144" s="27"/>
      <c r="G1144" s="27"/>
      <c r="H1144" s="99"/>
      <c r="M1144" s="27"/>
      <c r="N1144" s="48"/>
    </row>
    <row r="1145" spans="1:14" s="7" customFormat="1" x14ac:dyDescent="0.35">
      <c r="A1145" s="113"/>
      <c r="B1145" s="27"/>
      <c r="C1145" s="48"/>
      <c r="D1145" s="27"/>
      <c r="E1145" s="38"/>
      <c r="F1145" s="27"/>
      <c r="G1145" s="27"/>
      <c r="H1145" s="99"/>
      <c r="M1145" s="27"/>
      <c r="N1145" s="48"/>
    </row>
    <row r="1146" spans="1:14" s="7" customFormat="1" x14ac:dyDescent="0.35">
      <c r="A1146" s="113"/>
      <c r="B1146" s="27"/>
      <c r="C1146" s="48"/>
      <c r="D1146" s="27"/>
      <c r="E1146" s="38"/>
      <c r="F1146" s="27"/>
      <c r="G1146" s="27"/>
      <c r="H1146" s="99"/>
      <c r="M1146" s="27"/>
      <c r="N1146" s="48"/>
    </row>
    <row r="1147" spans="1:14" s="7" customFormat="1" x14ac:dyDescent="0.35">
      <c r="A1147" s="113"/>
      <c r="B1147" s="27"/>
      <c r="C1147" s="48"/>
      <c r="D1147" s="27"/>
      <c r="E1147" s="38"/>
      <c r="F1147" s="27"/>
      <c r="G1147" s="27"/>
      <c r="H1147" s="99"/>
      <c r="M1147" s="27"/>
      <c r="N1147" s="48"/>
    </row>
    <row r="1148" spans="1:14" s="7" customFormat="1" x14ac:dyDescent="0.35">
      <c r="A1148" s="113"/>
      <c r="B1148" s="27"/>
      <c r="C1148" s="48"/>
      <c r="D1148" s="27"/>
      <c r="E1148" s="38"/>
      <c r="F1148" s="27"/>
      <c r="G1148" s="27"/>
      <c r="H1148" s="99"/>
      <c r="M1148" s="27"/>
      <c r="N1148" s="48"/>
    </row>
    <row r="1149" spans="1:14" s="7" customFormat="1" x14ac:dyDescent="0.35">
      <c r="A1149" s="113"/>
      <c r="B1149" s="27"/>
      <c r="C1149" s="48"/>
      <c r="D1149" s="27"/>
      <c r="E1149" s="38"/>
      <c r="F1149" s="27"/>
      <c r="G1149" s="27"/>
      <c r="H1149" s="99"/>
      <c r="M1149" s="27"/>
      <c r="N1149" s="48"/>
    </row>
    <row r="1150" spans="1:14" s="7" customFormat="1" x14ac:dyDescent="0.35">
      <c r="A1150" s="113"/>
      <c r="B1150" s="27"/>
      <c r="C1150" s="48"/>
      <c r="D1150" s="27"/>
      <c r="E1150" s="38"/>
      <c r="F1150" s="27"/>
      <c r="G1150" s="27"/>
      <c r="H1150" s="99"/>
      <c r="M1150" s="27"/>
      <c r="N1150" s="48"/>
    </row>
    <row r="1151" spans="1:14" s="7" customFormat="1" x14ac:dyDescent="0.35">
      <c r="A1151" s="113"/>
      <c r="B1151" s="27"/>
      <c r="C1151" s="48"/>
      <c r="D1151" s="27"/>
      <c r="E1151" s="38"/>
      <c r="F1151" s="27"/>
      <c r="G1151" s="27"/>
      <c r="H1151" s="99"/>
      <c r="M1151" s="27"/>
      <c r="N1151" s="48"/>
    </row>
    <row r="1152" spans="1:14" s="7" customFormat="1" x14ac:dyDescent="0.35">
      <c r="A1152" s="113"/>
      <c r="B1152" s="27"/>
      <c r="C1152" s="48"/>
      <c r="D1152" s="27"/>
      <c r="E1152" s="38"/>
      <c r="F1152" s="27"/>
      <c r="G1152" s="27"/>
      <c r="H1152" s="99"/>
      <c r="M1152" s="27"/>
      <c r="N1152" s="48"/>
    </row>
    <row r="1153" spans="1:14" s="7" customFormat="1" x14ac:dyDescent="0.35">
      <c r="A1153" s="113"/>
      <c r="B1153" s="27"/>
      <c r="C1153" s="48"/>
      <c r="D1153" s="27"/>
      <c r="E1153" s="38"/>
      <c r="F1153" s="27"/>
      <c r="G1153" s="27"/>
      <c r="H1153" s="99"/>
      <c r="M1153" s="27"/>
      <c r="N1153" s="48"/>
    </row>
    <row r="1154" spans="1:14" s="7" customFormat="1" x14ac:dyDescent="0.35">
      <c r="A1154" s="113"/>
      <c r="B1154" s="27"/>
      <c r="C1154" s="48"/>
      <c r="D1154" s="27"/>
      <c r="E1154" s="38"/>
      <c r="F1154" s="27"/>
      <c r="G1154" s="27"/>
      <c r="H1154" s="99"/>
      <c r="M1154" s="27"/>
      <c r="N1154" s="48"/>
    </row>
    <row r="1155" spans="1:14" s="7" customFormat="1" x14ac:dyDescent="0.35">
      <c r="A1155" s="113"/>
      <c r="B1155" s="27"/>
      <c r="C1155" s="48"/>
      <c r="D1155" s="27"/>
      <c r="E1155" s="38"/>
      <c r="F1155" s="27"/>
      <c r="G1155" s="27"/>
      <c r="H1155" s="99"/>
      <c r="M1155" s="27"/>
      <c r="N1155" s="48"/>
    </row>
    <row r="1156" spans="1:14" s="7" customFormat="1" x14ac:dyDescent="0.35">
      <c r="A1156" s="113"/>
      <c r="B1156" s="27"/>
      <c r="C1156" s="48"/>
      <c r="D1156" s="27"/>
      <c r="E1156" s="38"/>
      <c r="F1156" s="27"/>
      <c r="G1156" s="27"/>
      <c r="H1156" s="99"/>
      <c r="M1156" s="27"/>
      <c r="N1156" s="48"/>
    </row>
    <row r="1157" spans="1:14" s="7" customFormat="1" x14ac:dyDescent="0.35">
      <c r="A1157" s="113"/>
      <c r="B1157" s="27"/>
      <c r="C1157" s="48"/>
      <c r="D1157" s="27"/>
      <c r="E1157" s="38"/>
      <c r="F1157" s="27"/>
      <c r="G1157" s="27"/>
      <c r="H1157" s="99"/>
      <c r="M1157" s="27"/>
      <c r="N1157" s="48"/>
    </row>
    <row r="1158" spans="1:14" s="7" customFormat="1" x14ac:dyDescent="0.35">
      <c r="A1158" s="113"/>
      <c r="B1158" s="27"/>
      <c r="C1158" s="48"/>
      <c r="D1158" s="27"/>
      <c r="E1158" s="38"/>
      <c r="F1158" s="27"/>
      <c r="G1158" s="27"/>
      <c r="H1158" s="99"/>
      <c r="M1158" s="27"/>
      <c r="N1158" s="48"/>
    </row>
    <row r="1159" spans="1:14" s="7" customFormat="1" x14ac:dyDescent="0.35">
      <c r="A1159" s="113"/>
      <c r="B1159" s="27"/>
      <c r="C1159" s="48"/>
      <c r="D1159" s="27"/>
      <c r="E1159" s="38"/>
      <c r="F1159" s="27"/>
      <c r="G1159" s="27"/>
      <c r="H1159" s="99"/>
      <c r="M1159" s="27"/>
      <c r="N1159" s="48"/>
    </row>
    <row r="1160" spans="1:14" s="7" customFormat="1" x14ac:dyDescent="0.35">
      <c r="A1160" s="113"/>
      <c r="B1160" s="27"/>
      <c r="C1160" s="48"/>
      <c r="D1160" s="27"/>
      <c r="E1160" s="38"/>
      <c r="F1160" s="27"/>
      <c r="G1160" s="27"/>
      <c r="H1160" s="99"/>
      <c r="M1160" s="27"/>
      <c r="N1160" s="48"/>
    </row>
    <row r="1161" spans="1:14" s="7" customFormat="1" x14ac:dyDescent="0.35">
      <c r="A1161" s="113"/>
      <c r="B1161" s="27"/>
      <c r="C1161" s="48"/>
      <c r="D1161" s="27"/>
      <c r="E1161" s="38"/>
      <c r="F1161" s="27"/>
      <c r="G1161" s="27"/>
      <c r="H1161" s="99"/>
      <c r="M1161" s="27"/>
      <c r="N1161" s="48"/>
    </row>
    <row r="1162" spans="1:14" s="7" customFormat="1" x14ac:dyDescent="0.35">
      <c r="A1162" s="113"/>
      <c r="B1162" s="27"/>
      <c r="C1162" s="48"/>
      <c r="D1162" s="27"/>
      <c r="E1162" s="38"/>
      <c r="F1162" s="27"/>
      <c r="G1162" s="27"/>
      <c r="H1162" s="99"/>
      <c r="M1162" s="27"/>
      <c r="N1162" s="48"/>
    </row>
    <row r="1163" spans="1:14" s="7" customFormat="1" x14ac:dyDescent="0.35">
      <c r="A1163" s="113"/>
      <c r="B1163" s="27"/>
      <c r="C1163" s="48"/>
      <c r="D1163" s="27"/>
      <c r="E1163" s="38"/>
      <c r="F1163" s="27"/>
      <c r="G1163" s="27"/>
      <c r="H1163" s="99"/>
      <c r="M1163" s="27"/>
      <c r="N1163" s="48"/>
    </row>
    <row r="1164" spans="1:14" s="7" customFormat="1" x14ac:dyDescent="0.35">
      <c r="A1164" s="113"/>
      <c r="B1164" s="27"/>
      <c r="C1164" s="48"/>
      <c r="D1164" s="27"/>
      <c r="E1164" s="38"/>
      <c r="F1164" s="27"/>
      <c r="G1164" s="27"/>
      <c r="H1164" s="99"/>
      <c r="M1164" s="27"/>
      <c r="N1164" s="48"/>
    </row>
    <row r="1165" spans="1:14" s="7" customFormat="1" x14ac:dyDescent="0.35">
      <c r="A1165" s="113"/>
      <c r="B1165" s="27"/>
      <c r="C1165" s="48"/>
      <c r="D1165" s="27"/>
      <c r="E1165" s="38"/>
      <c r="F1165" s="27"/>
      <c r="G1165" s="27"/>
      <c r="H1165" s="99"/>
      <c r="M1165" s="27"/>
      <c r="N1165" s="48"/>
    </row>
    <row r="1166" spans="1:14" s="7" customFormat="1" x14ac:dyDescent="0.35">
      <c r="A1166" s="113"/>
      <c r="B1166" s="27"/>
      <c r="C1166" s="48"/>
      <c r="D1166" s="27"/>
      <c r="E1166" s="38"/>
      <c r="F1166" s="27"/>
      <c r="G1166" s="27"/>
      <c r="H1166" s="99"/>
      <c r="M1166" s="27"/>
      <c r="N1166" s="48"/>
    </row>
    <row r="1167" spans="1:14" s="7" customFormat="1" x14ac:dyDescent="0.35">
      <c r="A1167" s="113"/>
      <c r="B1167" s="27"/>
      <c r="C1167" s="48"/>
      <c r="D1167" s="27"/>
      <c r="E1167" s="38"/>
      <c r="F1167" s="27"/>
      <c r="G1167" s="27"/>
      <c r="H1167" s="99"/>
      <c r="M1167" s="27"/>
      <c r="N1167" s="48"/>
    </row>
    <row r="1168" spans="1:14" s="7" customFormat="1" x14ac:dyDescent="0.35">
      <c r="A1168" s="113"/>
      <c r="B1168" s="27"/>
      <c r="C1168" s="48"/>
      <c r="D1168" s="27"/>
      <c r="E1168" s="38"/>
      <c r="F1168" s="27"/>
      <c r="G1168" s="27"/>
      <c r="H1168" s="99"/>
      <c r="M1168" s="27"/>
      <c r="N1168" s="48"/>
    </row>
    <row r="1169" spans="1:14" s="7" customFormat="1" x14ac:dyDescent="0.35">
      <c r="A1169" s="113"/>
      <c r="B1169" s="27"/>
      <c r="C1169" s="48"/>
      <c r="D1169" s="27"/>
      <c r="E1169" s="38"/>
      <c r="F1169" s="27"/>
      <c r="G1169" s="27"/>
      <c r="H1169" s="99"/>
      <c r="M1169" s="27"/>
      <c r="N1169" s="48"/>
    </row>
    <row r="1170" spans="1:14" s="7" customFormat="1" x14ac:dyDescent="0.35">
      <c r="A1170" s="113"/>
      <c r="B1170" s="27"/>
      <c r="C1170" s="48"/>
      <c r="D1170" s="27"/>
      <c r="E1170" s="38"/>
      <c r="F1170" s="27"/>
      <c r="G1170" s="27"/>
      <c r="H1170" s="99"/>
      <c r="M1170" s="27"/>
      <c r="N1170" s="48"/>
    </row>
    <row r="1171" spans="1:14" s="7" customFormat="1" x14ac:dyDescent="0.35">
      <c r="A1171" s="113"/>
      <c r="B1171" s="27"/>
      <c r="C1171" s="48"/>
      <c r="D1171" s="27"/>
      <c r="E1171" s="38"/>
      <c r="F1171" s="27"/>
      <c r="G1171" s="27"/>
      <c r="H1171" s="99"/>
      <c r="M1171" s="27"/>
      <c r="N1171" s="48"/>
    </row>
    <row r="1172" spans="1:14" s="7" customFormat="1" x14ac:dyDescent="0.35">
      <c r="A1172" s="113"/>
      <c r="B1172" s="27"/>
      <c r="C1172" s="48"/>
      <c r="D1172" s="27"/>
      <c r="E1172" s="38"/>
      <c r="F1172" s="27"/>
      <c r="G1172" s="27"/>
      <c r="H1172" s="99"/>
      <c r="M1172" s="27"/>
      <c r="N1172" s="48"/>
    </row>
    <row r="1173" spans="1:14" s="7" customFormat="1" x14ac:dyDescent="0.35">
      <c r="A1173" s="113"/>
      <c r="B1173" s="27"/>
      <c r="C1173" s="48"/>
      <c r="D1173" s="27"/>
      <c r="E1173" s="38"/>
      <c r="F1173" s="27"/>
      <c r="G1173" s="27"/>
      <c r="H1173" s="99"/>
      <c r="M1173" s="27"/>
      <c r="N1173" s="48"/>
    </row>
    <row r="1174" spans="1:14" s="7" customFormat="1" x14ac:dyDescent="0.35">
      <c r="A1174" s="113"/>
      <c r="B1174" s="27"/>
      <c r="C1174" s="48"/>
      <c r="D1174" s="27"/>
      <c r="E1174" s="38"/>
      <c r="F1174" s="27"/>
      <c r="G1174" s="27"/>
      <c r="H1174" s="99"/>
      <c r="M1174" s="27"/>
      <c r="N1174" s="48"/>
    </row>
    <row r="1175" spans="1:14" s="7" customFormat="1" x14ac:dyDescent="0.35">
      <c r="A1175" s="113"/>
      <c r="B1175" s="27"/>
      <c r="C1175" s="48"/>
      <c r="D1175" s="27"/>
      <c r="E1175" s="38"/>
      <c r="F1175" s="27"/>
      <c r="G1175" s="27"/>
      <c r="H1175" s="99"/>
      <c r="M1175" s="27"/>
      <c r="N1175" s="48"/>
    </row>
    <row r="1176" spans="1:14" s="7" customFormat="1" x14ac:dyDescent="0.35">
      <c r="A1176" s="113"/>
      <c r="B1176" s="27"/>
      <c r="C1176" s="48"/>
      <c r="D1176" s="27"/>
      <c r="E1176" s="38"/>
      <c r="F1176" s="27"/>
      <c r="G1176" s="27"/>
      <c r="H1176" s="99"/>
      <c r="M1176" s="27"/>
      <c r="N1176" s="48"/>
    </row>
    <row r="1177" spans="1:14" s="7" customFormat="1" x14ac:dyDescent="0.35">
      <c r="A1177" s="113"/>
      <c r="B1177" s="27"/>
      <c r="C1177" s="48"/>
      <c r="D1177" s="27"/>
      <c r="E1177" s="38"/>
      <c r="F1177" s="27"/>
      <c r="G1177" s="27"/>
      <c r="H1177" s="99"/>
      <c r="M1177" s="27"/>
      <c r="N1177" s="48"/>
    </row>
    <row r="1178" spans="1:14" s="7" customFormat="1" x14ac:dyDescent="0.35">
      <c r="A1178" s="113"/>
      <c r="B1178" s="27"/>
      <c r="C1178" s="48"/>
      <c r="D1178" s="27"/>
      <c r="E1178" s="38"/>
      <c r="F1178" s="27"/>
      <c r="G1178" s="27"/>
      <c r="H1178" s="99"/>
      <c r="M1178" s="27"/>
      <c r="N1178" s="48"/>
    </row>
    <row r="1179" spans="1:14" s="7" customFormat="1" x14ac:dyDescent="0.35">
      <c r="A1179" s="113"/>
      <c r="B1179" s="27"/>
      <c r="C1179" s="48"/>
      <c r="D1179" s="27"/>
      <c r="E1179" s="38"/>
      <c r="F1179" s="27"/>
      <c r="G1179" s="27"/>
      <c r="H1179" s="99"/>
      <c r="M1179" s="27"/>
      <c r="N1179" s="48"/>
    </row>
    <row r="1180" spans="1:14" s="7" customFormat="1" x14ac:dyDescent="0.35">
      <c r="A1180" s="113"/>
      <c r="B1180" s="27"/>
      <c r="C1180" s="48"/>
      <c r="D1180" s="27"/>
      <c r="E1180" s="38"/>
      <c r="F1180" s="27"/>
      <c r="G1180" s="27"/>
      <c r="H1180" s="99"/>
      <c r="M1180" s="27"/>
      <c r="N1180" s="48"/>
    </row>
    <row r="1181" spans="1:14" s="7" customFormat="1" x14ac:dyDescent="0.35">
      <c r="A1181" s="113"/>
      <c r="B1181" s="27"/>
      <c r="C1181" s="48"/>
      <c r="D1181" s="27"/>
      <c r="E1181" s="38"/>
      <c r="F1181" s="27"/>
      <c r="G1181" s="27"/>
      <c r="H1181" s="99"/>
      <c r="M1181" s="27"/>
      <c r="N1181" s="48"/>
    </row>
    <row r="1182" spans="1:14" s="7" customFormat="1" x14ac:dyDescent="0.35">
      <c r="A1182" s="113"/>
      <c r="B1182" s="27"/>
      <c r="C1182" s="48"/>
      <c r="D1182" s="27"/>
      <c r="E1182" s="38"/>
      <c r="F1182" s="27"/>
      <c r="G1182" s="27"/>
      <c r="H1182" s="99"/>
      <c r="M1182" s="27"/>
      <c r="N1182" s="48"/>
    </row>
    <row r="1183" spans="1:14" s="7" customFormat="1" x14ac:dyDescent="0.35">
      <c r="A1183" s="113"/>
      <c r="B1183" s="27"/>
      <c r="C1183" s="48"/>
      <c r="D1183" s="27"/>
      <c r="E1183" s="38"/>
      <c r="F1183" s="27"/>
      <c r="G1183" s="27"/>
      <c r="H1183" s="99"/>
      <c r="M1183" s="27"/>
      <c r="N1183" s="48"/>
    </row>
    <row r="1184" spans="1:14" s="7" customFormat="1" x14ac:dyDescent="0.35">
      <c r="A1184" s="113"/>
      <c r="B1184" s="27"/>
      <c r="C1184" s="48"/>
      <c r="D1184" s="27"/>
      <c r="E1184" s="38"/>
      <c r="F1184" s="27"/>
      <c r="G1184" s="27"/>
      <c r="H1184" s="99"/>
      <c r="M1184" s="27"/>
      <c r="N1184" s="48"/>
    </row>
    <row r="1185" spans="1:14" s="7" customFormat="1" x14ac:dyDescent="0.35">
      <c r="A1185" s="113"/>
      <c r="B1185" s="27"/>
      <c r="C1185" s="48"/>
      <c r="D1185" s="27"/>
      <c r="E1185" s="38"/>
      <c r="F1185" s="27"/>
      <c r="G1185" s="27"/>
      <c r="H1185" s="99"/>
      <c r="M1185" s="27"/>
      <c r="N1185" s="48"/>
    </row>
    <row r="1186" spans="1:14" s="7" customFormat="1" x14ac:dyDescent="0.35">
      <c r="A1186" s="113"/>
      <c r="B1186" s="27"/>
      <c r="C1186" s="48"/>
      <c r="D1186" s="27"/>
      <c r="E1186" s="38"/>
      <c r="F1186" s="27"/>
      <c r="G1186" s="27"/>
      <c r="H1186" s="99"/>
      <c r="M1186" s="27"/>
      <c r="N1186" s="48"/>
    </row>
    <row r="1187" spans="1:14" s="7" customFormat="1" x14ac:dyDescent="0.35">
      <c r="A1187" s="113"/>
      <c r="B1187" s="27"/>
      <c r="C1187" s="48"/>
      <c r="D1187" s="27"/>
      <c r="E1187" s="38"/>
      <c r="F1187" s="27"/>
      <c r="G1187" s="27"/>
      <c r="H1187" s="99"/>
      <c r="M1187" s="27"/>
      <c r="N1187" s="48"/>
    </row>
    <row r="1188" spans="1:14" s="7" customFormat="1" x14ac:dyDescent="0.35">
      <c r="A1188" s="113"/>
      <c r="B1188" s="27"/>
      <c r="C1188" s="48"/>
      <c r="D1188" s="27"/>
      <c r="E1188" s="38"/>
      <c r="F1188" s="27"/>
      <c r="G1188" s="27"/>
      <c r="H1188" s="99"/>
      <c r="M1188" s="27"/>
      <c r="N1188" s="48"/>
    </row>
    <row r="1189" spans="1:14" s="7" customFormat="1" x14ac:dyDescent="0.35">
      <c r="A1189" s="113"/>
      <c r="B1189" s="27"/>
      <c r="C1189" s="48"/>
      <c r="D1189" s="27"/>
      <c r="E1189" s="38"/>
      <c r="F1189" s="27"/>
      <c r="G1189" s="27"/>
      <c r="H1189" s="99"/>
      <c r="M1189" s="27"/>
      <c r="N1189" s="48"/>
    </row>
    <row r="1190" spans="1:14" s="7" customFormat="1" x14ac:dyDescent="0.35">
      <c r="A1190" s="113"/>
      <c r="B1190" s="27"/>
      <c r="C1190" s="48"/>
      <c r="D1190" s="27"/>
      <c r="E1190" s="38"/>
      <c r="F1190" s="27"/>
      <c r="G1190" s="27"/>
      <c r="H1190" s="99"/>
      <c r="M1190" s="27"/>
      <c r="N1190" s="48"/>
    </row>
    <row r="1191" spans="1:14" s="7" customFormat="1" x14ac:dyDescent="0.35">
      <c r="A1191" s="113"/>
      <c r="B1191" s="27"/>
      <c r="C1191" s="48"/>
      <c r="D1191" s="27"/>
      <c r="E1191" s="38"/>
      <c r="F1191" s="27"/>
      <c r="G1191" s="27"/>
      <c r="H1191" s="99"/>
      <c r="M1191" s="27"/>
      <c r="N1191" s="48"/>
    </row>
    <row r="1192" spans="1:14" s="7" customFormat="1" x14ac:dyDescent="0.35">
      <c r="A1192" s="113"/>
      <c r="B1192" s="27"/>
      <c r="C1192" s="48"/>
      <c r="D1192" s="27"/>
      <c r="E1192" s="38"/>
      <c r="F1192" s="27"/>
      <c r="G1192" s="27"/>
      <c r="H1192" s="99"/>
      <c r="M1192" s="27"/>
      <c r="N1192" s="48"/>
    </row>
    <row r="1193" spans="1:14" s="7" customFormat="1" x14ac:dyDescent="0.35">
      <c r="A1193" s="113"/>
      <c r="B1193" s="27"/>
      <c r="C1193" s="48"/>
      <c r="D1193" s="27"/>
      <c r="E1193" s="38"/>
      <c r="F1193" s="27"/>
      <c r="G1193" s="27"/>
      <c r="H1193" s="99"/>
      <c r="M1193" s="27"/>
      <c r="N1193" s="48"/>
    </row>
    <row r="1194" spans="1:14" s="7" customFormat="1" x14ac:dyDescent="0.35">
      <c r="A1194" s="113"/>
      <c r="B1194" s="27"/>
      <c r="C1194" s="48"/>
      <c r="D1194" s="27"/>
      <c r="E1194" s="38"/>
      <c r="F1194" s="27"/>
      <c r="G1194" s="27"/>
      <c r="H1194" s="99"/>
      <c r="M1194" s="27"/>
      <c r="N1194" s="48"/>
    </row>
    <row r="1195" spans="1:14" s="7" customFormat="1" x14ac:dyDescent="0.35">
      <c r="A1195" s="113"/>
      <c r="B1195" s="27"/>
      <c r="C1195" s="48"/>
      <c r="D1195" s="27"/>
      <c r="E1195" s="38"/>
      <c r="F1195" s="27"/>
      <c r="G1195" s="27"/>
      <c r="H1195" s="99"/>
      <c r="M1195" s="27"/>
      <c r="N1195" s="48"/>
    </row>
    <row r="1196" spans="1:14" s="7" customFormat="1" x14ac:dyDescent="0.35">
      <c r="A1196" s="113"/>
      <c r="B1196" s="27"/>
      <c r="C1196" s="48"/>
      <c r="D1196" s="27"/>
      <c r="E1196" s="38"/>
      <c r="F1196" s="27"/>
      <c r="G1196" s="27"/>
      <c r="H1196" s="99"/>
      <c r="M1196" s="27"/>
      <c r="N1196" s="48"/>
    </row>
    <row r="1197" spans="1:14" s="7" customFormat="1" x14ac:dyDescent="0.35">
      <c r="A1197" s="113"/>
      <c r="B1197" s="27"/>
      <c r="C1197" s="48"/>
      <c r="D1197" s="27"/>
      <c r="E1197" s="38"/>
      <c r="F1197" s="27"/>
      <c r="G1197" s="27"/>
      <c r="H1197" s="99"/>
      <c r="M1197" s="27"/>
      <c r="N1197" s="48"/>
    </row>
    <row r="1198" spans="1:14" s="7" customFormat="1" x14ac:dyDescent="0.35">
      <c r="A1198" s="113"/>
      <c r="B1198" s="27"/>
      <c r="C1198" s="48"/>
      <c r="D1198" s="27"/>
      <c r="E1198" s="38"/>
      <c r="F1198" s="27"/>
      <c r="G1198" s="27"/>
      <c r="H1198" s="99"/>
      <c r="M1198" s="27"/>
      <c r="N1198" s="48"/>
    </row>
    <row r="1199" spans="1:14" s="7" customFormat="1" x14ac:dyDescent="0.35">
      <c r="A1199" s="113"/>
      <c r="B1199" s="27"/>
      <c r="C1199" s="48"/>
      <c r="D1199" s="27"/>
      <c r="E1199" s="38"/>
      <c r="F1199" s="27"/>
      <c r="G1199" s="27"/>
      <c r="H1199" s="99"/>
      <c r="M1199" s="27"/>
      <c r="N1199" s="48"/>
    </row>
    <row r="1200" spans="1:14" s="7" customFormat="1" x14ac:dyDescent="0.35">
      <c r="A1200" s="113"/>
      <c r="B1200" s="27"/>
      <c r="C1200" s="48"/>
      <c r="D1200" s="27"/>
      <c r="E1200" s="38"/>
      <c r="F1200" s="27"/>
      <c r="G1200" s="27"/>
      <c r="H1200" s="99"/>
      <c r="M1200" s="27"/>
      <c r="N1200" s="48"/>
    </row>
    <row r="1201" spans="1:14" s="7" customFormat="1" x14ac:dyDescent="0.35">
      <c r="A1201" s="113"/>
      <c r="B1201" s="27"/>
      <c r="C1201" s="48"/>
      <c r="D1201" s="27"/>
      <c r="E1201" s="38"/>
      <c r="F1201" s="27"/>
      <c r="G1201" s="27"/>
      <c r="H1201" s="99"/>
      <c r="M1201" s="27"/>
      <c r="N1201" s="48"/>
    </row>
    <row r="1202" spans="1:14" s="7" customFormat="1" x14ac:dyDescent="0.35">
      <c r="A1202" s="113"/>
      <c r="B1202" s="27"/>
      <c r="C1202" s="48"/>
      <c r="D1202" s="27"/>
      <c r="E1202" s="38"/>
      <c r="F1202" s="27"/>
      <c r="G1202" s="27"/>
      <c r="H1202" s="99"/>
      <c r="M1202" s="27"/>
      <c r="N1202" s="48"/>
    </row>
    <row r="1203" spans="1:14" s="7" customFormat="1" x14ac:dyDescent="0.35">
      <c r="A1203" s="113"/>
      <c r="B1203" s="27"/>
      <c r="C1203" s="48"/>
      <c r="D1203" s="27"/>
      <c r="E1203" s="38"/>
      <c r="F1203" s="27"/>
      <c r="G1203" s="27"/>
      <c r="H1203" s="99"/>
      <c r="M1203" s="27"/>
      <c r="N1203" s="48"/>
    </row>
    <row r="1204" spans="1:14" s="7" customFormat="1" x14ac:dyDescent="0.35">
      <c r="A1204" s="113"/>
      <c r="B1204" s="27"/>
      <c r="C1204" s="48"/>
      <c r="D1204" s="27"/>
      <c r="E1204" s="38"/>
      <c r="F1204" s="27"/>
      <c r="G1204" s="27"/>
      <c r="H1204" s="99"/>
      <c r="M1204" s="27"/>
      <c r="N1204" s="48"/>
    </row>
    <row r="1205" spans="1:14" s="7" customFormat="1" x14ac:dyDescent="0.35">
      <c r="A1205" s="113"/>
      <c r="B1205" s="27"/>
      <c r="C1205" s="48"/>
      <c r="D1205" s="27"/>
      <c r="E1205" s="38"/>
      <c r="F1205" s="27"/>
      <c r="G1205" s="27"/>
      <c r="H1205" s="99"/>
      <c r="M1205" s="27"/>
      <c r="N1205" s="48"/>
    </row>
    <row r="1206" spans="1:14" s="7" customFormat="1" x14ac:dyDescent="0.35">
      <c r="A1206" s="113"/>
      <c r="B1206" s="27"/>
      <c r="C1206" s="48"/>
      <c r="D1206" s="27"/>
      <c r="E1206" s="38"/>
      <c r="F1206" s="27"/>
      <c r="G1206" s="27"/>
      <c r="H1206" s="99"/>
      <c r="M1206" s="27"/>
      <c r="N1206" s="48"/>
    </row>
    <row r="1207" spans="1:14" s="7" customFormat="1" x14ac:dyDescent="0.35">
      <c r="A1207" s="113"/>
      <c r="B1207" s="27"/>
      <c r="C1207" s="48"/>
      <c r="D1207" s="27"/>
      <c r="E1207" s="38"/>
      <c r="F1207" s="27"/>
      <c r="G1207" s="27"/>
      <c r="H1207" s="99"/>
      <c r="M1207" s="27"/>
      <c r="N1207" s="48"/>
    </row>
    <row r="1208" spans="1:14" s="7" customFormat="1" x14ac:dyDescent="0.35">
      <c r="A1208" s="113"/>
      <c r="B1208" s="27"/>
      <c r="C1208" s="48"/>
      <c r="D1208" s="27"/>
      <c r="E1208" s="38"/>
      <c r="F1208" s="27"/>
      <c r="G1208" s="27"/>
      <c r="H1208" s="99"/>
      <c r="M1208" s="27"/>
      <c r="N1208" s="48"/>
    </row>
    <row r="1209" spans="1:14" s="7" customFormat="1" x14ac:dyDescent="0.35">
      <c r="A1209" s="113"/>
      <c r="B1209" s="27"/>
      <c r="C1209" s="48"/>
      <c r="D1209" s="27"/>
      <c r="E1209" s="38"/>
      <c r="F1209" s="27"/>
      <c r="G1209" s="27"/>
      <c r="H1209" s="99"/>
      <c r="M1209" s="27"/>
      <c r="N1209" s="48"/>
    </row>
    <row r="1210" spans="1:14" s="7" customFormat="1" x14ac:dyDescent="0.35">
      <c r="A1210" s="113"/>
      <c r="B1210" s="27"/>
      <c r="C1210" s="48"/>
      <c r="D1210" s="27"/>
      <c r="E1210" s="38"/>
      <c r="F1210" s="27"/>
      <c r="G1210" s="27"/>
      <c r="H1210" s="99"/>
      <c r="M1210" s="27"/>
      <c r="N1210" s="48"/>
    </row>
    <row r="1211" spans="1:14" s="7" customFormat="1" x14ac:dyDescent="0.35">
      <c r="A1211" s="113"/>
      <c r="B1211" s="27"/>
      <c r="C1211" s="48"/>
      <c r="D1211" s="27"/>
      <c r="E1211" s="38"/>
      <c r="F1211" s="27"/>
      <c r="G1211" s="27"/>
      <c r="H1211" s="99"/>
      <c r="M1211" s="27"/>
      <c r="N1211" s="48"/>
    </row>
    <row r="1212" spans="1:14" s="7" customFormat="1" x14ac:dyDescent="0.35">
      <c r="A1212" s="113"/>
      <c r="B1212" s="27"/>
      <c r="C1212" s="48"/>
      <c r="D1212" s="27"/>
      <c r="E1212" s="38"/>
      <c r="F1212" s="27"/>
      <c r="G1212" s="27"/>
      <c r="H1212" s="99"/>
      <c r="M1212" s="27"/>
      <c r="N1212" s="48"/>
    </row>
    <row r="1213" spans="1:14" s="7" customFormat="1" x14ac:dyDescent="0.35">
      <c r="A1213" s="113"/>
      <c r="B1213" s="27"/>
      <c r="C1213" s="48"/>
      <c r="D1213" s="27"/>
      <c r="E1213" s="38"/>
      <c r="F1213" s="27"/>
      <c r="G1213" s="27"/>
      <c r="H1213" s="99"/>
      <c r="M1213" s="27"/>
      <c r="N1213" s="48"/>
    </row>
    <row r="1214" spans="1:14" s="7" customFormat="1" x14ac:dyDescent="0.35">
      <c r="A1214" s="113"/>
      <c r="B1214" s="27"/>
      <c r="C1214" s="48"/>
      <c r="D1214" s="27"/>
      <c r="E1214" s="38"/>
      <c r="F1214" s="27"/>
      <c r="G1214" s="27"/>
      <c r="H1214" s="99"/>
      <c r="M1214" s="27"/>
      <c r="N1214" s="48"/>
    </row>
    <row r="1215" spans="1:14" s="7" customFormat="1" x14ac:dyDescent="0.35">
      <c r="A1215" s="113"/>
      <c r="B1215" s="27"/>
      <c r="C1215" s="48"/>
      <c r="D1215" s="27"/>
      <c r="E1215" s="38"/>
      <c r="F1215" s="27"/>
      <c r="G1215" s="27"/>
      <c r="H1215" s="99"/>
      <c r="M1215" s="27"/>
      <c r="N1215" s="48"/>
    </row>
    <row r="1216" spans="1:14" s="7" customFormat="1" x14ac:dyDescent="0.35">
      <c r="A1216" s="113"/>
      <c r="B1216" s="27"/>
      <c r="C1216" s="48"/>
      <c r="D1216" s="27"/>
      <c r="E1216" s="38"/>
      <c r="F1216" s="27"/>
      <c r="G1216" s="27"/>
      <c r="H1216" s="99"/>
      <c r="M1216" s="27"/>
      <c r="N1216" s="48"/>
    </row>
    <row r="1217" spans="1:14" s="7" customFormat="1" x14ac:dyDescent="0.35">
      <c r="A1217" s="113"/>
      <c r="B1217" s="27"/>
      <c r="C1217" s="48"/>
      <c r="D1217" s="27"/>
      <c r="E1217" s="38"/>
      <c r="F1217" s="27"/>
      <c r="G1217" s="27"/>
      <c r="H1217" s="99"/>
      <c r="M1217" s="27"/>
      <c r="N1217" s="48"/>
    </row>
    <row r="1218" spans="1:14" s="7" customFormat="1" x14ac:dyDescent="0.35">
      <c r="A1218" s="113"/>
      <c r="B1218" s="27"/>
      <c r="C1218" s="48"/>
      <c r="D1218" s="27"/>
      <c r="E1218" s="38"/>
      <c r="F1218" s="27"/>
      <c r="G1218" s="27"/>
      <c r="H1218" s="99"/>
      <c r="M1218" s="27"/>
      <c r="N1218" s="48"/>
    </row>
    <row r="1219" spans="1:14" s="7" customFormat="1" x14ac:dyDescent="0.35">
      <c r="A1219" s="113"/>
      <c r="B1219" s="27"/>
      <c r="C1219" s="48"/>
      <c r="D1219" s="27"/>
      <c r="E1219" s="38"/>
      <c r="F1219" s="27"/>
      <c r="G1219" s="27"/>
      <c r="H1219" s="99"/>
      <c r="M1219" s="27"/>
      <c r="N1219" s="48"/>
    </row>
    <row r="1220" spans="1:14" s="7" customFormat="1" x14ac:dyDescent="0.35">
      <c r="A1220" s="113"/>
      <c r="B1220" s="27"/>
      <c r="C1220" s="48"/>
      <c r="D1220" s="27"/>
      <c r="E1220" s="38"/>
      <c r="F1220" s="27"/>
      <c r="G1220" s="27"/>
      <c r="H1220" s="99"/>
      <c r="M1220" s="27"/>
      <c r="N1220" s="48"/>
    </row>
    <row r="1221" spans="1:14" s="7" customFormat="1" x14ac:dyDescent="0.35">
      <c r="A1221" s="113"/>
      <c r="B1221" s="27"/>
      <c r="C1221" s="48"/>
      <c r="D1221" s="27"/>
      <c r="E1221" s="38"/>
      <c r="F1221" s="27"/>
      <c r="G1221" s="27"/>
      <c r="H1221" s="99"/>
      <c r="M1221" s="27"/>
      <c r="N1221" s="48"/>
    </row>
    <row r="1222" spans="1:14" s="7" customFormat="1" x14ac:dyDescent="0.35">
      <c r="A1222" s="113"/>
      <c r="B1222" s="27"/>
      <c r="C1222" s="48"/>
      <c r="D1222" s="27"/>
      <c r="E1222" s="38"/>
      <c r="F1222" s="27"/>
      <c r="G1222" s="27"/>
      <c r="H1222" s="99"/>
      <c r="M1222" s="27"/>
      <c r="N1222" s="48"/>
    </row>
    <row r="1223" spans="1:14" s="7" customFormat="1" x14ac:dyDescent="0.35">
      <c r="A1223" s="113"/>
      <c r="B1223" s="27"/>
      <c r="C1223" s="48"/>
      <c r="D1223" s="27"/>
      <c r="E1223" s="38"/>
      <c r="F1223" s="27"/>
      <c r="G1223" s="27"/>
      <c r="H1223" s="99"/>
      <c r="M1223" s="27"/>
      <c r="N1223" s="48"/>
    </row>
    <row r="1224" spans="1:14" s="7" customFormat="1" x14ac:dyDescent="0.35">
      <c r="A1224" s="113"/>
      <c r="B1224" s="27"/>
      <c r="C1224" s="48"/>
      <c r="D1224" s="27"/>
      <c r="E1224" s="38"/>
      <c r="F1224" s="27"/>
      <c r="G1224" s="27"/>
      <c r="H1224" s="99"/>
      <c r="M1224" s="27"/>
      <c r="N1224" s="48"/>
    </row>
    <row r="1225" spans="1:14" s="7" customFormat="1" x14ac:dyDescent="0.35">
      <c r="A1225" s="113"/>
      <c r="B1225" s="27"/>
      <c r="C1225" s="48"/>
      <c r="D1225" s="27"/>
      <c r="E1225" s="38"/>
      <c r="F1225" s="27"/>
      <c r="G1225" s="27"/>
      <c r="H1225" s="99"/>
      <c r="M1225" s="27"/>
      <c r="N1225" s="48"/>
    </row>
    <row r="1226" spans="1:14" s="7" customFormat="1" x14ac:dyDescent="0.35">
      <c r="A1226" s="113"/>
      <c r="B1226" s="27"/>
      <c r="C1226" s="48"/>
      <c r="D1226" s="27"/>
      <c r="E1226" s="38"/>
      <c r="F1226" s="27"/>
      <c r="G1226" s="27"/>
      <c r="H1226" s="99"/>
      <c r="M1226" s="27"/>
      <c r="N1226" s="48"/>
    </row>
    <row r="1227" spans="1:14" s="7" customFormat="1" x14ac:dyDescent="0.35">
      <c r="A1227" s="113"/>
      <c r="B1227" s="27"/>
      <c r="C1227" s="48"/>
      <c r="D1227" s="27"/>
      <c r="E1227" s="38"/>
      <c r="F1227" s="27"/>
      <c r="G1227" s="27"/>
      <c r="H1227" s="99"/>
      <c r="M1227" s="27"/>
      <c r="N1227" s="48"/>
    </row>
    <row r="1228" spans="1:14" s="7" customFormat="1" x14ac:dyDescent="0.35">
      <c r="A1228" s="113"/>
      <c r="B1228" s="27"/>
      <c r="C1228" s="48"/>
      <c r="D1228" s="27"/>
      <c r="E1228" s="38"/>
      <c r="F1228" s="27"/>
      <c r="G1228" s="27"/>
      <c r="H1228" s="99"/>
      <c r="M1228" s="27"/>
      <c r="N1228" s="48"/>
    </row>
    <row r="1229" spans="1:14" s="7" customFormat="1" x14ac:dyDescent="0.35">
      <c r="A1229" s="113"/>
      <c r="B1229" s="27"/>
      <c r="C1229" s="48"/>
      <c r="D1229" s="27"/>
      <c r="E1229" s="38"/>
      <c r="F1229" s="27"/>
      <c r="G1229" s="27"/>
      <c r="H1229" s="99"/>
      <c r="M1229" s="27"/>
      <c r="N1229" s="48"/>
    </row>
    <row r="1230" spans="1:14" s="7" customFormat="1" x14ac:dyDescent="0.35">
      <c r="A1230" s="113"/>
      <c r="B1230" s="27"/>
      <c r="C1230" s="48"/>
      <c r="D1230" s="27"/>
      <c r="E1230" s="38"/>
      <c r="F1230" s="27"/>
      <c r="G1230" s="27"/>
      <c r="H1230" s="99"/>
      <c r="M1230" s="27"/>
      <c r="N1230" s="48"/>
    </row>
    <row r="1231" spans="1:14" s="7" customFormat="1" x14ac:dyDescent="0.35">
      <c r="A1231" s="113"/>
      <c r="B1231" s="27"/>
      <c r="C1231" s="48"/>
      <c r="D1231" s="27"/>
      <c r="E1231" s="38"/>
      <c r="F1231" s="27"/>
      <c r="G1231" s="27"/>
      <c r="H1231" s="99"/>
      <c r="M1231" s="27"/>
      <c r="N1231" s="48"/>
    </row>
    <row r="1232" spans="1:14" s="7" customFormat="1" x14ac:dyDescent="0.35">
      <c r="A1232" s="113"/>
      <c r="B1232" s="27"/>
      <c r="C1232" s="48"/>
      <c r="D1232" s="27"/>
      <c r="E1232" s="38"/>
      <c r="F1232" s="27"/>
      <c r="G1232" s="27"/>
      <c r="H1232" s="99"/>
      <c r="M1232" s="27"/>
      <c r="N1232" s="48"/>
    </row>
    <row r="1233" spans="1:14" s="7" customFormat="1" x14ac:dyDescent="0.35">
      <c r="A1233" s="113"/>
      <c r="B1233" s="27"/>
      <c r="C1233" s="48"/>
      <c r="D1233" s="27"/>
      <c r="E1233" s="38"/>
      <c r="F1233" s="27"/>
      <c r="G1233" s="27"/>
      <c r="H1233" s="99"/>
      <c r="M1233" s="27"/>
      <c r="N1233" s="48"/>
    </row>
    <row r="1234" spans="1:14" s="7" customFormat="1" x14ac:dyDescent="0.35">
      <c r="A1234" s="113"/>
      <c r="B1234" s="27"/>
      <c r="C1234" s="48"/>
      <c r="D1234" s="27"/>
      <c r="E1234" s="38"/>
      <c r="F1234" s="27"/>
      <c r="G1234" s="27"/>
      <c r="H1234" s="99"/>
      <c r="M1234" s="27"/>
      <c r="N1234" s="48"/>
    </row>
    <row r="1235" spans="1:14" s="7" customFormat="1" x14ac:dyDescent="0.35">
      <c r="A1235" s="113"/>
      <c r="B1235" s="27"/>
      <c r="C1235" s="48"/>
      <c r="D1235" s="27"/>
      <c r="E1235" s="38"/>
      <c r="F1235" s="27"/>
      <c r="G1235" s="27"/>
      <c r="H1235" s="99"/>
      <c r="M1235" s="27"/>
      <c r="N1235" s="48"/>
    </row>
    <row r="1236" spans="1:14" s="7" customFormat="1" x14ac:dyDescent="0.35">
      <c r="A1236" s="113"/>
      <c r="B1236" s="27"/>
      <c r="C1236" s="48"/>
      <c r="D1236" s="27"/>
      <c r="E1236" s="38"/>
      <c r="F1236" s="27"/>
      <c r="G1236" s="27"/>
      <c r="H1236" s="99"/>
      <c r="M1236" s="27"/>
      <c r="N1236" s="48"/>
    </row>
    <row r="1237" spans="1:14" s="7" customFormat="1" x14ac:dyDescent="0.35">
      <c r="A1237" s="113"/>
      <c r="B1237" s="27"/>
      <c r="C1237" s="48"/>
      <c r="D1237" s="27"/>
      <c r="E1237" s="38"/>
      <c r="F1237" s="27"/>
      <c r="G1237" s="27"/>
      <c r="H1237" s="99"/>
      <c r="M1237" s="27"/>
      <c r="N1237" s="48"/>
    </row>
    <row r="1238" spans="1:14" s="7" customFormat="1" x14ac:dyDescent="0.35">
      <c r="A1238" s="113"/>
      <c r="B1238" s="27"/>
      <c r="C1238" s="48"/>
      <c r="D1238" s="27"/>
      <c r="E1238" s="38"/>
      <c r="F1238" s="27"/>
      <c r="G1238" s="27"/>
      <c r="H1238" s="99"/>
      <c r="M1238" s="27"/>
      <c r="N1238" s="48"/>
    </row>
    <row r="1239" spans="1:14" s="7" customFormat="1" x14ac:dyDescent="0.35">
      <c r="A1239" s="113"/>
      <c r="B1239" s="27"/>
      <c r="C1239" s="48"/>
      <c r="D1239" s="27"/>
      <c r="E1239" s="38"/>
      <c r="F1239" s="27"/>
      <c r="G1239" s="27"/>
      <c r="H1239" s="99"/>
      <c r="M1239" s="27"/>
      <c r="N1239" s="48"/>
    </row>
    <row r="1240" spans="1:14" s="7" customFormat="1" x14ac:dyDescent="0.35">
      <c r="A1240" s="113"/>
      <c r="B1240" s="27"/>
      <c r="C1240" s="48"/>
      <c r="D1240" s="27"/>
      <c r="E1240" s="38"/>
      <c r="F1240" s="27"/>
      <c r="G1240" s="27"/>
      <c r="H1240" s="99"/>
      <c r="M1240" s="27"/>
      <c r="N1240" s="48"/>
    </row>
    <row r="1241" spans="1:14" s="7" customFormat="1" x14ac:dyDescent="0.35">
      <c r="A1241" s="113"/>
      <c r="B1241" s="27"/>
      <c r="C1241" s="48"/>
      <c r="D1241" s="27"/>
      <c r="E1241" s="38"/>
      <c r="F1241" s="27"/>
      <c r="G1241" s="27"/>
      <c r="H1241" s="99"/>
      <c r="M1241" s="27"/>
      <c r="N1241" s="48"/>
    </row>
    <row r="1242" spans="1:14" s="7" customFormat="1" x14ac:dyDescent="0.35">
      <c r="A1242" s="113"/>
      <c r="B1242" s="27"/>
      <c r="C1242" s="48"/>
      <c r="D1242" s="27"/>
      <c r="E1242" s="38"/>
      <c r="F1242" s="27"/>
      <c r="G1242" s="27"/>
      <c r="H1242" s="99"/>
      <c r="M1242" s="27"/>
      <c r="N1242" s="48"/>
    </row>
    <row r="1243" spans="1:14" s="7" customFormat="1" x14ac:dyDescent="0.35">
      <c r="A1243" s="113"/>
      <c r="B1243" s="27"/>
      <c r="C1243" s="48"/>
      <c r="D1243" s="27"/>
      <c r="E1243" s="38"/>
      <c r="F1243" s="27"/>
      <c r="G1243" s="27"/>
      <c r="H1243" s="99"/>
      <c r="M1243" s="27"/>
      <c r="N1243" s="48"/>
    </row>
    <row r="1244" spans="1:14" s="7" customFormat="1" x14ac:dyDescent="0.35">
      <c r="A1244" s="113"/>
      <c r="B1244" s="27"/>
      <c r="C1244" s="48"/>
      <c r="D1244" s="27"/>
      <c r="E1244" s="38"/>
      <c r="F1244" s="27"/>
      <c r="G1244" s="27"/>
      <c r="H1244" s="99"/>
      <c r="M1244" s="27"/>
      <c r="N1244" s="48"/>
    </row>
    <row r="1245" spans="1:14" s="7" customFormat="1" x14ac:dyDescent="0.35">
      <c r="A1245" s="113"/>
      <c r="B1245" s="27"/>
      <c r="C1245" s="48"/>
      <c r="D1245" s="27"/>
      <c r="E1245" s="38"/>
      <c r="F1245" s="27"/>
      <c r="G1245" s="27"/>
      <c r="H1245" s="99"/>
      <c r="M1245" s="27"/>
      <c r="N1245" s="48"/>
    </row>
    <row r="1246" spans="1:14" s="7" customFormat="1" x14ac:dyDescent="0.35">
      <c r="A1246" s="113"/>
      <c r="B1246" s="27"/>
      <c r="C1246" s="48"/>
      <c r="D1246" s="27"/>
      <c r="E1246" s="38"/>
      <c r="F1246" s="27"/>
      <c r="G1246" s="27"/>
      <c r="H1246" s="99"/>
      <c r="M1246" s="27"/>
      <c r="N1246" s="48"/>
    </row>
    <row r="1247" spans="1:14" s="7" customFormat="1" x14ac:dyDescent="0.35">
      <c r="A1247" s="113"/>
      <c r="B1247" s="27"/>
      <c r="C1247" s="48"/>
      <c r="D1247" s="27"/>
      <c r="E1247" s="38"/>
      <c r="F1247" s="27"/>
      <c r="G1247" s="27"/>
      <c r="H1247" s="99"/>
      <c r="M1247" s="27"/>
      <c r="N1247" s="48"/>
    </row>
    <row r="1248" spans="1:14" s="7" customFormat="1" x14ac:dyDescent="0.35">
      <c r="A1248" s="113"/>
      <c r="B1248" s="27"/>
      <c r="C1248" s="48"/>
      <c r="D1248" s="27"/>
      <c r="E1248" s="38"/>
      <c r="F1248" s="27"/>
      <c r="G1248" s="27"/>
      <c r="H1248" s="99"/>
      <c r="M1248" s="27"/>
      <c r="N1248" s="48"/>
    </row>
    <row r="1249" spans="1:14" s="7" customFormat="1" x14ac:dyDescent="0.35">
      <c r="A1249" s="113"/>
      <c r="B1249" s="27"/>
      <c r="C1249" s="48"/>
      <c r="D1249" s="27"/>
      <c r="E1249" s="38"/>
      <c r="F1249" s="27"/>
      <c r="G1249" s="27"/>
      <c r="H1249" s="99"/>
      <c r="M1249" s="27"/>
      <c r="N1249" s="48"/>
    </row>
    <row r="1250" spans="1:14" s="7" customFormat="1" x14ac:dyDescent="0.35">
      <c r="A1250" s="113"/>
      <c r="B1250" s="27"/>
      <c r="C1250" s="48"/>
      <c r="D1250" s="27"/>
      <c r="E1250" s="38"/>
      <c r="F1250" s="27"/>
      <c r="G1250" s="27"/>
      <c r="H1250" s="99"/>
      <c r="M1250" s="27"/>
      <c r="N1250" s="48"/>
    </row>
    <row r="1251" spans="1:14" s="7" customFormat="1" x14ac:dyDescent="0.35">
      <c r="A1251" s="113"/>
      <c r="B1251" s="27"/>
      <c r="C1251" s="48"/>
      <c r="D1251" s="27"/>
      <c r="E1251" s="38"/>
      <c r="F1251" s="27"/>
      <c r="G1251" s="27"/>
      <c r="H1251" s="99"/>
      <c r="M1251" s="27"/>
      <c r="N1251" s="48"/>
    </row>
    <row r="1252" spans="1:14" s="7" customFormat="1" x14ac:dyDescent="0.35">
      <c r="A1252" s="113"/>
      <c r="B1252" s="27"/>
      <c r="C1252" s="48"/>
      <c r="D1252" s="27"/>
      <c r="E1252" s="38"/>
      <c r="F1252" s="27"/>
      <c r="G1252" s="27"/>
      <c r="H1252" s="99"/>
      <c r="M1252" s="27"/>
      <c r="N1252" s="48"/>
    </row>
    <row r="1253" spans="1:14" s="7" customFormat="1" x14ac:dyDescent="0.35">
      <c r="A1253" s="113"/>
      <c r="B1253" s="27"/>
      <c r="C1253" s="48"/>
      <c r="D1253" s="27"/>
      <c r="E1253" s="38"/>
      <c r="F1253" s="27"/>
      <c r="G1253" s="27"/>
      <c r="H1253" s="99"/>
      <c r="M1253" s="27"/>
      <c r="N1253" s="48"/>
    </row>
    <row r="1254" spans="1:14" s="7" customFormat="1" x14ac:dyDescent="0.35">
      <c r="A1254" s="113"/>
      <c r="B1254" s="27"/>
      <c r="C1254" s="48"/>
      <c r="D1254" s="27"/>
      <c r="E1254" s="38"/>
      <c r="F1254" s="27"/>
      <c r="G1254" s="27"/>
      <c r="H1254" s="99"/>
      <c r="M1254" s="27"/>
      <c r="N1254" s="48"/>
    </row>
    <row r="1255" spans="1:14" s="7" customFormat="1" x14ac:dyDescent="0.35">
      <c r="A1255" s="113"/>
      <c r="B1255" s="27"/>
      <c r="C1255" s="48"/>
      <c r="D1255" s="27"/>
      <c r="E1255" s="38"/>
      <c r="F1255" s="27"/>
      <c r="G1255" s="27"/>
      <c r="H1255" s="99"/>
      <c r="M1255" s="27"/>
      <c r="N1255" s="48"/>
    </row>
    <row r="1256" spans="1:14" s="7" customFormat="1" x14ac:dyDescent="0.35">
      <c r="A1256" s="113"/>
      <c r="B1256" s="27"/>
      <c r="C1256" s="48"/>
      <c r="D1256" s="27"/>
      <c r="E1256" s="38"/>
      <c r="F1256" s="27"/>
      <c r="G1256" s="27"/>
      <c r="H1256" s="99"/>
      <c r="M1256" s="27"/>
      <c r="N1256" s="48"/>
    </row>
    <row r="1257" spans="1:14" s="7" customFormat="1" x14ac:dyDescent="0.35">
      <c r="A1257" s="113"/>
      <c r="B1257" s="27"/>
      <c r="C1257" s="48"/>
      <c r="D1257" s="27"/>
      <c r="E1257" s="38"/>
      <c r="F1257" s="27"/>
      <c r="G1257" s="27"/>
      <c r="H1257" s="99"/>
      <c r="M1257" s="27"/>
      <c r="N1257" s="48"/>
    </row>
    <row r="1258" spans="1:14" s="7" customFormat="1" x14ac:dyDescent="0.35">
      <c r="A1258" s="113"/>
      <c r="B1258" s="27"/>
      <c r="C1258" s="48"/>
      <c r="D1258" s="27"/>
      <c r="E1258" s="38"/>
      <c r="F1258" s="27"/>
      <c r="G1258" s="27"/>
      <c r="H1258" s="99"/>
      <c r="M1258" s="27"/>
      <c r="N1258" s="48"/>
    </row>
    <row r="1259" spans="1:14" s="7" customFormat="1" x14ac:dyDescent="0.35">
      <c r="A1259" s="113"/>
      <c r="B1259" s="27"/>
      <c r="C1259" s="48"/>
      <c r="D1259" s="27"/>
      <c r="E1259" s="38"/>
      <c r="F1259" s="27"/>
      <c r="G1259" s="27"/>
      <c r="H1259" s="99"/>
      <c r="M1259" s="27"/>
      <c r="N1259" s="48"/>
    </row>
    <row r="1260" spans="1:14" s="7" customFormat="1" x14ac:dyDescent="0.35">
      <c r="A1260" s="113"/>
      <c r="B1260" s="27"/>
      <c r="C1260" s="48"/>
      <c r="D1260" s="27"/>
      <c r="E1260" s="38"/>
      <c r="F1260" s="27"/>
      <c r="G1260" s="27"/>
      <c r="H1260" s="99"/>
      <c r="M1260" s="27"/>
      <c r="N1260" s="48"/>
    </row>
    <row r="1261" spans="1:14" s="7" customFormat="1" x14ac:dyDescent="0.35">
      <c r="A1261" s="113"/>
      <c r="B1261" s="27"/>
      <c r="C1261" s="48"/>
      <c r="D1261" s="27"/>
      <c r="E1261" s="38"/>
      <c r="F1261" s="27"/>
      <c r="G1261" s="27"/>
      <c r="H1261" s="99"/>
      <c r="M1261" s="27"/>
      <c r="N1261" s="48"/>
    </row>
    <row r="1262" spans="1:14" s="7" customFormat="1" x14ac:dyDescent="0.35">
      <c r="A1262" s="113"/>
      <c r="B1262" s="27"/>
      <c r="C1262" s="48"/>
      <c r="D1262" s="27"/>
      <c r="E1262" s="38"/>
      <c r="F1262" s="27"/>
      <c r="G1262" s="27"/>
      <c r="H1262" s="99"/>
      <c r="M1262" s="27"/>
      <c r="N1262" s="48"/>
    </row>
    <row r="1263" spans="1:14" s="7" customFormat="1" x14ac:dyDescent="0.35">
      <c r="A1263" s="113"/>
      <c r="B1263" s="27"/>
      <c r="C1263" s="48"/>
      <c r="D1263" s="27"/>
      <c r="E1263" s="38"/>
      <c r="F1263" s="27"/>
      <c r="G1263" s="27"/>
      <c r="H1263" s="99"/>
      <c r="M1263" s="27"/>
      <c r="N1263" s="48"/>
    </row>
    <row r="1264" spans="1:14" s="7" customFormat="1" x14ac:dyDescent="0.35">
      <c r="A1264" s="113"/>
      <c r="B1264" s="27"/>
      <c r="C1264" s="48"/>
      <c r="D1264" s="27"/>
      <c r="E1264" s="38"/>
      <c r="F1264" s="27"/>
      <c r="G1264" s="27"/>
      <c r="H1264" s="99"/>
      <c r="M1264" s="27"/>
      <c r="N1264" s="48"/>
    </row>
    <row r="1265" spans="1:14" s="7" customFormat="1" x14ac:dyDescent="0.35">
      <c r="A1265" s="113"/>
      <c r="B1265" s="27"/>
      <c r="C1265" s="48"/>
      <c r="D1265" s="27"/>
      <c r="E1265" s="38"/>
      <c r="F1265" s="27"/>
      <c r="G1265" s="27"/>
      <c r="H1265" s="99"/>
      <c r="M1265" s="27"/>
      <c r="N1265" s="48"/>
    </row>
    <row r="1266" spans="1:14" s="7" customFormat="1" x14ac:dyDescent="0.35">
      <c r="A1266" s="113"/>
      <c r="B1266" s="27"/>
      <c r="C1266" s="48"/>
      <c r="D1266" s="27"/>
      <c r="E1266" s="38"/>
      <c r="F1266" s="27"/>
      <c r="G1266" s="27"/>
      <c r="H1266" s="99"/>
      <c r="M1266" s="27"/>
      <c r="N1266" s="48"/>
    </row>
    <row r="1267" spans="1:14" s="7" customFormat="1" x14ac:dyDescent="0.35">
      <c r="A1267" s="113"/>
      <c r="B1267" s="27"/>
      <c r="C1267" s="48"/>
      <c r="D1267" s="27"/>
      <c r="E1267" s="38"/>
      <c r="F1267" s="27"/>
      <c r="G1267" s="27"/>
      <c r="H1267" s="99"/>
      <c r="M1267" s="27"/>
      <c r="N1267" s="48"/>
    </row>
    <row r="1268" spans="1:14" s="7" customFormat="1" x14ac:dyDescent="0.35">
      <c r="A1268" s="113"/>
      <c r="B1268" s="27"/>
      <c r="C1268" s="48"/>
      <c r="D1268" s="27"/>
      <c r="E1268" s="38"/>
      <c r="F1268" s="27"/>
      <c r="G1268" s="27"/>
      <c r="H1268" s="99"/>
      <c r="M1268" s="27"/>
      <c r="N1268" s="48"/>
    </row>
    <row r="1269" spans="1:14" s="7" customFormat="1" x14ac:dyDescent="0.35">
      <c r="A1269" s="113"/>
      <c r="B1269" s="27"/>
      <c r="C1269" s="48"/>
      <c r="D1269" s="27"/>
      <c r="E1269" s="38"/>
      <c r="F1269" s="27"/>
      <c r="G1269" s="27"/>
      <c r="H1269" s="99"/>
      <c r="M1269" s="27"/>
      <c r="N1269" s="48"/>
    </row>
    <row r="1270" spans="1:14" s="7" customFormat="1" x14ac:dyDescent="0.35">
      <c r="A1270" s="113"/>
      <c r="B1270" s="27"/>
      <c r="C1270" s="48"/>
      <c r="D1270" s="27"/>
      <c r="E1270" s="38"/>
      <c r="F1270" s="27"/>
      <c r="G1270" s="27"/>
      <c r="H1270" s="99"/>
      <c r="M1270" s="27"/>
      <c r="N1270" s="48"/>
    </row>
    <row r="1271" spans="1:14" s="7" customFormat="1" x14ac:dyDescent="0.35">
      <c r="A1271" s="113"/>
      <c r="B1271" s="27"/>
      <c r="C1271" s="48"/>
      <c r="D1271" s="27"/>
      <c r="E1271" s="38"/>
      <c r="F1271" s="27"/>
      <c r="G1271" s="27"/>
      <c r="H1271" s="99"/>
      <c r="M1271" s="27"/>
      <c r="N1271" s="48"/>
    </row>
    <row r="1272" spans="1:14" s="7" customFormat="1" x14ac:dyDescent="0.35">
      <c r="A1272" s="113"/>
      <c r="B1272" s="27"/>
      <c r="C1272" s="48"/>
      <c r="D1272" s="27"/>
      <c r="E1272" s="38"/>
      <c r="F1272" s="27"/>
      <c r="G1272" s="27"/>
      <c r="H1272" s="99"/>
      <c r="M1272" s="27"/>
      <c r="N1272" s="48"/>
    </row>
    <row r="1273" spans="1:14" s="7" customFormat="1" x14ac:dyDescent="0.35">
      <c r="A1273" s="113"/>
      <c r="B1273" s="27"/>
      <c r="C1273" s="48"/>
      <c r="D1273" s="27"/>
      <c r="E1273" s="38"/>
      <c r="F1273" s="27"/>
      <c r="G1273" s="27"/>
      <c r="H1273" s="99"/>
      <c r="M1273" s="27"/>
      <c r="N1273" s="48"/>
    </row>
    <row r="1274" spans="1:14" s="7" customFormat="1" x14ac:dyDescent="0.35">
      <c r="A1274" s="113"/>
      <c r="B1274" s="27"/>
      <c r="C1274" s="48"/>
      <c r="D1274" s="27"/>
      <c r="E1274" s="38"/>
      <c r="F1274" s="27"/>
      <c r="G1274" s="27"/>
      <c r="H1274" s="99"/>
      <c r="M1274" s="27"/>
      <c r="N1274" s="48"/>
    </row>
    <row r="1275" spans="1:14" s="7" customFormat="1" x14ac:dyDescent="0.35">
      <c r="A1275" s="113"/>
      <c r="B1275" s="27"/>
      <c r="C1275" s="48"/>
      <c r="D1275" s="27"/>
      <c r="E1275" s="38"/>
      <c r="F1275" s="27"/>
      <c r="G1275" s="27"/>
      <c r="H1275" s="99"/>
      <c r="M1275" s="27"/>
      <c r="N1275" s="48"/>
    </row>
    <row r="1276" spans="1:14" s="7" customFormat="1" x14ac:dyDescent="0.35">
      <c r="A1276" s="113"/>
      <c r="B1276" s="27"/>
      <c r="C1276" s="48"/>
      <c r="D1276" s="27"/>
      <c r="E1276" s="38"/>
      <c r="F1276" s="27"/>
      <c r="G1276" s="27"/>
      <c r="H1276" s="99"/>
      <c r="M1276" s="27"/>
      <c r="N1276" s="48"/>
    </row>
    <row r="1277" spans="1:14" s="7" customFormat="1" x14ac:dyDescent="0.35">
      <c r="A1277" s="113"/>
      <c r="B1277" s="27"/>
      <c r="C1277" s="48"/>
      <c r="D1277" s="27"/>
      <c r="E1277" s="38"/>
      <c r="F1277" s="27"/>
      <c r="G1277" s="27"/>
      <c r="H1277" s="99"/>
      <c r="M1277" s="27"/>
      <c r="N1277" s="48"/>
    </row>
    <row r="1278" spans="1:14" s="7" customFormat="1" x14ac:dyDescent="0.35">
      <c r="A1278" s="113"/>
      <c r="B1278" s="27"/>
      <c r="C1278" s="48"/>
      <c r="D1278" s="27"/>
      <c r="E1278" s="38"/>
      <c r="F1278" s="27"/>
      <c r="G1278" s="27"/>
      <c r="H1278" s="99"/>
      <c r="M1278" s="27"/>
      <c r="N1278" s="48"/>
    </row>
    <row r="1279" spans="1:14" s="7" customFormat="1" x14ac:dyDescent="0.35">
      <c r="A1279" s="113"/>
      <c r="B1279" s="27"/>
      <c r="C1279" s="48"/>
      <c r="D1279" s="27"/>
      <c r="E1279" s="38"/>
      <c r="F1279" s="27"/>
      <c r="G1279" s="27"/>
      <c r="H1279" s="99"/>
      <c r="M1279" s="27"/>
      <c r="N1279" s="48"/>
    </row>
    <row r="1280" spans="1:14" s="7" customFormat="1" x14ac:dyDescent="0.35">
      <c r="A1280" s="113"/>
      <c r="B1280" s="27"/>
      <c r="C1280" s="48"/>
      <c r="D1280" s="27"/>
      <c r="E1280" s="38"/>
      <c r="F1280" s="27"/>
      <c r="G1280" s="27"/>
      <c r="H1280" s="99"/>
      <c r="M1280" s="27"/>
      <c r="N1280" s="48"/>
    </row>
    <row r="1281" spans="1:14" s="7" customFormat="1" x14ac:dyDescent="0.35">
      <c r="A1281" s="113"/>
      <c r="B1281" s="27"/>
      <c r="C1281" s="48"/>
      <c r="D1281" s="27"/>
      <c r="E1281" s="38"/>
      <c r="F1281" s="27"/>
      <c r="G1281" s="27"/>
      <c r="H1281" s="99"/>
      <c r="M1281" s="27"/>
      <c r="N1281" s="48"/>
    </row>
    <row r="1282" spans="1:14" s="7" customFormat="1" x14ac:dyDescent="0.35">
      <c r="A1282" s="113"/>
      <c r="B1282" s="27"/>
      <c r="C1282" s="48"/>
      <c r="D1282" s="27"/>
      <c r="E1282" s="38"/>
      <c r="F1282" s="27"/>
      <c r="G1282" s="27"/>
      <c r="H1282" s="99"/>
      <c r="M1282" s="27"/>
      <c r="N1282" s="48"/>
    </row>
    <row r="1283" spans="1:14" s="7" customFormat="1" x14ac:dyDescent="0.35">
      <c r="A1283" s="113"/>
      <c r="B1283" s="27"/>
      <c r="C1283" s="48"/>
      <c r="D1283" s="27"/>
      <c r="E1283" s="38"/>
      <c r="F1283" s="27"/>
      <c r="G1283" s="27"/>
      <c r="H1283" s="99"/>
      <c r="M1283" s="27"/>
      <c r="N1283" s="48"/>
    </row>
    <row r="1284" spans="1:14" s="7" customFormat="1" x14ac:dyDescent="0.35">
      <c r="A1284" s="113"/>
      <c r="B1284" s="27"/>
      <c r="C1284" s="48"/>
      <c r="D1284" s="27"/>
      <c r="E1284" s="38"/>
      <c r="F1284" s="27"/>
      <c r="G1284" s="27"/>
      <c r="H1284" s="99"/>
      <c r="M1284" s="27"/>
      <c r="N1284" s="48"/>
    </row>
    <row r="1285" spans="1:14" s="7" customFormat="1" x14ac:dyDescent="0.35">
      <c r="A1285" s="113"/>
      <c r="B1285" s="27"/>
      <c r="C1285" s="48"/>
      <c r="D1285" s="27"/>
      <c r="E1285" s="38"/>
      <c r="F1285" s="27"/>
      <c r="G1285" s="27"/>
      <c r="H1285" s="99"/>
      <c r="M1285" s="27"/>
      <c r="N1285" s="48"/>
    </row>
    <row r="1286" spans="1:14" s="7" customFormat="1" x14ac:dyDescent="0.35">
      <c r="A1286" s="113"/>
      <c r="B1286" s="27"/>
      <c r="C1286" s="48"/>
      <c r="D1286" s="27"/>
      <c r="E1286" s="38"/>
      <c r="F1286" s="27"/>
      <c r="G1286" s="27"/>
      <c r="H1286" s="99"/>
      <c r="M1286" s="27"/>
      <c r="N1286" s="48"/>
    </row>
    <row r="1287" spans="1:14" s="7" customFormat="1" x14ac:dyDescent="0.35">
      <c r="A1287" s="113"/>
      <c r="B1287" s="27"/>
      <c r="C1287" s="48"/>
      <c r="D1287" s="27"/>
      <c r="E1287" s="38"/>
      <c r="F1287" s="27"/>
      <c r="G1287" s="27"/>
      <c r="H1287" s="99"/>
      <c r="M1287" s="27"/>
      <c r="N1287" s="48"/>
    </row>
    <row r="1288" spans="1:14" s="7" customFormat="1" x14ac:dyDescent="0.35">
      <c r="A1288" s="113"/>
      <c r="B1288" s="27"/>
      <c r="C1288" s="48"/>
      <c r="D1288" s="27"/>
      <c r="E1288" s="38"/>
      <c r="F1288" s="27"/>
      <c r="G1288" s="27"/>
      <c r="H1288" s="99"/>
      <c r="M1288" s="27"/>
      <c r="N1288" s="48"/>
    </row>
    <row r="1289" spans="1:14" s="7" customFormat="1" x14ac:dyDescent="0.35">
      <c r="A1289" s="113"/>
      <c r="B1289" s="27"/>
      <c r="C1289" s="48"/>
      <c r="D1289" s="27"/>
      <c r="E1289" s="38"/>
      <c r="F1289" s="27"/>
      <c r="G1289" s="27"/>
      <c r="H1289" s="99"/>
      <c r="M1289" s="27"/>
      <c r="N1289" s="48"/>
    </row>
    <row r="1290" spans="1:14" s="7" customFormat="1" x14ac:dyDescent="0.35">
      <c r="A1290" s="113"/>
      <c r="B1290" s="27"/>
      <c r="C1290" s="48"/>
      <c r="D1290" s="27"/>
      <c r="E1290" s="38"/>
      <c r="F1290" s="27"/>
      <c r="G1290" s="27"/>
      <c r="H1290" s="99"/>
      <c r="M1290" s="27"/>
      <c r="N1290" s="48"/>
    </row>
    <row r="1291" spans="1:14" s="7" customFormat="1" x14ac:dyDescent="0.35">
      <c r="A1291" s="113"/>
      <c r="B1291" s="27"/>
      <c r="C1291" s="48"/>
      <c r="D1291" s="27"/>
      <c r="E1291" s="38"/>
      <c r="F1291" s="27"/>
      <c r="G1291" s="27"/>
      <c r="H1291" s="99"/>
      <c r="M1291" s="27"/>
      <c r="N1291" s="48"/>
    </row>
    <row r="1292" spans="1:14" s="7" customFormat="1" x14ac:dyDescent="0.35">
      <c r="A1292" s="113"/>
      <c r="B1292" s="27"/>
      <c r="C1292" s="48"/>
      <c r="D1292" s="27"/>
      <c r="E1292" s="38"/>
      <c r="F1292" s="27"/>
      <c r="G1292" s="27"/>
      <c r="H1292" s="99"/>
      <c r="M1292" s="27"/>
      <c r="N1292" s="48"/>
    </row>
    <row r="1293" spans="1:14" s="7" customFormat="1" x14ac:dyDescent="0.35">
      <c r="A1293" s="113"/>
      <c r="B1293" s="27"/>
      <c r="C1293" s="48"/>
      <c r="D1293" s="27"/>
      <c r="E1293" s="38"/>
      <c r="F1293" s="27"/>
      <c r="G1293" s="27"/>
      <c r="H1293" s="99"/>
      <c r="M1293" s="27"/>
      <c r="N1293" s="48"/>
    </row>
    <row r="1294" spans="1:14" s="7" customFormat="1" x14ac:dyDescent="0.35">
      <c r="A1294" s="113"/>
      <c r="B1294" s="27"/>
      <c r="C1294" s="48"/>
      <c r="D1294" s="27"/>
      <c r="E1294" s="38"/>
      <c r="F1294" s="27"/>
      <c r="G1294" s="27"/>
      <c r="H1294" s="99"/>
      <c r="M1294" s="27"/>
      <c r="N1294" s="48"/>
    </row>
    <row r="1295" spans="1:14" s="7" customFormat="1" x14ac:dyDescent="0.35">
      <c r="A1295" s="113"/>
      <c r="B1295" s="27"/>
      <c r="C1295" s="48"/>
      <c r="D1295" s="27"/>
      <c r="E1295" s="38"/>
      <c r="F1295" s="27"/>
      <c r="G1295" s="27"/>
      <c r="H1295" s="99"/>
      <c r="M1295" s="27"/>
      <c r="N1295" s="48"/>
    </row>
    <row r="1296" spans="1:14" s="7" customFormat="1" x14ac:dyDescent="0.35">
      <c r="A1296" s="113"/>
      <c r="B1296" s="27"/>
      <c r="C1296" s="48"/>
      <c r="D1296" s="27"/>
      <c r="E1296" s="38"/>
      <c r="F1296" s="27"/>
      <c r="G1296" s="27"/>
      <c r="H1296" s="99"/>
      <c r="M1296" s="27"/>
      <c r="N1296" s="48"/>
    </row>
    <row r="1297" spans="1:14" s="7" customFormat="1" x14ac:dyDescent="0.35">
      <c r="A1297" s="113"/>
      <c r="B1297" s="27"/>
      <c r="C1297" s="48"/>
      <c r="D1297" s="27"/>
      <c r="E1297" s="38"/>
      <c r="F1297" s="27"/>
      <c r="G1297" s="27"/>
      <c r="H1297" s="99"/>
      <c r="M1297" s="27"/>
      <c r="N1297" s="48"/>
    </row>
    <row r="1298" spans="1:14" s="7" customFormat="1" x14ac:dyDescent="0.35">
      <c r="A1298" s="113"/>
      <c r="B1298" s="27"/>
      <c r="C1298" s="48"/>
      <c r="D1298" s="27"/>
      <c r="E1298" s="38"/>
      <c r="F1298" s="27"/>
      <c r="G1298" s="27"/>
      <c r="H1298" s="99"/>
      <c r="M1298" s="27"/>
      <c r="N1298" s="48"/>
    </row>
    <row r="1299" spans="1:14" s="7" customFormat="1" x14ac:dyDescent="0.35">
      <c r="A1299" s="113"/>
      <c r="B1299" s="27"/>
      <c r="C1299" s="48"/>
      <c r="D1299" s="27"/>
      <c r="E1299" s="38"/>
      <c r="F1299" s="27"/>
      <c r="G1299" s="27"/>
      <c r="H1299" s="99"/>
      <c r="M1299" s="27"/>
      <c r="N1299" s="48"/>
    </row>
    <row r="1300" spans="1:14" s="7" customFormat="1" x14ac:dyDescent="0.35">
      <c r="A1300" s="113"/>
      <c r="B1300" s="27"/>
      <c r="C1300" s="48"/>
      <c r="D1300" s="27"/>
      <c r="E1300" s="38"/>
      <c r="F1300" s="27"/>
      <c r="G1300" s="27"/>
      <c r="H1300" s="99"/>
      <c r="M1300" s="27"/>
      <c r="N1300" s="48"/>
    </row>
    <row r="1301" spans="1:14" s="7" customFormat="1" x14ac:dyDescent="0.35">
      <c r="A1301" s="113"/>
      <c r="B1301" s="27"/>
      <c r="C1301" s="48"/>
      <c r="D1301" s="27"/>
      <c r="E1301" s="38"/>
      <c r="F1301" s="27"/>
      <c r="G1301" s="27"/>
      <c r="H1301" s="99"/>
      <c r="M1301" s="27"/>
      <c r="N1301" s="48"/>
    </row>
    <row r="1302" spans="1:14" s="7" customFormat="1" x14ac:dyDescent="0.35">
      <c r="A1302" s="113"/>
      <c r="B1302" s="27"/>
      <c r="C1302" s="48"/>
      <c r="D1302" s="27"/>
      <c r="E1302" s="38"/>
      <c r="F1302" s="27"/>
      <c r="G1302" s="27"/>
      <c r="H1302" s="99"/>
      <c r="M1302" s="27"/>
      <c r="N1302" s="48"/>
    </row>
    <row r="1303" spans="1:14" s="7" customFormat="1" x14ac:dyDescent="0.35">
      <c r="A1303" s="113"/>
      <c r="B1303" s="27"/>
      <c r="C1303" s="48"/>
      <c r="D1303" s="27"/>
      <c r="E1303" s="38"/>
      <c r="F1303" s="27"/>
      <c r="G1303" s="27"/>
      <c r="H1303" s="99"/>
      <c r="M1303" s="27"/>
      <c r="N1303" s="48"/>
    </row>
    <row r="1304" spans="1:14" s="7" customFormat="1" x14ac:dyDescent="0.35">
      <c r="A1304" s="113"/>
      <c r="B1304" s="27"/>
      <c r="C1304" s="48"/>
      <c r="D1304" s="27"/>
      <c r="E1304" s="38"/>
      <c r="F1304" s="27"/>
      <c r="G1304" s="27"/>
      <c r="H1304" s="99"/>
      <c r="M1304" s="27"/>
      <c r="N1304" s="48"/>
    </row>
    <row r="1305" spans="1:14" s="7" customFormat="1" x14ac:dyDescent="0.35">
      <c r="A1305" s="113"/>
      <c r="B1305" s="27"/>
      <c r="C1305" s="48"/>
      <c r="D1305" s="27"/>
      <c r="E1305" s="38"/>
      <c r="F1305" s="27"/>
      <c r="G1305" s="27"/>
      <c r="H1305" s="99"/>
      <c r="M1305" s="27"/>
      <c r="N1305" s="48"/>
    </row>
    <row r="1306" spans="1:14" s="7" customFormat="1" x14ac:dyDescent="0.35">
      <c r="A1306" s="113"/>
      <c r="B1306" s="27"/>
      <c r="C1306" s="48"/>
      <c r="D1306" s="27"/>
      <c r="E1306" s="38"/>
      <c r="F1306" s="27"/>
      <c r="G1306" s="27"/>
      <c r="H1306" s="99"/>
      <c r="M1306" s="27"/>
      <c r="N1306" s="48"/>
    </row>
    <row r="1307" spans="1:14" s="7" customFormat="1" x14ac:dyDescent="0.35">
      <c r="A1307" s="113"/>
      <c r="B1307" s="27"/>
      <c r="C1307" s="48"/>
      <c r="D1307" s="27"/>
      <c r="E1307" s="38"/>
      <c r="F1307" s="27"/>
      <c r="G1307" s="27"/>
      <c r="H1307" s="99"/>
      <c r="M1307" s="27"/>
      <c r="N1307" s="48"/>
    </row>
    <row r="1308" spans="1:14" s="7" customFormat="1" x14ac:dyDescent="0.35">
      <c r="A1308" s="113"/>
      <c r="B1308" s="27"/>
      <c r="C1308" s="48"/>
      <c r="D1308" s="27"/>
      <c r="E1308" s="38"/>
      <c r="F1308" s="27"/>
      <c r="G1308" s="27"/>
      <c r="H1308" s="99"/>
      <c r="M1308" s="27"/>
      <c r="N1308" s="48"/>
    </row>
    <row r="1309" spans="1:14" s="7" customFormat="1" x14ac:dyDescent="0.35">
      <c r="A1309" s="113"/>
      <c r="B1309" s="27"/>
      <c r="C1309" s="48"/>
      <c r="D1309" s="27"/>
      <c r="E1309" s="38"/>
      <c r="F1309" s="27"/>
      <c r="G1309" s="27"/>
      <c r="H1309" s="99"/>
      <c r="M1309" s="27"/>
      <c r="N1309" s="48"/>
    </row>
    <row r="1310" spans="1:14" s="7" customFormat="1" x14ac:dyDescent="0.35">
      <c r="A1310" s="113"/>
      <c r="B1310" s="27"/>
      <c r="C1310" s="48"/>
      <c r="D1310" s="27"/>
      <c r="E1310" s="38"/>
      <c r="F1310" s="27"/>
      <c r="G1310" s="27"/>
      <c r="H1310" s="99"/>
      <c r="M1310" s="27"/>
      <c r="N1310" s="48"/>
    </row>
    <row r="1311" spans="1:14" s="7" customFormat="1" x14ac:dyDescent="0.35">
      <c r="A1311" s="113"/>
      <c r="B1311" s="27"/>
      <c r="C1311" s="48"/>
      <c r="D1311" s="27"/>
      <c r="E1311" s="38"/>
      <c r="F1311" s="27"/>
      <c r="G1311" s="27"/>
      <c r="H1311" s="99"/>
      <c r="M1311" s="27"/>
      <c r="N1311" s="48"/>
    </row>
    <row r="1312" spans="1:14" s="7" customFormat="1" x14ac:dyDescent="0.35">
      <c r="A1312" s="113"/>
      <c r="B1312" s="27"/>
      <c r="C1312" s="48"/>
      <c r="D1312" s="27"/>
      <c r="E1312" s="38"/>
      <c r="F1312" s="27"/>
      <c r="G1312" s="27"/>
      <c r="H1312" s="99"/>
      <c r="M1312" s="27"/>
      <c r="N1312" s="48"/>
    </row>
    <row r="1313" spans="1:14" s="7" customFormat="1" x14ac:dyDescent="0.35">
      <c r="A1313" s="113"/>
      <c r="B1313" s="27"/>
      <c r="C1313" s="48"/>
      <c r="D1313" s="27"/>
      <c r="E1313" s="38"/>
      <c r="F1313" s="27"/>
      <c r="G1313" s="27"/>
      <c r="H1313" s="99"/>
      <c r="M1313" s="27"/>
      <c r="N1313" s="48"/>
    </row>
    <row r="1314" spans="1:14" s="7" customFormat="1" x14ac:dyDescent="0.35">
      <c r="A1314" s="113"/>
      <c r="B1314" s="27"/>
      <c r="C1314" s="48"/>
      <c r="D1314" s="27"/>
      <c r="E1314" s="38"/>
      <c r="F1314" s="27"/>
      <c r="G1314" s="27"/>
      <c r="H1314" s="99"/>
      <c r="M1314" s="27"/>
      <c r="N1314" s="48"/>
    </row>
    <row r="1315" spans="1:14" s="7" customFormat="1" x14ac:dyDescent="0.35">
      <c r="A1315" s="113"/>
      <c r="B1315" s="27"/>
      <c r="C1315" s="48"/>
      <c r="D1315" s="27"/>
      <c r="E1315" s="38"/>
      <c r="F1315" s="27"/>
      <c r="G1315" s="27"/>
      <c r="H1315" s="99"/>
      <c r="M1315" s="27"/>
      <c r="N1315" s="48"/>
    </row>
    <row r="1316" spans="1:14" s="7" customFormat="1" x14ac:dyDescent="0.35">
      <c r="A1316" s="113"/>
      <c r="B1316" s="27"/>
      <c r="C1316" s="48"/>
      <c r="D1316" s="27"/>
      <c r="E1316" s="38"/>
      <c r="F1316" s="27"/>
      <c r="G1316" s="27"/>
      <c r="H1316" s="99"/>
      <c r="M1316" s="27"/>
      <c r="N1316" s="48"/>
    </row>
    <row r="1317" spans="1:14" s="7" customFormat="1" x14ac:dyDescent="0.35">
      <c r="A1317" s="113"/>
      <c r="B1317" s="27"/>
      <c r="C1317" s="48"/>
      <c r="D1317" s="27"/>
      <c r="E1317" s="38"/>
      <c r="F1317" s="27"/>
      <c r="G1317" s="27"/>
      <c r="H1317" s="99"/>
      <c r="M1317" s="27"/>
      <c r="N1317" s="48"/>
    </row>
    <row r="1318" spans="1:14" s="7" customFormat="1" x14ac:dyDescent="0.35">
      <c r="A1318" s="113"/>
      <c r="B1318" s="27"/>
      <c r="C1318" s="48"/>
      <c r="D1318" s="27"/>
      <c r="E1318" s="38"/>
      <c r="F1318" s="27"/>
      <c r="G1318" s="27"/>
      <c r="H1318" s="99"/>
      <c r="M1318" s="27"/>
      <c r="N1318" s="48"/>
    </row>
    <row r="1319" spans="1:14" s="7" customFormat="1" x14ac:dyDescent="0.35">
      <c r="A1319" s="113"/>
      <c r="B1319" s="27"/>
      <c r="C1319" s="48"/>
      <c r="D1319" s="27"/>
      <c r="E1319" s="38"/>
      <c r="F1319" s="27"/>
      <c r="G1319" s="27"/>
      <c r="H1319" s="99"/>
      <c r="M1319" s="27"/>
      <c r="N1319" s="48"/>
    </row>
    <row r="1320" spans="1:14" s="7" customFormat="1" x14ac:dyDescent="0.35">
      <c r="A1320" s="113"/>
      <c r="B1320" s="27"/>
      <c r="C1320" s="48"/>
      <c r="D1320" s="27"/>
      <c r="E1320" s="38"/>
      <c r="F1320" s="27"/>
      <c r="G1320" s="27"/>
      <c r="H1320" s="99"/>
      <c r="M1320" s="27"/>
      <c r="N1320" s="48"/>
    </row>
    <row r="1321" spans="1:14" s="7" customFormat="1" x14ac:dyDescent="0.35">
      <c r="A1321" s="113"/>
      <c r="B1321" s="27"/>
      <c r="C1321" s="48"/>
      <c r="D1321" s="27"/>
      <c r="E1321" s="38"/>
      <c r="F1321" s="27"/>
      <c r="G1321" s="27"/>
      <c r="H1321" s="99"/>
      <c r="M1321" s="27"/>
      <c r="N1321" s="48"/>
    </row>
    <row r="1322" spans="1:14" s="7" customFormat="1" x14ac:dyDescent="0.35">
      <c r="A1322" s="113"/>
      <c r="B1322" s="27"/>
      <c r="C1322" s="48"/>
      <c r="D1322" s="27"/>
      <c r="E1322" s="38"/>
      <c r="F1322" s="27"/>
      <c r="G1322" s="27"/>
      <c r="H1322" s="99"/>
      <c r="M1322" s="27"/>
      <c r="N1322" s="48"/>
    </row>
    <row r="1323" spans="1:14" s="7" customFormat="1" x14ac:dyDescent="0.35">
      <c r="A1323" s="113"/>
      <c r="B1323" s="27"/>
      <c r="C1323" s="48"/>
      <c r="D1323" s="27"/>
      <c r="E1323" s="38"/>
      <c r="F1323" s="27"/>
      <c r="G1323" s="27"/>
      <c r="H1323" s="99"/>
      <c r="M1323" s="27"/>
      <c r="N1323" s="48"/>
    </row>
    <row r="1324" spans="1:14" s="7" customFormat="1" x14ac:dyDescent="0.35">
      <c r="A1324" s="113"/>
      <c r="B1324" s="27"/>
      <c r="C1324" s="48"/>
      <c r="D1324" s="27"/>
      <c r="E1324" s="38"/>
      <c r="F1324" s="27"/>
      <c r="G1324" s="27"/>
      <c r="H1324" s="99"/>
      <c r="M1324" s="27"/>
      <c r="N1324" s="48"/>
    </row>
    <row r="1325" spans="1:14" s="7" customFormat="1" x14ac:dyDescent="0.35">
      <c r="A1325" s="113"/>
      <c r="B1325" s="27"/>
      <c r="C1325" s="48"/>
      <c r="D1325" s="27"/>
      <c r="E1325" s="38"/>
      <c r="F1325" s="27"/>
      <c r="G1325" s="27"/>
      <c r="H1325" s="99"/>
      <c r="M1325" s="27"/>
      <c r="N1325" s="48"/>
    </row>
    <row r="1326" spans="1:14" s="7" customFormat="1" x14ac:dyDescent="0.35">
      <c r="A1326" s="113"/>
      <c r="B1326" s="27"/>
      <c r="C1326" s="48"/>
      <c r="D1326" s="27"/>
      <c r="E1326" s="38"/>
      <c r="F1326" s="27"/>
      <c r="G1326" s="27"/>
      <c r="H1326" s="99"/>
      <c r="M1326" s="27"/>
      <c r="N1326" s="48"/>
    </row>
    <row r="1327" spans="1:14" s="7" customFormat="1" x14ac:dyDescent="0.35">
      <c r="A1327" s="113"/>
      <c r="B1327" s="27"/>
      <c r="C1327" s="48"/>
      <c r="D1327" s="27"/>
      <c r="E1327" s="38"/>
      <c r="F1327" s="27"/>
      <c r="G1327" s="27"/>
      <c r="H1327" s="99"/>
      <c r="M1327" s="27"/>
      <c r="N1327" s="48"/>
    </row>
    <row r="1328" spans="1:14" s="7" customFormat="1" x14ac:dyDescent="0.35">
      <c r="A1328" s="113"/>
      <c r="B1328" s="27"/>
      <c r="C1328" s="48"/>
      <c r="D1328" s="27"/>
      <c r="E1328" s="38"/>
      <c r="F1328" s="27"/>
      <c r="G1328" s="27"/>
      <c r="H1328" s="99"/>
      <c r="M1328" s="27"/>
      <c r="N1328" s="48"/>
    </row>
    <row r="1329" spans="1:14" s="7" customFormat="1" x14ac:dyDescent="0.35">
      <c r="A1329" s="113"/>
      <c r="B1329" s="27"/>
      <c r="C1329" s="48"/>
      <c r="D1329" s="27"/>
      <c r="E1329" s="38"/>
      <c r="F1329" s="27"/>
      <c r="G1329" s="27"/>
      <c r="H1329" s="99"/>
      <c r="M1329" s="27"/>
      <c r="N1329" s="48"/>
    </row>
    <row r="1330" spans="1:14" s="7" customFormat="1" x14ac:dyDescent="0.35">
      <c r="A1330" s="113"/>
      <c r="B1330" s="27"/>
      <c r="C1330" s="48"/>
      <c r="D1330" s="27"/>
      <c r="E1330" s="38"/>
      <c r="F1330" s="27"/>
      <c r="G1330" s="27"/>
      <c r="H1330" s="99"/>
      <c r="M1330" s="27"/>
      <c r="N1330" s="48"/>
    </row>
    <row r="1331" spans="1:14" s="7" customFormat="1" x14ac:dyDescent="0.35">
      <c r="A1331" s="113"/>
      <c r="B1331" s="27"/>
      <c r="C1331" s="48"/>
      <c r="D1331" s="27"/>
      <c r="E1331" s="38"/>
      <c r="F1331" s="27"/>
      <c r="G1331" s="27"/>
      <c r="H1331" s="99"/>
      <c r="M1331" s="27"/>
      <c r="N1331" s="48"/>
    </row>
    <row r="1332" spans="1:14" s="7" customFormat="1" x14ac:dyDescent="0.35">
      <c r="A1332" s="113"/>
      <c r="B1332" s="27"/>
      <c r="C1332" s="48"/>
      <c r="D1332" s="27"/>
      <c r="E1332" s="38"/>
      <c r="F1332" s="27"/>
      <c r="G1332" s="27"/>
      <c r="H1332" s="99"/>
      <c r="M1332" s="27"/>
      <c r="N1332" s="48"/>
    </row>
    <row r="1333" spans="1:14" s="7" customFormat="1" x14ac:dyDescent="0.35">
      <c r="A1333" s="113"/>
      <c r="B1333" s="27"/>
      <c r="C1333" s="48"/>
      <c r="D1333" s="27"/>
      <c r="E1333" s="38"/>
      <c r="F1333" s="27"/>
      <c r="G1333" s="27"/>
      <c r="H1333" s="99"/>
      <c r="M1333" s="27"/>
      <c r="N1333" s="48"/>
    </row>
    <row r="1334" spans="1:14" s="7" customFormat="1" x14ac:dyDescent="0.35">
      <c r="A1334" s="113"/>
      <c r="B1334" s="27"/>
      <c r="C1334" s="48"/>
      <c r="D1334" s="27"/>
      <c r="E1334" s="38"/>
      <c r="F1334" s="27"/>
      <c r="G1334" s="27"/>
      <c r="H1334" s="99"/>
      <c r="M1334" s="27"/>
      <c r="N1334" s="48"/>
    </row>
    <row r="1335" spans="1:14" s="7" customFormat="1" x14ac:dyDescent="0.35">
      <c r="A1335" s="113"/>
      <c r="B1335" s="27"/>
      <c r="C1335" s="48"/>
      <c r="D1335" s="27"/>
      <c r="E1335" s="38"/>
      <c r="F1335" s="27"/>
      <c r="G1335" s="27"/>
      <c r="H1335" s="99"/>
      <c r="M1335" s="27"/>
      <c r="N1335" s="48"/>
    </row>
    <row r="1336" spans="1:14" s="7" customFormat="1" x14ac:dyDescent="0.35">
      <c r="A1336" s="113"/>
      <c r="B1336" s="27"/>
      <c r="C1336" s="48"/>
      <c r="D1336" s="27"/>
      <c r="E1336" s="38"/>
      <c r="F1336" s="27"/>
      <c r="G1336" s="27"/>
      <c r="H1336" s="99"/>
      <c r="M1336" s="27"/>
      <c r="N1336" s="48"/>
    </row>
    <row r="1337" spans="1:14" s="7" customFormat="1" x14ac:dyDescent="0.35">
      <c r="A1337" s="113"/>
      <c r="B1337" s="27"/>
      <c r="C1337" s="48"/>
      <c r="D1337" s="27"/>
      <c r="E1337" s="38"/>
      <c r="F1337" s="27"/>
      <c r="G1337" s="27"/>
      <c r="H1337" s="99"/>
      <c r="M1337" s="27"/>
      <c r="N1337" s="48"/>
    </row>
    <row r="1338" spans="1:14" s="7" customFormat="1" x14ac:dyDescent="0.35">
      <c r="A1338" s="113"/>
      <c r="B1338" s="27"/>
      <c r="C1338" s="48"/>
      <c r="D1338" s="27"/>
      <c r="E1338" s="38"/>
      <c r="F1338" s="27"/>
      <c r="G1338" s="27"/>
      <c r="H1338" s="99"/>
      <c r="M1338" s="27"/>
      <c r="N1338" s="48"/>
    </row>
    <row r="1339" spans="1:14" s="7" customFormat="1" x14ac:dyDescent="0.35">
      <c r="A1339" s="113"/>
      <c r="B1339" s="27"/>
      <c r="C1339" s="48"/>
      <c r="D1339" s="27"/>
      <c r="E1339" s="38"/>
      <c r="F1339" s="27"/>
      <c r="G1339" s="27"/>
      <c r="H1339" s="99"/>
      <c r="M1339" s="27"/>
      <c r="N1339" s="48"/>
    </row>
    <row r="1340" spans="1:14" s="7" customFormat="1" x14ac:dyDescent="0.35">
      <c r="A1340" s="113"/>
      <c r="B1340" s="27"/>
      <c r="C1340" s="48"/>
      <c r="D1340" s="27"/>
      <c r="E1340" s="38"/>
      <c r="F1340" s="27"/>
      <c r="G1340" s="27"/>
      <c r="H1340" s="99"/>
      <c r="M1340" s="27"/>
      <c r="N1340" s="48"/>
    </row>
    <row r="1341" spans="1:14" s="7" customFormat="1" x14ac:dyDescent="0.35">
      <c r="A1341" s="113"/>
      <c r="B1341" s="27"/>
      <c r="C1341" s="48"/>
      <c r="D1341" s="27"/>
      <c r="E1341" s="38"/>
      <c r="F1341" s="27"/>
      <c r="G1341" s="27"/>
      <c r="H1341" s="99"/>
      <c r="M1341" s="27"/>
      <c r="N1341" s="48"/>
    </row>
    <row r="1342" spans="1:14" s="7" customFormat="1" x14ac:dyDescent="0.35">
      <c r="A1342" s="113"/>
      <c r="B1342" s="27"/>
      <c r="C1342" s="48"/>
      <c r="D1342" s="27"/>
      <c r="E1342" s="38"/>
      <c r="F1342" s="27"/>
      <c r="G1342" s="27"/>
      <c r="H1342" s="99"/>
      <c r="M1342" s="27"/>
      <c r="N1342" s="48"/>
    </row>
    <row r="1343" spans="1:14" s="7" customFormat="1" x14ac:dyDescent="0.35">
      <c r="A1343" s="113"/>
      <c r="B1343" s="27"/>
      <c r="C1343" s="48"/>
      <c r="D1343" s="27"/>
      <c r="E1343" s="38"/>
      <c r="F1343" s="27"/>
      <c r="G1343" s="27"/>
      <c r="H1343" s="99"/>
      <c r="M1343" s="27"/>
      <c r="N1343" s="48"/>
    </row>
    <row r="1344" spans="1:14" s="7" customFormat="1" x14ac:dyDescent="0.35">
      <c r="A1344" s="113"/>
      <c r="B1344" s="27"/>
      <c r="C1344" s="48"/>
      <c r="D1344" s="27"/>
      <c r="E1344" s="38"/>
      <c r="F1344" s="27"/>
      <c r="G1344" s="27"/>
      <c r="H1344" s="99"/>
      <c r="M1344" s="27"/>
      <c r="N1344" s="48"/>
    </row>
    <row r="1345" spans="1:14" s="7" customFormat="1" x14ac:dyDescent="0.35">
      <c r="A1345" s="113"/>
      <c r="B1345" s="27"/>
      <c r="C1345" s="48"/>
      <c r="D1345" s="27"/>
      <c r="E1345" s="38"/>
      <c r="F1345" s="27"/>
      <c r="G1345" s="27"/>
      <c r="H1345" s="99"/>
      <c r="M1345" s="27"/>
      <c r="N1345" s="48"/>
    </row>
    <row r="1346" spans="1:14" s="7" customFormat="1" x14ac:dyDescent="0.35">
      <c r="A1346" s="113"/>
      <c r="B1346" s="27"/>
      <c r="C1346" s="48"/>
      <c r="D1346" s="27"/>
      <c r="E1346" s="38"/>
      <c r="F1346" s="27"/>
      <c r="G1346" s="27"/>
      <c r="H1346" s="99"/>
      <c r="M1346" s="27"/>
      <c r="N1346" s="48"/>
    </row>
    <row r="1347" spans="1:14" s="7" customFormat="1" x14ac:dyDescent="0.35">
      <c r="A1347" s="113"/>
      <c r="B1347" s="27"/>
      <c r="C1347" s="48"/>
      <c r="D1347" s="27"/>
      <c r="E1347" s="38"/>
      <c r="F1347" s="27"/>
      <c r="G1347" s="27"/>
      <c r="H1347" s="99"/>
      <c r="M1347" s="27"/>
      <c r="N1347" s="48"/>
    </row>
    <row r="1348" spans="1:14" s="7" customFormat="1" x14ac:dyDescent="0.35">
      <c r="A1348" s="113"/>
      <c r="B1348" s="27"/>
      <c r="C1348" s="48"/>
      <c r="D1348" s="27"/>
      <c r="E1348" s="38"/>
      <c r="F1348" s="27"/>
      <c r="G1348" s="27"/>
      <c r="H1348" s="99"/>
      <c r="M1348" s="27"/>
      <c r="N1348" s="48"/>
    </row>
    <row r="1349" spans="1:14" s="7" customFormat="1" x14ac:dyDescent="0.35">
      <c r="A1349" s="113"/>
      <c r="B1349" s="27"/>
      <c r="C1349" s="48"/>
      <c r="D1349" s="27"/>
      <c r="E1349" s="38"/>
      <c r="F1349" s="27"/>
      <c r="G1349" s="27"/>
      <c r="H1349" s="99"/>
      <c r="M1349" s="27"/>
      <c r="N1349" s="48"/>
    </row>
    <row r="1350" spans="1:14" s="7" customFormat="1" x14ac:dyDescent="0.35">
      <c r="A1350" s="113"/>
      <c r="B1350" s="27"/>
      <c r="C1350" s="48"/>
      <c r="D1350" s="27"/>
      <c r="E1350" s="38"/>
      <c r="F1350" s="27"/>
      <c r="G1350" s="27"/>
      <c r="H1350" s="99"/>
      <c r="M1350" s="27"/>
      <c r="N1350" s="48"/>
    </row>
    <row r="1351" spans="1:14" s="7" customFormat="1" x14ac:dyDescent="0.35">
      <c r="A1351" s="113"/>
      <c r="B1351" s="27"/>
      <c r="C1351" s="48"/>
      <c r="D1351" s="27"/>
      <c r="E1351" s="38"/>
      <c r="F1351" s="27"/>
      <c r="G1351" s="27"/>
      <c r="H1351" s="99"/>
      <c r="M1351" s="27"/>
      <c r="N1351" s="48"/>
    </row>
    <row r="1352" spans="1:14" s="7" customFormat="1" x14ac:dyDescent="0.35">
      <c r="A1352" s="113"/>
      <c r="B1352" s="27"/>
      <c r="C1352" s="48"/>
      <c r="D1352" s="27"/>
      <c r="E1352" s="38"/>
      <c r="F1352" s="27"/>
      <c r="G1352" s="27"/>
      <c r="H1352" s="99"/>
      <c r="M1352" s="27"/>
      <c r="N1352" s="48"/>
    </row>
    <row r="1353" spans="1:14" s="7" customFormat="1" x14ac:dyDescent="0.35">
      <c r="A1353" s="113"/>
      <c r="B1353" s="27"/>
      <c r="C1353" s="48"/>
      <c r="D1353" s="27"/>
      <c r="E1353" s="38"/>
      <c r="F1353" s="27"/>
      <c r="G1353" s="27"/>
      <c r="H1353" s="99"/>
      <c r="M1353" s="27"/>
      <c r="N1353" s="48"/>
    </row>
    <row r="1354" spans="1:14" s="7" customFormat="1" x14ac:dyDescent="0.35">
      <c r="A1354" s="113"/>
      <c r="B1354" s="27"/>
      <c r="C1354" s="48"/>
      <c r="D1354" s="27"/>
      <c r="E1354" s="38"/>
      <c r="F1354" s="27"/>
      <c r="G1354" s="27"/>
      <c r="H1354" s="99"/>
      <c r="M1354" s="27"/>
      <c r="N1354" s="48"/>
    </row>
    <row r="1355" spans="1:14" s="7" customFormat="1" x14ac:dyDescent="0.35">
      <c r="A1355" s="113"/>
      <c r="B1355" s="27"/>
      <c r="C1355" s="48"/>
      <c r="D1355" s="27"/>
      <c r="E1355" s="38"/>
      <c r="F1355" s="27"/>
      <c r="G1355" s="27"/>
      <c r="H1355" s="99"/>
      <c r="M1355" s="27"/>
      <c r="N1355" s="48"/>
    </row>
    <row r="1356" spans="1:14" s="7" customFormat="1" x14ac:dyDescent="0.35">
      <c r="A1356" s="113"/>
      <c r="B1356" s="27"/>
      <c r="C1356" s="48"/>
      <c r="D1356" s="27"/>
      <c r="E1356" s="38"/>
      <c r="F1356" s="27"/>
      <c r="G1356" s="27"/>
      <c r="H1356" s="99"/>
      <c r="M1356" s="27"/>
      <c r="N1356" s="48"/>
    </row>
    <row r="1357" spans="1:14" s="7" customFormat="1" x14ac:dyDescent="0.35">
      <c r="A1357" s="113"/>
      <c r="B1357" s="27"/>
      <c r="C1357" s="48"/>
      <c r="D1357" s="27"/>
      <c r="E1357" s="38"/>
      <c r="F1357" s="27"/>
      <c r="G1357" s="27"/>
      <c r="H1357" s="99"/>
      <c r="M1357" s="27"/>
      <c r="N1357" s="48"/>
    </row>
    <row r="1358" spans="1:14" s="7" customFormat="1" x14ac:dyDescent="0.35">
      <c r="A1358" s="113"/>
      <c r="B1358" s="27"/>
      <c r="C1358" s="48"/>
      <c r="D1358" s="27"/>
      <c r="E1358" s="38"/>
      <c r="F1358" s="27"/>
      <c r="G1358" s="27"/>
      <c r="H1358" s="99"/>
      <c r="M1358" s="27"/>
      <c r="N1358" s="48"/>
    </row>
    <row r="1359" spans="1:14" s="7" customFormat="1" x14ac:dyDescent="0.35">
      <c r="A1359" s="113"/>
      <c r="B1359" s="27"/>
      <c r="C1359" s="48"/>
      <c r="D1359" s="27"/>
      <c r="E1359" s="38"/>
      <c r="F1359" s="27"/>
      <c r="G1359" s="27"/>
      <c r="H1359" s="99"/>
      <c r="M1359" s="27"/>
      <c r="N1359" s="48"/>
    </row>
    <row r="1360" spans="1:14" s="7" customFormat="1" x14ac:dyDescent="0.35">
      <c r="A1360" s="113"/>
      <c r="B1360" s="27"/>
      <c r="C1360" s="48"/>
      <c r="D1360" s="27"/>
      <c r="E1360" s="38"/>
      <c r="F1360" s="27"/>
      <c r="G1360" s="27"/>
      <c r="H1360" s="99"/>
      <c r="M1360" s="27"/>
      <c r="N1360" s="48"/>
    </row>
    <row r="1361" spans="1:14" s="7" customFormat="1" x14ac:dyDescent="0.35">
      <c r="A1361" s="113"/>
      <c r="B1361" s="27"/>
      <c r="C1361" s="48"/>
      <c r="D1361" s="27"/>
      <c r="E1361" s="38"/>
      <c r="F1361" s="27"/>
      <c r="G1361" s="27"/>
      <c r="H1361" s="99"/>
      <c r="M1361" s="27"/>
      <c r="N1361" s="48"/>
    </row>
    <row r="1362" spans="1:14" s="7" customFormat="1" x14ac:dyDescent="0.35">
      <c r="A1362" s="113"/>
      <c r="B1362" s="27"/>
      <c r="C1362" s="48"/>
      <c r="D1362" s="27"/>
      <c r="E1362" s="38"/>
      <c r="F1362" s="27"/>
      <c r="G1362" s="27"/>
      <c r="H1362" s="99"/>
      <c r="M1362" s="27"/>
      <c r="N1362" s="48"/>
    </row>
    <row r="1363" spans="1:14" s="7" customFormat="1" x14ac:dyDescent="0.35">
      <c r="A1363" s="113"/>
      <c r="B1363" s="27"/>
      <c r="C1363" s="48"/>
      <c r="D1363" s="27"/>
      <c r="E1363" s="38"/>
      <c r="F1363" s="27"/>
      <c r="G1363" s="27"/>
      <c r="H1363" s="99"/>
      <c r="M1363" s="27"/>
      <c r="N1363" s="48"/>
    </row>
    <row r="1364" spans="1:14" s="7" customFormat="1" x14ac:dyDescent="0.35">
      <c r="A1364" s="113"/>
      <c r="B1364" s="27"/>
      <c r="C1364" s="48"/>
      <c r="D1364" s="27"/>
      <c r="E1364" s="38"/>
      <c r="F1364" s="27"/>
      <c r="G1364" s="27"/>
      <c r="H1364" s="99"/>
      <c r="M1364" s="27"/>
      <c r="N1364" s="48"/>
    </row>
    <row r="1365" spans="1:14" s="7" customFormat="1" x14ac:dyDescent="0.35">
      <c r="A1365" s="113"/>
      <c r="B1365" s="27"/>
      <c r="C1365" s="48"/>
      <c r="D1365" s="27"/>
      <c r="E1365" s="38"/>
      <c r="F1365" s="27"/>
      <c r="G1365" s="27"/>
      <c r="H1365" s="99"/>
      <c r="M1365" s="27"/>
      <c r="N1365" s="48"/>
    </row>
    <row r="1366" spans="1:14" s="7" customFormat="1" x14ac:dyDescent="0.35">
      <c r="A1366" s="113"/>
      <c r="B1366" s="27"/>
      <c r="C1366" s="48"/>
      <c r="D1366" s="27"/>
      <c r="E1366" s="38"/>
      <c r="F1366" s="27"/>
      <c r="G1366" s="27"/>
      <c r="H1366" s="99"/>
      <c r="M1366" s="27"/>
      <c r="N1366" s="48"/>
    </row>
    <row r="1367" spans="1:14" s="7" customFormat="1" x14ac:dyDescent="0.35">
      <c r="A1367" s="113"/>
      <c r="B1367" s="27"/>
      <c r="C1367" s="48"/>
      <c r="D1367" s="27"/>
      <c r="E1367" s="38"/>
      <c r="F1367" s="27"/>
      <c r="G1367" s="27"/>
      <c r="H1367" s="99"/>
      <c r="M1367" s="27"/>
      <c r="N1367" s="48"/>
    </row>
    <row r="1368" spans="1:14" s="7" customFormat="1" x14ac:dyDescent="0.35">
      <c r="A1368" s="113"/>
      <c r="B1368" s="27"/>
      <c r="C1368" s="48"/>
      <c r="D1368" s="27"/>
      <c r="E1368" s="38"/>
      <c r="F1368" s="27"/>
      <c r="G1368" s="27"/>
      <c r="H1368" s="99"/>
      <c r="M1368" s="27"/>
      <c r="N1368" s="48"/>
    </row>
    <row r="1369" spans="1:14" s="7" customFormat="1" x14ac:dyDescent="0.35">
      <c r="A1369" s="113"/>
      <c r="B1369" s="27"/>
      <c r="C1369" s="48"/>
      <c r="D1369" s="27"/>
      <c r="E1369" s="38"/>
      <c r="F1369" s="27"/>
      <c r="G1369" s="27"/>
      <c r="H1369" s="99"/>
      <c r="M1369" s="27"/>
      <c r="N1369" s="48"/>
    </row>
    <row r="1370" spans="1:14" s="7" customFormat="1" x14ac:dyDescent="0.35">
      <c r="A1370" s="113"/>
      <c r="B1370" s="27"/>
      <c r="C1370" s="48"/>
      <c r="D1370" s="27"/>
      <c r="E1370" s="38"/>
      <c r="F1370" s="27"/>
      <c r="G1370" s="27"/>
      <c r="H1370" s="99"/>
      <c r="M1370" s="27"/>
      <c r="N1370" s="48"/>
    </row>
    <row r="1371" spans="1:14" s="7" customFormat="1" x14ac:dyDescent="0.35">
      <c r="A1371" s="113"/>
      <c r="B1371" s="27"/>
      <c r="C1371" s="48"/>
      <c r="D1371" s="27"/>
      <c r="E1371" s="38"/>
      <c r="F1371" s="27"/>
      <c r="G1371" s="27"/>
      <c r="H1371" s="99"/>
      <c r="M1371" s="27"/>
      <c r="N1371" s="48"/>
    </row>
    <row r="1372" spans="1:14" s="7" customFormat="1" x14ac:dyDescent="0.35">
      <c r="A1372" s="113"/>
      <c r="B1372" s="27"/>
      <c r="C1372" s="48"/>
      <c r="D1372" s="27"/>
      <c r="E1372" s="38"/>
      <c r="F1372" s="27"/>
      <c r="G1372" s="27"/>
      <c r="H1372" s="99"/>
      <c r="M1372" s="27"/>
      <c r="N1372" s="48"/>
    </row>
    <row r="1373" spans="1:14" s="7" customFormat="1" x14ac:dyDescent="0.35">
      <c r="A1373" s="113"/>
      <c r="B1373" s="27"/>
      <c r="C1373" s="48"/>
      <c r="D1373" s="27"/>
      <c r="E1373" s="38"/>
      <c r="F1373" s="27"/>
      <c r="G1373" s="27"/>
      <c r="H1373" s="99"/>
      <c r="M1373" s="27"/>
      <c r="N1373" s="48"/>
    </row>
    <row r="1374" spans="1:14" s="7" customFormat="1" x14ac:dyDescent="0.35">
      <c r="A1374" s="113"/>
      <c r="B1374" s="27"/>
      <c r="C1374" s="48"/>
      <c r="D1374" s="27"/>
      <c r="E1374" s="38"/>
      <c r="F1374" s="27"/>
      <c r="G1374" s="27"/>
      <c r="H1374" s="99"/>
      <c r="M1374" s="27"/>
      <c r="N1374" s="48"/>
    </row>
    <row r="1375" spans="1:14" s="7" customFormat="1" x14ac:dyDescent="0.35">
      <c r="A1375" s="113"/>
      <c r="B1375" s="27"/>
      <c r="C1375" s="48"/>
      <c r="D1375" s="27"/>
      <c r="E1375" s="38"/>
      <c r="F1375" s="27"/>
      <c r="G1375" s="27"/>
      <c r="H1375" s="99"/>
      <c r="M1375" s="27"/>
      <c r="N1375" s="48"/>
    </row>
    <row r="1376" spans="1:14" s="7" customFormat="1" x14ac:dyDescent="0.35">
      <c r="A1376" s="113"/>
      <c r="B1376" s="27"/>
      <c r="C1376" s="48"/>
      <c r="D1376" s="27"/>
      <c r="E1376" s="38"/>
      <c r="F1376" s="27"/>
      <c r="G1376" s="27"/>
      <c r="H1376" s="99"/>
      <c r="M1376" s="27"/>
      <c r="N1376" s="48"/>
    </row>
    <row r="1377" spans="1:14" s="7" customFormat="1" x14ac:dyDescent="0.35">
      <c r="A1377" s="113"/>
      <c r="B1377" s="27"/>
      <c r="C1377" s="48"/>
      <c r="D1377" s="27"/>
      <c r="E1377" s="38"/>
      <c r="F1377" s="27"/>
      <c r="G1377" s="27"/>
      <c r="H1377" s="99"/>
      <c r="M1377" s="27"/>
      <c r="N1377" s="48"/>
    </row>
    <row r="1378" spans="1:14" s="7" customFormat="1" x14ac:dyDescent="0.35">
      <c r="A1378" s="113"/>
      <c r="B1378" s="27"/>
      <c r="C1378" s="48"/>
      <c r="D1378" s="27"/>
      <c r="E1378" s="38"/>
      <c r="F1378" s="27"/>
      <c r="G1378" s="27"/>
      <c r="H1378" s="99"/>
      <c r="M1378" s="27"/>
      <c r="N1378" s="48"/>
    </row>
    <row r="1379" spans="1:14" s="7" customFormat="1" x14ac:dyDescent="0.35">
      <c r="A1379" s="113"/>
      <c r="B1379" s="27"/>
      <c r="C1379" s="48"/>
      <c r="D1379" s="27"/>
      <c r="E1379" s="38"/>
      <c r="F1379" s="27"/>
      <c r="G1379" s="27"/>
      <c r="H1379" s="99"/>
      <c r="M1379" s="27"/>
      <c r="N1379" s="48"/>
    </row>
    <row r="1380" spans="1:14" s="7" customFormat="1" x14ac:dyDescent="0.35">
      <c r="A1380" s="113"/>
      <c r="B1380" s="27"/>
      <c r="C1380" s="48"/>
      <c r="D1380" s="27"/>
      <c r="E1380" s="38"/>
      <c r="F1380" s="27"/>
      <c r="G1380" s="27"/>
      <c r="H1380" s="99"/>
      <c r="M1380" s="27"/>
      <c r="N1380" s="48"/>
    </row>
    <row r="1381" spans="1:14" s="7" customFormat="1" x14ac:dyDescent="0.35">
      <c r="A1381" s="113"/>
      <c r="B1381" s="27"/>
      <c r="C1381" s="48"/>
      <c r="D1381" s="27"/>
      <c r="E1381" s="38"/>
      <c r="F1381" s="27"/>
      <c r="G1381" s="27"/>
      <c r="H1381" s="99"/>
      <c r="M1381" s="27"/>
      <c r="N1381" s="48"/>
    </row>
    <row r="1382" spans="1:14" s="7" customFormat="1" x14ac:dyDescent="0.35">
      <c r="A1382" s="113"/>
      <c r="B1382" s="27"/>
      <c r="C1382" s="48"/>
      <c r="D1382" s="27"/>
      <c r="E1382" s="38"/>
      <c r="F1382" s="27"/>
      <c r="G1382" s="27"/>
      <c r="H1382" s="99"/>
      <c r="M1382" s="27"/>
      <c r="N1382" s="48"/>
    </row>
    <row r="1383" spans="1:14" s="7" customFormat="1" x14ac:dyDescent="0.35">
      <c r="A1383" s="113"/>
      <c r="B1383" s="27"/>
      <c r="C1383" s="48"/>
      <c r="D1383" s="27"/>
      <c r="E1383" s="38"/>
      <c r="F1383" s="27"/>
      <c r="G1383" s="27"/>
      <c r="H1383" s="99"/>
      <c r="M1383" s="27"/>
      <c r="N1383" s="48"/>
    </row>
    <row r="1384" spans="1:14" s="7" customFormat="1" x14ac:dyDescent="0.35">
      <c r="A1384" s="113"/>
      <c r="B1384" s="27"/>
      <c r="C1384" s="48"/>
      <c r="D1384" s="27"/>
      <c r="E1384" s="38"/>
      <c r="F1384" s="27"/>
      <c r="G1384" s="27"/>
      <c r="H1384" s="99"/>
      <c r="M1384" s="27"/>
      <c r="N1384" s="48"/>
    </row>
    <row r="1385" spans="1:14" s="7" customFormat="1" x14ac:dyDescent="0.35">
      <c r="A1385" s="113"/>
      <c r="B1385" s="27"/>
      <c r="C1385" s="48"/>
      <c r="D1385" s="27"/>
      <c r="E1385" s="38"/>
      <c r="F1385" s="27"/>
      <c r="G1385" s="27"/>
      <c r="H1385" s="99"/>
      <c r="M1385" s="27"/>
      <c r="N1385" s="48"/>
    </row>
    <row r="1386" spans="1:14" s="7" customFormat="1" x14ac:dyDescent="0.35">
      <c r="A1386" s="113"/>
      <c r="B1386" s="27"/>
      <c r="C1386" s="48"/>
      <c r="D1386" s="27"/>
      <c r="E1386" s="38"/>
      <c r="F1386" s="27"/>
      <c r="G1386" s="27"/>
      <c r="H1386" s="99"/>
      <c r="M1386" s="27"/>
      <c r="N1386" s="48"/>
    </row>
    <row r="1387" spans="1:14" s="7" customFormat="1" x14ac:dyDescent="0.35">
      <c r="A1387" s="113"/>
      <c r="B1387" s="27"/>
      <c r="C1387" s="48"/>
      <c r="D1387" s="27"/>
      <c r="E1387" s="38"/>
      <c r="F1387" s="27"/>
      <c r="G1387" s="27"/>
      <c r="H1387" s="99"/>
      <c r="M1387" s="27"/>
      <c r="N1387" s="48"/>
    </row>
    <row r="1388" spans="1:14" s="7" customFormat="1" x14ac:dyDescent="0.35">
      <c r="A1388" s="113"/>
      <c r="B1388" s="27"/>
      <c r="C1388" s="48"/>
      <c r="D1388" s="27"/>
      <c r="E1388" s="38"/>
      <c r="F1388" s="27"/>
      <c r="G1388" s="27"/>
      <c r="H1388" s="99"/>
      <c r="M1388" s="27"/>
      <c r="N1388" s="48"/>
    </row>
    <row r="1389" spans="1:14" s="7" customFormat="1" x14ac:dyDescent="0.35">
      <c r="A1389" s="113"/>
      <c r="B1389" s="27"/>
      <c r="C1389" s="48"/>
      <c r="D1389" s="27"/>
      <c r="E1389" s="38"/>
      <c r="F1389" s="27"/>
      <c r="G1389" s="27"/>
      <c r="H1389" s="99"/>
      <c r="M1389" s="27"/>
      <c r="N1389" s="48"/>
    </row>
    <row r="1390" spans="1:14" s="7" customFormat="1" x14ac:dyDescent="0.35">
      <c r="A1390" s="113"/>
      <c r="B1390" s="27"/>
      <c r="C1390" s="48"/>
      <c r="D1390" s="27"/>
      <c r="E1390" s="38"/>
      <c r="F1390" s="27"/>
      <c r="G1390" s="27"/>
      <c r="H1390" s="99"/>
      <c r="M1390" s="27"/>
      <c r="N1390" s="48"/>
    </row>
    <row r="1391" spans="1:14" s="7" customFormat="1" x14ac:dyDescent="0.35">
      <c r="A1391" s="113"/>
      <c r="B1391" s="27"/>
      <c r="C1391" s="48"/>
      <c r="D1391" s="27"/>
      <c r="E1391" s="38"/>
      <c r="F1391" s="27"/>
      <c r="G1391" s="27"/>
      <c r="H1391" s="99"/>
      <c r="M1391" s="27"/>
      <c r="N1391" s="48"/>
    </row>
    <row r="1392" spans="1:14" s="7" customFormat="1" x14ac:dyDescent="0.35">
      <c r="A1392" s="113"/>
      <c r="B1392" s="27"/>
      <c r="C1392" s="48"/>
      <c r="D1392" s="27"/>
      <c r="E1392" s="38"/>
      <c r="F1392" s="27"/>
      <c r="G1392" s="27"/>
      <c r="H1392" s="99"/>
      <c r="M1392" s="27"/>
      <c r="N1392" s="48"/>
    </row>
    <row r="1393" spans="1:14" s="7" customFormat="1" x14ac:dyDescent="0.35">
      <c r="A1393" s="113"/>
      <c r="B1393" s="27"/>
      <c r="C1393" s="48"/>
      <c r="D1393" s="27"/>
      <c r="E1393" s="38"/>
      <c r="F1393" s="27"/>
      <c r="G1393" s="27"/>
      <c r="H1393" s="99"/>
      <c r="M1393" s="27"/>
      <c r="N1393" s="48"/>
    </row>
    <row r="1394" spans="1:14" s="7" customFormat="1" x14ac:dyDescent="0.35">
      <c r="A1394" s="113"/>
      <c r="B1394" s="27"/>
      <c r="C1394" s="48"/>
      <c r="D1394" s="27"/>
      <c r="E1394" s="38"/>
      <c r="F1394" s="27"/>
      <c r="G1394" s="27"/>
      <c r="H1394" s="99"/>
      <c r="M1394" s="27"/>
      <c r="N1394" s="48"/>
    </row>
    <row r="1395" spans="1:14" s="7" customFormat="1" x14ac:dyDescent="0.35">
      <c r="A1395" s="113"/>
      <c r="B1395" s="27"/>
      <c r="C1395" s="48"/>
      <c r="D1395" s="27"/>
      <c r="E1395" s="38"/>
      <c r="F1395" s="27"/>
      <c r="G1395" s="27"/>
      <c r="H1395" s="99"/>
      <c r="M1395" s="27"/>
      <c r="N1395" s="48"/>
    </row>
    <row r="1396" spans="1:14" s="7" customFormat="1" x14ac:dyDescent="0.35">
      <c r="A1396" s="113"/>
      <c r="B1396" s="27"/>
      <c r="C1396" s="48"/>
      <c r="D1396" s="27"/>
      <c r="E1396" s="38"/>
      <c r="F1396" s="27"/>
      <c r="G1396" s="27"/>
      <c r="H1396" s="99"/>
      <c r="M1396" s="27"/>
      <c r="N1396" s="48"/>
    </row>
    <row r="1397" spans="1:14" s="7" customFormat="1" x14ac:dyDescent="0.35">
      <c r="A1397" s="113"/>
      <c r="B1397" s="27"/>
      <c r="C1397" s="48"/>
      <c r="D1397" s="27"/>
      <c r="E1397" s="38"/>
      <c r="F1397" s="27"/>
      <c r="G1397" s="27"/>
      <c r="H1397" s="99"/>
      <c r="M1397" s="27"/>
      <c r="N1397" s="48"/>
    </row>
    <row r="1398" spans="1:14" s="7" customFormat="1" x14ac:dyDescent="0.35">
      <c r="A1398" s="113"/>
      <c r="B1398" s="27"/>
      <c r="C1398" s="48"/>
      <c r="D1398" s="27"/>
      <c r="E1398" s="38"/>
      <c r="F1398" s="27"/>
      <c r="G1398" s="27"/>
      <c r="H1398" s="99"/>
      <c r="M1398" s="27"/>
      <c r="N1398" s="48"/>
    </row>
    <row r="1399" spans="1:14" s="7" customFormat="1" x14ac:dyDescent="0.35">
      <c r="A1399" s="113"/>
      <c r="B1399" s="27"/>
      <c r="C1399" s="48"/>
      <c r="D1399" s="27"/>
      <c r="E1399" s="38"/>
      <c r="F1399" s="27"/>
      <c r="G1399" s="27"/>
      <c r="H1399" s="99"/>
      <c r="M1399" s="27"/>
      <c r="N1399" s="48"/>
    </row>
    <row r="1400" spans="1:14" s="7" customFormat="1" x14ac:dyDescent="0.35">
      <c r="A1400" s="113"/>
      <c r="B1400" s="27"/>
      <c r="C1400" s="48"/>
      <c r="D1400" s="27"/>
      <c r="E1400" s="38"/>
      <c r="F1400" s="27"/>
      <c r="G1400" s="27"/>
      <c r="H1400" s="99"/>
      <c r="M1400" s="27"/>
      <c r="N1400" s="48"/>
    </row>
    <row r="1401" spans="1:14" s="7" customFormat="1" x14ac:dyDescent="0.35">
      <c r="A1401" s="113"/>
      <c r="B1401" s="27"/>
      <c r="C1401" s="48"/>
      <c r="D1401" s="27"/>
      <c r="E1401" s="38"/>
      <c r="F1401" s="27"/>
      <c r="G1401" s="27"/>
      <c r="H1401" s="99"/>
      <c r="M1401" s="27"/>
      <c r="N1401" s="48"/>
    </row>
    <row r="1402" spans="1:14" s="7" customFormat="1" x14ac:dyDescent="0.35">
      <c r="A1402" s="113"/>
      <c r="B1402" s="27"/>
      <c r="C1402" s="48"/>
      <c r="D1402" s="27"/>
      <c r="E1402" s="38"/>
      <c r="F1402" s="27"/>
      <c r="G1402" s="27"/>
      <c r="H1402" s="99"/>
      <c r="M1402" s="27"/>
      <c r="N1402" s="48"/>
    </row>
    <row r="1403" spans="1:14" s="7" customFormat="1" x14ac:dyDescent="0.35">
      <c r="A1403" s="113"/>
      <c r="B1403" s="27"/>
      <c r="C1403" s="48"/>
      <c r="D1403" s="27"/>
      <c r="E1403" s="38"/>
      <c r="F1403" s="27"/>
      <c r="G1403" s="27"/>
      <c r="H1403" s="99"/>
      <c r="M1403" s="27"/>
      <c r="N1403" s="48"/>
    </row>
    <row r="1404" spans="1:14" s="7" customFormat="1" x14ac:dyDescent="0.35">
      <c r="A1404" s="113"/>
      <c r="B1404" s="27"/>
      <c r="C1404" s="48"/>
      <c r="D1404" s="27"/>
      <c r="E1404" s="38"/>
      <c r="F1404" s="27"/>
      <c r="G1404" s="27"/>
      <c r="H1404" s="99"/>
      <c r="M1404" s="27"/>
      <c r="N1404" s="48"/>
    </row>
    <row r="1405" spans="1:14" s="7" customFormat="1" x14ac:dyDescent="0.35">
      <c r="A1405" s="113"/>
      <c r="B1405" s="27"/>
      <c r="C1405" s="48"/>
      <c r="D1405" s="27"/>
      <c r="E1405" s="38"/>
      <c r="F1405" s="27"/>
      <c r="G1405" s="27"/>
      <c r="H1405" s="99"/>
      <c r="M1405" s="27"/>
      <c r="N1405" s="48"/>
    </row>
    <row r="1406" spans="1:14" s="7" customFormat="1" x14ac:dyDescent="0.35">
      <c r="A1406" s="113"/>
      <c r="B1406" s="27"/>
      <c r="C1406" s="48"/>
      <c r="D1406" s="27"/>
      <c r="E1406" s="38"/>
      <c r="F1406" s="27"/>
      <c r="G1406" s="27"/>
      <c r="H1406" s="99"/>
      <c r="M1406" s="27"/>
      <c r="N1406" s="48"/>
    </row>
    <row r="1407" spans="1:14" s="7" customFormat="1" x14ac:dyDescent="0.35">
      <c r="A1407" s="113"/>
      <c r="B1407" s="27"/>
      <c r="C1407" s="48"/>
      <c r="D1407" s="27"/>
      <c r="E1407" s="38"/>
      <c r="F1407" s="27"/>
      <c r="G1407" s="27"/>
      <c r="H1407" s="99"/>
      <c r="M1407" s="27"/>
      <c r="N1407" s="48"/>
    </row>
    <row r="1408" spans="1:14" s="7" customFormat="1" x14ac:dyDescent="0.35">
      <c r="A1408" s="113"/>
      <c r="B1408" s="27"/>
      <c r="C1408" s="48"/>
      <c r="D1408" s="27"/>
      <c r="E1408" s="38"/>
      <c r="F1408" s="27"/>
      <c r="G1408" s="27"/>
      <c r="H1408" s="99"/>
      <c r="M1408" s="27"/>
      <c r="N1408" s="48"/>
    </row>
    <row r="1409" spans="1:14" s="7" customFormat="1" x14ac:dyDescent="0.35">
      <c r="A1409" s="113"/>
      <c r="B1409" s="27"/>
      <c r="C1409" s="48"/>
      <c r="D1409" s="27"/>
      <c r="E1409" s="38"/>
      <c r="F1409" s="27"/>
      <c r="G1409" s="27"/>
      <c r="H1409" s="99"/>
      <c r="M1409" s="27"/>
      <c r="N1409" s="48"/>
    </row>
    <row r="1410" spans="1:14" s="7" customFormat="1" x14ac:dyDescent="0.35">
      <c r="A1410" s="113"/>
      <c r="B1410" s="27"/>
      <c r="C1410" s="48"/>
      <c r="D1410" s="27"/>
      <c r="E1410" s="38"/>
      <c r="F1410" s="27"/>
      <c r="G1410" s="27"/>
      <c r="H1410" s="99"/>
      <c r="M1410" s="27"/>
      <c r="N1410" s="48"/>
    </row>
    <row r="1411" spans="1:14" s="7" customFormat="1" x14ac:dyDescent="0.35">
      <c r="A1411" s="113"/>
      <c r="B1411" s="27"/>
      <c r="C1411" s="48"/>
      <c r="D1411" s="27"/>
      <c r="E1411" s="38"/>
      <c r="F1411" s="27"/>
      <c r="G1411" s="27"/>
      <c r="H1411" s="99"/>
      <c r="M1411" s="27"/>
      <c r="N1411" s="48"/>
    </row>
    <row r="1412" spans="1:14" s="7" customFormat="1" x14ac:dyDescent="0.35">
      <c r="A1412" s="113"/>
      <c r="B1412" s="27"/>
      <c r="C1412" s="48"/>
      <c r="D1412" s="27"/>
      <c r="E1412" s="38"/>
      <c r="F1412" s="27"/>
      <c r="G1412" s="27"/>
      <c r="H1412" s="99"/>
      <c r="M1412" s="27"/>
      <c r="N1412" s="48"/>
    </row>
    <row r="1413" spans="1:14" s="7" customFormat="1" x14ac:dyDescent="0.35">
      <c r="A1413" s="113"/>
      <c r="B1413" s="27"/>
      <c r="C1413" s="48"/>
      <c r="D1413" s="27"/>
      <c r="E1413" s="38"/>
      <c r="F1413" s="27"/>
      <c r="G1413" s="27"/>
      <c r="H1413" s="99"/>
      <c r="M1413" s="27"/>
      <c r="N1413" s="48"/>
    </row>
    <row r="1414" spans="1:14" s="7" customFormat="1" x14ac:dyDescent="0.35">
      <c r="A1414" s="113"/>
      <c r="B1414" s="27"/>
      <c r="C1414" s="48"/>
      <c r="D1414" s="27"/>
      <c r="E1414" s="38"/>
      <c r="F1414" s="27"/>
      <c r="G1414" s="27"/>
      <c r="H1414" s="99"/>
      <c r="M1414" s="27"/>
      <c r="N1414" s="48"/>
    </row>
    <row r="1415" spans="1:14" s="7" customFormat="1" x14ac:dyDescent="0.35">
      <c r="A1415" s="113"/>
      <c r="B1415" s="27"/>
      <c r="C1415" s="48"/>
      <c r="D1415" s="27"/>
      <c r="E1415" s="38"/>
      <c r="F1415" s="27"/>
      <c r="G1415" s="27"/>
      <c r="H1415" s="99"/>
      <c r="M1415" s="27"/>
      <c r="N1415" s="48"/>
    </row>
    <row r="1416" spans="1:14" s="7" customFormat="1" x14ac:dyDescent="0.35">
      <c r="A1416" s="113"/>
      <c r="B1416" s="27"/>
      <c r="C1416" s="48"/>
      <c r="D1416" s="27"/>
      <c r="E1416" s="38"/>
      <c r="F1416" s="27"/>
      <c r="G1416" s="27"/>
      <c r="H1416" s="99"/>
      <c r="M1416" s="27"/>
      <c r="N1416" s="48"/>
    </row>
    <row r="1417" spans="1:14" s="7" customFormat="1" x14ac:dyDescent="0.35">
      <c r="A1417" s="113"/>
      <c r="B1417" s="27"/>
      <c r="C1417" s="48"/>
      <c r="D1417" s="27"/>
      <c r="E1417" s="38"/>
      <c r="F1417" s="27"/>
      <c r="G1417" s="27"/>
      <c r="H1417" s="99"/>
      <c r="M1417" s="27"/>
      <c r="N1417" s="48"/>
    </row>
    <row r="1418" spans="1:14" s="7" customFormat="1" x14ac:dyDescent="0.35">
      <c r="A1418" s="113"/>
      <c r="B1418" s="27"/>
      <c r="C1418" s="48"/>
      <c r="D1418" s="27"/>
      <c r="E1418" s="38"/>
      <c r="F1418" s="27"/>
      <c r="G1418" s="27"/>
      <c r="H1418" s="99"/>
      <c r="M1418" s="27"/>
      <c r="N1418" s="48"/>
    </row>
    <row r="1419" spans="1:14" s="7" customFormat="1" x14ac:dyDescent="0.35">
      <c r="A1419" s="113"/>
      <c r="B1419" s="27"/>
      <c r="C1419" s="48"/>
      <c r="D1419" s="27"/>
      <c r="E1419" s="38"/>
      <c r="F1419" s="27"/>
      <c r="G1419" s="27"/>
      <c r="H1419" s="99"/>
      <c r="M1419" s="27"/>
      <c r="N1419" s="48"/>
    </row>
    <row r="1420" spans="1:14" s="7" customFormat="1" x14ac:dyDescent="0.35">
      <c r="A1420" s="113"/>
      <c r="B1420" s="27"/>
      <c r="C1420" s="48"/>
      <c r="D1420" s="27"/>
      <c r="E1420" s="38"/>
      <c r="F1420" s="27"/>
      <c r="G1420" s="27"/>
      <c r="H1420" s="99"/>
      <c r="M1420" s="27"/>
      <c r="N1420" s="48"/>
    </row>
    <row r="1421" spans="1:14" s="7" customFormat="1" x14ac:dyDescent="0.35">
      <c r="A1421" s="113"/>
      <c r="B1421" s="27"/>
      <c r="C1421" s="48"/>
      <c r="D1421" s="27"/>
      <c r="E1421" s="38"/>
      <c r="F1421" s="27"/>
      <c r="G1421" s="27"/>
      <c r="H1421" s="99"/>
      <c r="M1421" s="27"/>
      <c r="N1421" s="48"/>
    </row>
    <row r="1422" spans="1:14" s="7" customFormat="1" x14ac:dyDescent="0.35">
      <c r="A1422" s="113"/>
      <c r="B1422" s="27"/>
      <c r="C1422" s="48"/>
      <c r="D1422" s="27"/>
      <c r="E1422" s="38"/>
      <c r="F1422" s="27"/>
      <c r="G1422" s="27"/>
      <c r="H1422" s="99"/>
      <c r="M1422" s="27"/>
      <c r="N1422" s="48"/>
    </row>
    <row r="1423" spans="1:14" s="7" customFormat="1" x14ac:dyDescent="0.35">
      <c r="A1423" s="113"/>
      <c r="B1423" s="27"/>
      <c r="C1423" s="48"/>
      <c r="D1423" s="27"/>
      <c r="E1423" s="38"/>
      <c r="F1423" s="27"/>
      <c r="G1423" s="27"/>
      <c r="H1423" s="99"/>
      <c r="M1423" s="27"/>
      <c r="N1423" s="48"/>
    </row>
    <row r="1424" spans="1:14" s="7" customFormat="1" x14ac:dyDescent="0.35">
      <c r="A1424" s="113"/>
      <c r="B1424" s="27"/>
      <c r="C1424" s="48"/>
      <c r="D1424" s="27"/>
      <c r="E1424" s="38"/>
      <c r="F1424" s="27"/>
      <c r="G1424" s="27"/>
      <c r="H1424" s="99"/>
      <c r="M1424" s="27"/>
      <c r="N1424" s="48"/>
    </row>
    <row r="1425" spans="1:14" s="7" customFormat="1" x14ac:dyDescent="0.35">
      <c r="A1425" s="113"/>
      <c r="B1425" s="27"/>
      <c r="C1425" s="48"/>
      <c r="D1425" s="27"/>
      <c r="E1425" s="38"/>
      <c r="F1425" s="27"/>
      <c r="G1425" s="27"/>
      <c r="H1425" s="99"/>
      <c r="M1425" s="27"/>
      <c r="N1425" s="48"/>
    </row>
    <row r="1426" spans="1:14" s="7" customFormat="1" x14ac:dyDescent="0.35">
      <c r="A1426" s="113"/>
      <c r="B1426" s="27"/>
      <c r="C1426" s="48"/>
      <c r="D1426" s="27"/>
      <c r="E1426" s="38"/>
      <c r="F1426" s="27"/>
      <c r="G1426" s="27"/>
      <c r="H1426" s="99"/>
      <c r="M1426" s="27"/>
      <c r="N1426" s="48"/>
    </row>
    <row r="1427" spans="1:14" s="7" customFormat="1" x14ac:dyDescent="0.35">
      <c r="A1427" s="113"/>
      <c r="B1427" s="27"/>
      <c r="C1427" s="48"/>
      <c r="D1427" s="27"/>
      <c r="E1427" s="38"/>
      <c r="F1427" s="27"/>
      <c r="G1427" s="27"/>
      <c r="H1427" s="99"/>
      <c r="M1427" s="27"/>
      <c r="N1427" s="48"/>
    </row>
    <row r="1428" spans="1:14" s="7" customFormat="1" x14ac:dyDescent="0.35">
      <c r="A1428" s="113"/>
      <c r="B1428" s="27"/>
      <c r="C1428" s="48"/>
      <c r="D1428" s="27"/>
      <c r="E1428" s="38"/>
      <c r="F1428" s="27"/>
      <c r="G1428" s="27"/>
      <c r="H1428" s="99"/>
      <c r="M1428" s="27"/>
      <c r="N1428" s="48"/>
    </row>
    <row r="1429" spans="1:14" s="7" customFormat="1" x14ac:dyDescent="0.35">
      <c r="A1429" s="113"/>
      <c r="B1429" s="27"/>
      <c r="C1429" s="48"/>
      <c r="D1429" s="27"/>
      <c r="E1429" s="38"/>
      <c r="F1429" s="27"/>
      <c r="G1429" s="27"/>
      <c r="H1429" s="99"/>
      <c r="M1429" s="27"/>
      <c r="N1429" s="48"/>
    </row>
    <row r="1430" spans="1:14" s="7" customFormat="1" x14ac:dyDescent="0.35">
      <c r="A1430" s="113"/>
      <c r="B1430" s="27"/>
      <c r="C1430" s="48"/>
      <c r="D1430" s="27"/>
      <c r="E1430" s="38"/>
      <c r="F1430" s="27"/>
      <c r="G1430" s="27"/>
      <c r="H1430" s="99"/>
      <c r="M1430" s="27"/>
      <c r="N1430" s="48"/>
    </row>
    <row r="1431" spans="1:14" s="7" customFormat="1" x14ac:dyDescent="0.35">
      <c r="A1431" s="113"/>
      <c r="B1431" s="27"/>
      <c r="C1431" s="48"/>
      <c r="D1431" s="27"/>
      <c r="E1431" s="38"/>
      <c r="F1431" s="27"/>
      <c r="G1431" s="27"/>
      <c r="H1431" s="99"/>
      <c r="M1431" s="27"/>
      <c r="N1431" s="48"/>
    </row>
    <row r="1432" spans="1:14" s="7" customFormat="1" x14ac:dyDescent="0.35">
      <c r="A1432" s="113"/>
      <c r="B1432" s="27"/>
      <c r="C1432" s="48"/>
      <c r="D1432" s="27"/>
      <c r="E1432" s="38"/>
      <c r="F1432" s="27"/>
      <c r="G1432" s="27"/>
      <c r="H1432" s="99"/>
      <c r="M1432" s="27"/>
      <c r="N1432" s="48"/>
    </row>
    <row r="1433" spans="1:14" s="7" customFormat="1" x14ac:dyDescent="0.35">
      <c r="A1433" s="113"/>
      <c r="B1433" s="27"/>
      <c r="C1433" s="48"/>
      <c r="D1433" s="27"/>
      <c r="E1433" s="38"/>
      <c r="F1433" s="27"/>
      <c r="G1433" s="27"/>
      <c r="H1433" s="99"/>
      <c r="M1433" s="27"/>
      <c r="N1433" s="48"/>
    </row>
    <row r="1434" spans="1:14" s="7" customFormat="1" x14ac:dyDescent="0.35">
      <c r="A1434" s="113"/>
      <c r="B1434" s="27"/>
      <c r="C1434" s="48"/>
      <c r="D1434" s="27"/>
      <c r="E1434" s="38"/>
      <c r="F1434" s="27"/>
      <c r="G1434" s="27"/>
      <c r="H1434" s="99"/>
      <c r="M1434" s="27"/>
      <c r="N1434" s="48"/>
    </row>
    <row r="1435" spans="1:14" s="7" customFormat="1" x14ac:dyDescent="0.35">
      <c r="A1435" s="113"/>
      <c r="B1435" s="27"/>
      <c r="C1435" s="48"/>
      <c r="D1435" s="27"/>
      <c r="E1435" s="38"/>
      <c r="F1435" s="27"/>
      <c r="G1435" s="27"/>
      <c r="H1435" s="99"/>
      <c r="M1435" s="27"/>
      <c r="N1435" s="48"/>
    </row>
    <row r="1436" spans="1:14" s="7" customFormat="1" x14ac:dyDescent="0.35">
      <c r="A1436" s="113"/>
      <c r="B1436" s="27"/>
      <c r="C1436" s="48"/>
      <c r="D1436" s="27"/>
      <c r="E1436" s="38"/>
      <c r="F1436" s="27"/>
      <c r="G1436" s="27"/>
      <c r="H1436" s="99"/>
      <c r="M1436" s="27"/>
      <c r="N1436" s="48"/>
    </row>
    <row r="1437" spans="1:14" s="7" customFormat="1" x14ac:dyDescent="0.35">
      <c r="A1437" s="113"/>
      <c r="B1437" s="27"/>
      <c r="C1437" s="48"/>
      <c r="D1437" s="27"/>
      <c r="E1437" s="38"/>
      <c r="F1437" s="27"/>
      <c r="G1437" s="27"/>
      <c r="H1437" s="99"/>
      <c r="M1437" s="27"/>
      <c r="N1437" s="48"/>
    </row>
    <row r="1438" spans="1:14" s="7" customFormat="1" x14ac:dyDescent="0.35">
      <c r="A1438" s="113"/>
      <c r="B1438" s="27"/>
      <c r="C1438" s="48"/>
      <c r="D1438" s="27"/>
      <c r="E1438" s="38"/>
      <c r="F1438" s="27"/>
      <c r="G1438" s="27"/>
      <c r="H1438" s="99"/>
      <c r="M1438" s="27"/>
      <c r="N1438" s="48"/>
    </row>
    <row r="1439" spans="1:14" s="7" customFormat="1" x14ac:dyDescent="0.35">
      <c r="A1439" s="113"/>
      <c r="B1439" s="27"/>
      <c r="C1439" s="48"/>
      <c r="D1439" s="27"/>
      <c r="E1439" s="38"/>
      <c r="F1439" s="27"/>
      <c r="G1439" s="27"/>
      <c r="H1439" s="99"/>
      <c r="M1439" s="27"/>
      <c r="N1439" s="48"/>
    </row>
    <row r="1440" spans="1:14" s="7" customFormat="1" x14ac:dyDescent="0.35">
      <c r="A1440" s="113"/>
      <c r="B1440" s="27"/>
      <c r="C1440" s="48"/>
      <c r="D1440" s="27"/>
      <c r="E1440" s="38"/>
      <c r="F1440" s="27"/>
      <c r="G1440" s="27"/>
      <c r="H1440" s="99"/>
      <c r="M1440" s="27"/>
      <c r="N1440" s="48"/>
    </row>
    <row r="1441" spans="1:14" s="7" customFormat="1" x14ac:dyDescent="0.35">
      <c r="A1441" s="113"/>
      <c r="B1441" s="27"/>
      <c r="C1441" s="48"/>
      <c r="D1441" s="27"/>
      <c r="E1441" s="38"/>
      <c r="F1441" s="27"/>
      <c r="G1441" s="27"/>
      <c r="H1441" s="99"/>
      <c r="M1441" s="27"/>
      <c r="N1441" s="48"/>
    </row>
    <row r="1442" spans="1:14" s="7" customFormat="1" x14ac:dyDescent="0.35">
      <c r="A1442" s="113"/>
      <c r="B1442" s="27"/>
      <c r="C1442" s="48"/>
      <c r="D1442" s="27"/>
      <c r="E1442" s="38"/>
      <c r="F1442" s="27"/>
      <c r="G1442" s="27"/>
      <c r="H1442" s="99"/>
      <c r="M1442" s="27"/>
      <c r="N1442" s="48"/>
    </row>
    <row r="1443" spans="1:14" s="7" customFormat="1" x14ac:dyDescent="0.35">
      <c r="A1443" s="113"/>
      <c r="B1443" s="27"/>
      <c r="C1443" s="48"/>
      <c r="D1443" s="27"/>
      <c r="E1443" s="38"/>
      <c r="F1443" s="27"/>
      <c r="G1443" s="27"/>
      <c r="H1443" s="99"/>
      <c r="M1443" s="27"/>
      <c r="N1443" s="48"/>
    </row>
    <row r="1444" spans="1:14" s="7" customFormat="1" x14ac:dyDescent="0.35">
      <c r="A1444" s="113"/>
      <c r="B1444" s="27"/>
      <c r="C1444" s="48"/>
      <c r="D1444" s="27"/>
      <c r="E1444" s="38"/>
      <c r="F1444" s="27"/>
      <c r="G1444" s="27"/>
      <c r="H1444" s="99"/>
      <c r="M1444" s="27"/>
      <c r="N1444" s="48"/>
    </row>
    <row r="1445" spans="1:14" s="7" customFormat="1" x14ac:dyDescent="0.35">
      <c r="A1445" s="113"/>
      <c r="B1445" s="27"/>
      <c r="C1445" s="48"/>
      <c r="D1445" s="27"/>
      <c r="E1445" s="38"/>
      <c r="F1445" s="27"/>
      <c r="G1445" s="27"/>
      <c r="H1445" s="99"/>
      <c r="M1445" s="27"/>
      <c r="N1445" s="48"/>
    </row>
    <row r="1446" spans="1:14" s="7" customFormat="1" x14ac:dyDescent="0.35">
      <c r="A1446" s="113"/>
      <c r="B1446" s="27"/>
      <c r="C1446" s="48"/>
      <c r="D1446" s="27"/>
      <c r="E1446" s="38"/>
      <c r="F1446" s="27"/>
      <c r="G1446" s="27"/>
      <c r="H1446" s="99"/>
      <c r="M1446" s="27"/>
      <c r="N1446" s="48"/>
    </row>
    <row r="1447" spans="1:14" s="7" customFormat="1" x14ac:dyDescent="0.35">
      <c r="A1447" s="113"/>
      <c r="B1447" s="27"/>
      <c r="C1447" s="48"/>
      <c r="D1447" s="27"/>
      <c r="E1447" s="38"/>
      <c r="F1447" s="27"/>
      <c r="G1447" s="27"/>
      <c r="H1447" s="99"/>
      <c r="M1447" s="27"/>
      <c r="N1447" s="48"/>
    </row>
    <row r="1448" spans="1:14" s="7" customFormat="1" x14ac:dyDescent="0.35">
      <c r="A1448" s="113"/>
      <c r="B1448" s="27"/>
      <c r="C1448" s="48"/>
      <c r="D1448" s="27"/>
      <c r="E1448" s="38"/>
      <c r="F1448" s="27"/>
      <c r="G1448" s="27"/>
      <c r="H1448" s="99"/>
      <c r="M1448" s="27"/>
      <c r="N1448" s="48"/>
    </row>
    <row r="1449" spans="1:14" s="7" customFormat="1" x14ac:dyDescent="0.35">
      <c r="A1449" s="113"/>
      <c r="B1449" s="27"/>
      <c r="C1449" s="48"/>
      <c r="D1449" s="27"/>
      <c r="E1449" s="38"/>
      <c r="F1449" s="27"/>
      <c r="G1449" s="27"/>
      <c r="H1449" s="99"/>
      <c r="M1449" s="27"/>
      <c r="N1449" s="48"/>
    </row>
    <row r="1450" spans="1:14" s="7" customFormat="1" x14ac:dyDescent="0.35">
      <c r="A1450" s="113"/>
      <c r="B1450" s="27"/>
      <c r="C1450" s="48"/>
      <c r="D1450" s="27"/>
      <c r="E1450" s="38"/>
      <c r="F1450" s="27"/>
      <c r="G1450" s="27"/>
      <c r="H1450" s="99"/>
      <c r="M1450" s="27"/>
      <c r="N1450" s="48"/>
    </row>
    <row r="1451" spans="1:14" s="7" customFormat="1" x14ac:dyDescent="0.35">
      <c r="A1451" s="113"/>
      <c r="B1451" s="27"/>
      <c r="C1451" s="48"/>
      <c r="D1451" s="27"/>
      <c r="E1451" s="38"/>
      <c r="F1451" s="27"/>
      <c r="G1451" s="27"/>
      <c r="H1451" s="99"/>
      <c r="M1451" s="27"/>
      <c r="N1451" s="48"/>
    </row>
    <row r="1452" spans="1:14" s="7" customFormat="1" x14ac:dyDescent="0.35">
      <c r="A1452" s="113"/>
      <c r="B1452" s="27"/>
      <c r="C1452" s="48"/>
      <c r="D1452" s="27"/>
      <c r="E1452" s="38"/>
      <c r="F1452" s="27"/>
      <c r="G1452" s="27"/>
      <c r="H1452" s="99"/>
      <c r="M1452" s="27"/>
      <c r="N1452" s="48"/>
    </row>
    <row r="1453" spans="1:14" s="7" customFormat="1" x14ac:dyDescent="0.35">
      <c r="A1453" s="113"/>
      <c r="B1453" s="27"/>
      <c r="C1453" s="48"/>
      <c r="D1453" s="27"/>
      <c r="E1453" s="38"/>
      <c r="F1453" s="27"/>
      <c r="G1453" s="27"/>
      <c r="H1453" s="99"/>
      <c r="M1453" s="27"/>
      <c r="N1453" s="48"/>
    </row>
    <row r="1454" spans="1:14" s="7" customFormat="1" x14ac:dyDescent="0.35">
      <c r="A1454" s="113"/>
      <c r="B1454" s="27"/>
      <c r="C1454" s="48"/>
      <c r="D1454" s="27"/>
      <c r="E1454" s="38"/>
      <c r="F1454" s="27"/>
      <c r="G1454" s="27"/>
      <c r="H1454" s="99"/>
      <c r="M1454" s="27"/>
      <c r="N1454" s="48"/>
    </row>
    <row r="1455" spans="1:14" s="7" customFormat="1" x14ac:dyDescent="0.35">
      <c r="A1455" s="113"/>
      <c r="B1455" s="27"/>
      <c r="C1455" s="48"/>
      <c r="D1455" s="27"/>
      <c r="E1455" s="38"/>
      <c r="F1455" s="27"/>
      <c r="G1455" s="27"/>
      <c r="H1455" s="99"/>
      <c r="M1455" s="27"/>
      <c r="N1455" s="48"/>
    </row>
    <row r="1456" spans="1:14" s="7" customFormat="1" x14ac:dyDescent="0.35">
      <c r="A1456" s="113"/>
      <c r="B1456" s="27"/>
      <c r="C1456" s="48"/>
      <c r="D1456" s="27"/>
      <c r="E1456" s="38"/>
      <c r="F1456" s="27"/>
      <c r="G1456" s="27"/>
      <c r="H1456" s="99"/>
      <c r="M1456" s="27"/>
      <c r="N1456" s="48"/>
    </row>
    <row r="1457" spans="1:14" s="7" customFormat="1" x14ac:dyDescent="0.35">
      <c r="A1457" s="113"/>
      <c r="B1457" s="27"/>
      <c r="C1457" s="48"/>
      <c r="D1457" s="27"/>
      <c r="E1457" s="38"/>
      <c r="F1457" s="27"/>
      <c r="G1457" s="27"/>
      <c r="H1457" s="99"/>
      <c r="M1457" s="27"/>
      <c r="N1457" s="48"/>
    </row>
    <row r="1458" spans="1:14" s="7" customFormat="1" x14ac:dyDescent="0.35">
      <c r="A1458" s="113"/>
      <c r="B1458" s="27"/>
      <c r="C1458" s="48"/>
      <c r="D1458" s="27"/>
      <c r="E1458" s="38"/>
      <c r="F1458" s="27"/>
      <c r="G1458" s="27"/>
      <c r="H1458" s="99"/>
      <c r="M1458" s="27"/>
      <c r="N1458" s="48"/>
    </row>
    <row r="1459" spans="1:14" s="7" customFormat="1" x14ac:dyDescent="0.35">
      <c r="A1459" s="113"/>
      <c r="B1459" s="27"/>
      <c r="C1459" s="48"/>
      <c r="D1459" s="27"/>
      <c r="E1459" s="38"/>
      <c r="F1459" s="27"/>
      <c r="G1459" s="27"/>
      <c r="H1459" s="99"/>
      <c r="M1459" s="27"/>
      <c r="N1459" s="48"/>
    </row>
    <row r="1460" spans="1:14" s="7" customFormat="1" x14ac:dyDescent="0.35">
      <c r="A1460" s="113"/>
      <c r="B1460" s="27"/>
      <c r="C1460" s="48"/>
      <c r="D1460" s="27"/>
      <c r="E1460" s="38"/>
      <c r="F1460" s="27"/>
      <c r="G1460" s="27"/>
      <c r="H1460" s="99"/>
      <c r="M1460" s="27"/>
      <c r="N1460" s="48"/>
    </row>
    <row r="1461" spans="1:14" s="7" customFormat="1" x14ac:dyDescent="0.35">
      <c r="A1461" s="113"/>
      <c r="B1461" s="27"/>
      <c r="C1461" s="48"/>
      <c r="D1461" s="27"/>
      <c r="E1461" s="38"/>
      <c r="F1461" s="27"/>
      <c r="G1461" s="27"/>
      <c r="H1461" s="99"/>
      <c r="M1461" s="27"/>
      <c r="N1461" s="48"/>
    </row>
    <row r="1462" spans="1:14" s="7" customFormat="1" x14ac:dyDescent="0.35">
      <c r="A1462" s="113"/>
      <c r="B1462" s="27"/>
      <c r="C1462" s="48"/>
      <c r="D1462" s="27"/>
      <c r="E1462" s="38"/>
      <c r="F1462" s="27"/>
      <c r="G1462" s="27"/>
      <c r="H1462" s="99"/>
      <c r="M1462" s="27"/>
      <c r="N1462" s="48"/>
    </row>
    <row r="1463" spans="1:14" s="7" customFormat="1" x14ac:dyDescent="0.35">
      <c r="A1463" s="113"/>
      <c r="B1463" s="27"/>
      <c r="C1463" s="48"/>
      <c r="D1463" s="27"/>
      <c r="E1463" s="38"/>
      <c r="F1463" s="27"/>
      <c r="G1463" s="27"/>
      <c r="H1463" s="99"/>
      <c r="M1463" s="27"/>
      <c r="N1463" s="48"/>
    </row>
    <row r="1464" spans="1:14" s="7" customFormat="1" x14ac:dyDescent="0.35">
      <c r="A1464" s="113"/>
      <c r="B1464" s="27"/>
      <c r="C1464" s="48"/>
      <c r="D1464" s="27"/>
      <c r="E1464" s="38"/>
      <c r="F1464" s="27"/>
      <c r="G1464" s="27"/>
      <c r="H1464" s="99"/>
      <c r="M1464" s="27"/>
      <c r="N1464" s="48"/>
    </row>
    <row r="1465" spans="1:14" s="7" customFormat="1" x14ac:dyDescent="0.35">
      <c r="A1465" s="113"/>
      <c r="B1465" s="27"/>
      <c r="C1465" s="48"/>
      <c r="D1465" s="27"/>
      <c r="E1465" s="38"/>
      <c r="F1465" s="27"/>
      <c r="G1465" s="27"/>
      <c r="H1465" s="99"/>
      <c r="M1465" s="27"/>
      <c r="N1465" s="48"/>
    </row>
    <row r="1466" spans="1:14" s="7" customFormat="1" x14ac:dyDescent="0.35">
      <c r="A1466" s="113"/>
      <c r="B1466" s="27"/>
      <c r="C1466" s="48"/>
      <c r="D1466" s="27"/>
      <c r="E1466" s="38"/>
      <c r="F1466" s="27"/>
      <c r="G1466" s="27"/>
      <c r="H1466" s="99"/>
      <c r="M1466" s="27"/>
      <c r="N1466" s="48"/>
    </row>
    <row r="1467" spans="1:14" s="7" customFormat="1" x14ac:dyDescent="0.35">
      <c r="A1467" s="113"/>
      <c r="B1467" s="27"/>
      <c r="C1467" s="48"/>
      <c r="D1467" s="27"/>
      <c r="E1467" s="38"/>
      <c r="F1467" s="27"/>
      <c r="G1467" s="27"/>
      <c r="H1467" s="99"/>
      <c r="M1467" s="27"/>
      <c r="N1467" s="48"/>
    </row>
    <row r="1468" spans="1:14" s="7" customFormat="1" x14ac:dyDescent="0.35">
      <c r="A1468" s="113"/>
      <c r="B1468" s="27"/>
      <c r="C1468" s="48"/>
      <c r="D1468" s="27"/>
      <c r="E1468" s="38"/>
      <c r="F1468" s="27"/>
      <c r="G1468" s="27"/>
      <c r="H1468" s="99"/>
      <c r="M1468" s="27"/>
      <c r="N1468" s="48"/>
    </row>
    <row r="1469" spans="1:14" s="7" customFormat="1" x14ac:dyDescent="0.35">
      <c r="A1469" s="113"/>
      <c r="B1469" s="27"/>
      <c r="C1469" s="48"/>
      <c r="D1469" s="27"/>
      <c r="E1469" s="38"/>
      <c r="F1469" s="27"/>
      <c r="G1469" s="27"/>
      <c r="H1469" s="99"/>
      <c r="M1469" s="27"/>
      <c r="N1469" s="48"/>
    </row>
    <row r="1470" spans="1:14" s="7" customFormat="1" x14ac:dyDescent="0.35">
      <c r="A1470" s="113"/>
      <c r="B1470" s="27"/>
      <c r="C1470" s="48"/>
      <c r="D1470" s="27"/>
      <c r="E1470" s="38"/>
      <c r="F1470" s="27"/>
      <c r="G1470" s="27"/>
      <c r="H1470" s="99"/>
      <c r="M1470" s="27"/>
      <c r="N1470" s="48"/>
    </row>
    <row r="1471" spans="1:14" s="7" customFormat="1" x14ac:dyDescent="0.35">
      <c r="A1471" s="113"/>
      <c r="B1471" s="27"/>
      <c r="C1471" s="48"/>
      <c r="D1471" s="27"/>
      <c r="E1471" s="38"/>
      <c r="F1471" s="27"/>
      <c r="G1471" s="27"/>
      <c r="H1471" s="99"/>
      <c r="M1471" s="27"/>
      <c r="N1471" s="48"/>
    </row>
    <row r="1472" spans="1:14" s="7" customFormat="1" x14ac:dyDescent="0.35">
      <c r="A1472" s="113"/>
      <c r="B1472" s="27"/>
      <c r="C1472" s="48"/>
      <c r="D1472" s="27"/>
      <c r="E1472" s="38"/>
      <c r="F1472" s="27"/>
      <c r="G1472" s="27"/>
      <c r="H1472" s="99"/>
      <c r="M1472" s="27"/>
      <c r="N1472" s="48"/>
    </row>
    <row r="1473" spans="1:14" s="7" customFormat="1" x14ac:dyDescent="0.35">
      <c r="A1473" s="113"/>
      <c r="B1473" s="27"/>
      <c r="C1473" s="48"/>
      <c r="D1473" s="27"/>
      <c r="E1473" s="38"/>
      <c r="F1473" s="27"/>
      <c r="G1473" s="27"/>
      <c r="H1473" s="99"/>
      <c r="M1473" s="27"/>
      <c r="N1473" s="48"/>
    </row>
    <row r="1474" spans="1:14" s="7" customFormat="1" x14ac:dyDescent="0.35">
      <c r="A1474" s="113"/>
      <c r="B1474" s="27"/>
      <c r="C1474" s="48"/>
      <c r="D1474" s="27"/>
      <c r="E1474" s="38"/>
      <c r="F1474" s="27"/>
      <c r="G1474" s="27"/>
      <c r="H1474" s="99"/>
      <c r="M1474" s="27"/>
      <c r="N1474" s="48"/>
    </row>
    <row r="1475" spans="1:14" s="7" customFormat="1" x14ac:dyDescent="0.35">
      <c r="A1475" s="113"/>
      <c r="B1475" s="27"/>
      <c r="C1475" s="48"/>
      <c r="D1475" s="27"/>
      <c r="E1475" s="38"/>
      <c r="F1475" s="27"/>
      <c r="G1475" s="27"/>
      <c r="H1475" s="99"/>
      <c r="M1475" s="27"/>
      <c r="N1475" s="48"/>
    </row>
    <row r="1476" spans="1:14" s="7" customFormat="1" x14ac:dyDescent="0.35">
      <c r="A1476" s="113"/>
      <c r="B1476" s="27"/>
      <c r="C1476" s="48"/>
      <c r="D1476" s="27"/>
      <c r="E1476" s="38"/>
      <c r="F1476" s="27"/>
      <c r="G1476" s="27"/>
      <c r="H1476" s="99"/>
      <c r="M1476" s="27"/>
      <c r="N1476" s="48"/>
    </row>
    <row r="1477" spans="1:14" s="7" customFormat="1" x14ac:dyDescent="0.35">
      <c r="A1477" s="113"/>
      <c r="B1477" s="27"/>
      <c r="C1477" s="48"/>
      <c r="D1477" s="27"/>
      <c r="E1477" s="38"/>
      <c r="F1477" s="27"/>
      <c r="G1477" s="27"/>
      <c r="H1477" s="99"/>
      <c r="M1477" s="27"/>
      <c r="N1477" s="48"/>
    </row>
    <row r="1478" spans="1:14" s="7" customFormat="1" x14ac:dyDescent="0.35">
      <c r="A1478" s="113"/>
      <c r="B1478" s="27"/>
      <c r="C1478" s="48"/>
      <c r="D1478" s="27"/>
      <c r="E1478" s="38"/>
      <c r="F1478" s="27"/>
      <c r="G1478" s="27"/>
      <c r="H1478" s="99"/>
      <c r="M1478" s="27"/>
      <c r="N1478" s="48"/>
    </row>
    <row r="1479" spans="1:14" s="7" customFormat="1" x14ac:dyDescent="0.35">
      <c r="A1479" s="113"/>
      <c r="B1479" s="27"/>
      <c r="C1479" s="48"/>
      <c r="D1479" s="27"/>
      <c r="E1479" s="38"/>
      <c r="F1479" s="27"/>
      <c r="G1479" s="27"/>
      <c r="H1479" s="99"/>
      <c r="M1479" s="27"/>
      <c r="N1479" s="48"/>
    </row>
    <row r="1480" spans="1:14" s="7" customFormat="1" x14ac:dyDescent="0.35">
      <c r="A1480" s="113"/>
      <c r="B1480" s="27"/>
      <c r="C1480" s="48"/>
      <c r="D1480" s="27"/>
      <c r="E1480" s="38"/>
      <c r="F1480" s="27"/>
      <c r="G1480" s="27"/>
      <c r="H1480" s="99"/>
      <c r="M1480" s="27"/>
      <c r="N1480" s="48"/>
    </row>
    <row r="1481" spans="1:14" s="7" customFormat="1" x14ac:dyDescent="0.35">
      <c r="A1481" s="113"/>
      <c r="B1481" s="27"/>
      <c r="C1481" s="48"/>
      <c r="D1481" s="27"/>
      <c r="E1481" s="38"/>
      <c r="F1481" s="27"/>
      <c r="G1481" s="27"/>
      <c r="H1481" s="99"/>
      <c r="M1481" s="27"/>
      <c r="N1481" s="48"/>
    </row>
    <row r="1482" spans="1:14" s="7" customFormat="1" x14ac:dyDescent="0.35">
      <c r="A1482" s="113"/>
      <c r="B1482" s="27"/>
      <c r="C1482" s="48"/>
      <c r="D1482" s="27"/>
      <c r="E1482" s="38"/>
      <c r="F1482" s="27"/>
      <c r="G1482" s="27"/>
      <c r="H1482" s="99"/>
      <c r="M1482" s="27"/>
      <c r="N1482" s="48"/>
    </row>
    <row r="1483" spans="1:14" s="7" customFormat="1" x14ac:dyDescent="0.35">
      <c r="A1483" s="113"/>
      <c r="B1483" s="27"/>
      <c r="C1483" s="48"/>
      <c r="D1483" s="27"/>
      <c r="E1483" s="38"/>
      <c r="F1483" s="27"/>
      <c r="G1483" s="27"/>
      <c r="H1483" s="99"/>
      <c r="M1483" s="27"/>
      <c r="N1483" s="48"/>
    </row>
    <row r="1484" spans="1:14" s="7" customFormat="1" x14ac:dyDescent="0.35">
      <c r="A1484" s="113"/>
      <c r="B1484" s="27"/>
      <c r="C1484" s="48"/>
      <c r="D1484" s="27"/>
      <c r="E1484" s="38"/>
      <c r="F1484" s="27"/>
      <c r="G1484" s="27"/>
      <c r="H1484" s="99"/>
      <c r="M1484" s="27"/>
      <c r="N1484" s="48"/>
    </row>
    <row r="1485" spans="1:14" s="7" customFormat="1" x14ac:dyDescent="0.35">
      <c r="A1485" s="113"/>
      <c r="B1485" s="27"/>
      <c r="C1485" s="48"/>
      <c r="D1485" s="27"/>
      <c r="E1485" s="38"/>
      <c r="F1485" s="27"/>
      <c r="G1485" s="27"/>
      <c r="H1485" s="99"/>
      <c r="M1485" s="27"/>
      <c r="N1485" s="48"/>
    </row>
    <row r="1486" spans="1:14" s="7" customFormat="1" x14ac:dyDescent="0.35">
      <c r="A1486" s="113"/>
      <c r="B1486" s="27"/>
      <c r="C1486" s="48"/>
      <c r="D1486" s="27"/>
      <c r="E1486" s="38"/>
      <c r="F1486" s="27"/>
      <c r="G1486" s="27"/>
      <c r="H1486" s="99"/>
      <c r="M1486" s="27"/>
      <c r="N1486" s="48"/>
    </row>
    <row r="1487" spans="1:14" s="7" customFormat="1" x14ac:dyDescent="0.35">
      <c r="A1487" s="113"/>
      <c r="B1487" s="27"/>
      <c r="C1487" s="48"/>
      <c r="D1487" s="27"/>
      <c r="E1487" s="38"/>
      <c r="F1487" s="27"/>
      <c r="G1487" s="27"/>
      <c r="H1487" s="99"/>
      <c r="M1487" s="27"/>
      <c r="N1487" s="48"/>
    </row>
    <row r="1488" spans="1:14" s="7" customFormat="1" x14ac:dyDescent="0.35">
      <c r="A1488" s="113"/>
      <c r="B1488" s="27"/>
      <c r="C1488" s="48"/>
      <c r="D1488" s="27"/>
      <c r="E1488" s="38"/>
      <c r="F1488" s="27"/>
      <c r="G1488" s="27"/>
      <c r="H1488" s="99"/>
      <c r="M1488" s="27"/>
      <c r="N1488" s="48"/>
    </row>
    <row r="1489" spans="1:14" s="7" customFormat="1" x14ac:dyDescent="0.35">
      <c r="A1489" s="113"/>
      <c r="B1489" s="27"/>
      <c r="C1489" s="48"/>
      <c r="D1489" s="27"/>
      <c r="E1489" s="38"/>
      <c r="F1489" s="27"/>
      <c r="G1489" s="27"/>
      <c r="H1489" s="99"/>
      <c r="M1489" s="27"/>
      <c r="N1489" s="48"/>
    </row>
    <row r="1490" spans="1:14" s="7" customFormat="1" x14ac:dyDescent="0.35">
      <c r="A1490" s="113"/>
      <c r="B1490" s="27"/>
      <c r="C1490" s="48"/>
      <c r="D1490" s="27"/>
      <c r="E1490" s="38"/>
      <c r="F1490" s="27"/>
      <c r="G1490" s="27"/>
      <c r="H1490" s="99"/>
      <c r="M1490" s="27"/>
      <c r="N1490" s="48"/>
    </row>
    <row r="1491" spans="1:14" s="7" customFormat="1" x14ac:dyDescent="0.35">
      <c r="A1491" s="113"/>
      <c r="B1491" s="27"/>
      <c r="C1491" s="48"/>
      <c r="D1491" s="27"/>
      <c r="E1491" s="38"/>
      <c r="F1491" s="27"/>
      <c r="G1491" s="27"/>
      <c r="H1491" s="99"/>
      <c r="M1491" s="27"/>
      <c r="N1491" s="48"/>
    </row>
    <row r="1492" spans="1:14" s="7" customFormat="1" x14ac:dyDescent="0.35">
      <c r="A1492" s="113"/>
      <c r="B1492" s="27"/>
      <c r="C1492" s="48"/>
      <c r="D1492" s="27"/>
      <c r="E1492" s="38"/>
      <c r="F1492" s="27"/>
      <c r="G1492" s="27"/>
      <c r="H1492" s="99"/>
      <c r="M1492" s="27"/>
      <c r="N1492" s="48"/>
    </row>
    <row r="1493" spans="1:14" s="7" customFormat="1" x14ac:dyDescent="0.35">
      <c r="A1493" s="113"/>
      <c r="B1493" s="27"/>
      <c r="C1493" s="48"/>
      <c r="D1493" s="27"/>
      <c r="E1493" s="38"/>
      <c r="F1493" s="27"/>
      <c r="G1493" s="27"/>
      <c r="H1493" s="99"/>
      <c r="M1493" s="27"/>
      <c r="N1493" s="48"/>
    </row>
    <row r="1494" spans="1:14" s="7" customFormat="1" x14ac:dyDescent="0.35">
      <c r="A1494" s="113"/>
      <c r="B1494" s="27"/>
      <c r="C1494" s="48"/>
      <c r="D1494" s="27"/>
      <c r="E1494" s="38"/>
      <c r="F1494" s="27"/>
      <c r="G1494" s="27"/>
      <c r="H1494" s="99"/>
      <c r="M1494" s="27"/>
      <c r="N1494" s="48"/>
    </row>
    <row r="1495" spans="1:14" s="7" customFormat="1" x14ac:dyDescent="0.35">
      <c r="A1495" s="113"/>
      <c r="B1495" s="27"/>
      <c r="C1495" s="48"/>
      <c r="D1495" s="27"/>
      <c r="E1495" s="38"/>
      <c r="F1495" s="27"/>
      <c r="G1495" s="27"/>
      <c r="H1495" s="99"/>
      <c r="M1495" s="27"/>
      <c r="N1495" s="48"/>
    </row>
    <row r="1496" spans="1:14" s="7" customFormat="1" x14ac:dyDescent="0.35">
      <c r="A1496" s="113"/>
      <c r="B1496" s="27"/>
      <c r="C1496" s="48"/>
      <c r="D1496" s="27"/>
      <c r="E1496" s="38"/>
      <c r="F1496" s="27"/>
      <c r="G1496" s="27"/>
      <c r="H1496" s="99"/>
      <c r="M1496" s="27"/>
      <c r="N1496" s="48"/>
    </row>
    <row r="1497" spans="1:14" s="7" customFormat="1" x14ac:dyDescent="0.35">
      <c r="A1497" s="113"/>
      <c r="B1497" s="27"/>
      <c r="C1497" s="48"/>
      <c r="D1497" s="27"/>
      <c r="E1497" s="38"/>
      <c r="F1497" s="27"/>
      <c r="G1497" s="27"/>
      <c r="H1497" s="99"/>
      <c r="M1497" s="27"/>
      <c r="N1497" s="48"/>
    </row>
    <row r="1498" spans="1:14" s="7" customFormat="1" x14ac:dyDescent="0.35">
      <c r="A1498" s="113"/>
      <c r="B1498" s="27"/>
      <c r="C1498" s="48"/>
      <c r="D1498" s="27"/>
      <c r="E1498" s="38"/>
      <c r="F1498" s="27"/>
      <c r="G1498" s="27"/>
      <c r="H1498" s="99"/>
      <c r="M1498" s="27"/>
      <c r="N1498" s="48"/>
    </row>
    <row r="1499" spans="1:14" s="7" customFormat="1" x14ac:dyDescent="0.35">
      <c r="A1499" s="113"/>
      <c r="B1499" s="27"/>
      <c r="C1499" s="48"/>
      <c r="D1499" s="27"/>
      <c r="E1499" s="38"/>
      <c r="F1499" s="27"/>
      <c r="G1499" s="27"/>
      <c r="H1499" s="99"/>
      <c r="M1499" s="27"/>
      <c r="N1499" s="48"/>
    </row>
    <row r="1500" spans="1:14" s="7" customFormat="1" x14ac:dyDescent="0.35">
      <c r="A1500" s="113"/>
      <c r="B1500" s="27"/>
      <c r="C1500" s="48"/>
      <c r="D1500" s="27"/>
      <c r="E1500" s="38"/>
      <c r="F1500" s="27"/>
      <c r="G1500" s="27"/>
      <c r="H1500" s="99"/>
      <c r="M1500" s="27"/>
      <c r="N1500" s="48"/>
    </row>
    <row r="1501" spans="1:14" s="7" customFormat="1" x14ac:dyDescent="0.35">
      <c r="A1501" s="113"/>
      <c r="B1501" s="27"/>
      <c r="C1501" s="48"/>
      <c r="D1501" s="27"/>
      <c r="E1501" s="38"/>
      <c r="F1501" s="27"/>
      <c r="G1501" s="27"/>
      <c r="H1501" s="99"/>
      <c r="M1501" s="27"/>
      <c r="N1501" s="48"/>
    </row>
    <row r="1502" spans="1:14" s="7" customFormat="1" x14ac:dyDescent="0.35">
      <c r="A1502" s="113"/>
      <c r="B1502" s="27"/>
      <c r="C1502" s="48"/>
      <c r="D1502" s="27"/>
      <c r="E1502" s="38"/>
      <c r="F1502" s="27"/>
      <c r="G1502" s="27"/>
      <c r="H1502" s="99"/>
      <c r="M1502" s="27"/>
      <c r="N1502" s="48"/>
    </row>
    <row r="1503" spans="1:14" s="7" customFormat="1" x14ac:dyDescent="0.35">
      <c r="A1503" s="113"/>
      <c r="B1503" s="27"/>
      <c r="C1503" s="48"/>
      <c r="D1503" s="27"/>
      <c r="E1503" s="38"/>
      <c r="F1503" s="27"/>
      <c r="G1503" s="27"/>
      <c r="H1503" s="99"/>
      <c r="M1503" s="27"/>
      <c r="N1503" s="48"/>
    </row>
    <row r="1504" spans="1:14" s="7" customFormat="1" x14ac:dyDescent="0.35">
      <c r="A1504" s="113"/>
      <c r="B1504" s="27"/>
      <c r="C1504" s="48"/>
      <c r="D1504" s="27"/>
      <c r="E1504" s="38"/>
      <c r="F1504" s="27"/>
      <c r="G1504" s="27"/>
      <c r="H1504" s="99"/>
      <c r="M1504" s="27"/>
      <c r="N1504" s="48"/>
    </row>
    <row r="1505" spans="1:14" s="7" customFormat="1" x14ac:dyDescent="0.35">
      <c r="A1505" s="113"/>
      <c r="B1505" s="27"/>
      <c r="C1505" s="48"/>
      <c r="D1505" s="27"/>
      <c r="E1505" s="38"/>
      <c r="F1505" s="27"/>
      <c r="G1505" s="27"/>
      <c r="H1505" s="99"/>
      <c r="M1505" s="27"/>
      <c r="N1505" s="48"/>
    </row>
    <row r="1506" spans="1:14" s="7" customFormat="1" x14ac:dyDescent="0.35">
      <c r="A1506" s="113"/>
      <c r="B1506" s="27"/>
      <c r="C1506" s="48"/>
      <c r="D1506" s="27"/>
      <c r="E1506" s="38"/>
      <c r="F1506" s="27"/>
      <c r="G1506" s="27"/>
      <c r="H1506" s="99"/>
      <c r="M1506" s="27"/>
      <c r="N1506" s="48"/>
    </row>
    <row r="1507" spans="1:14" s="7" customFormat="1" x14ac:dyDescent="0.35">
      <c r="A1507" s="113"/>
      <c r="B1507" s="27"/>
      <c r="C1507" s="48"/>
      <c r="D1507" s="27"/>
      <c r="E1507" s="38"/>
      <c r="F1507" s="27"/>
      <c r="G1507" s="27"/>
      <c r="H1507" s="99"/>
      <c r="M1507" s="27"/>
      <c r="N1507" s="48"/>
    </row>
    <row r="1508" spans="1:14" s="7" customFormat="1" x14ac:dyDescent="0.35">
      <c r="A1508" s="113"/>
      <c r="B1508" s="27"/>
      <c r="C1508" s="48"/>
      <c r="D1508" s="27"/>
      <c r="E1508" s="38"/>
      <c r="F1508" s="27"/>
      <c r="G1508" s="27"/>
      <c r="H1508" s="99"/>
      <c r="M1508" s="27"/>
      <c r="N1508" s="48"/>
    </row>
    <row r="1509" spans="1:14" s="7" customFormat="1" x14ac:dyDescent="0.35">
      <c r="A1509" s="113"/>
      <c r="B1509" s="27"/>
      <c r="C1509" s="48"/>
      <c r="D1509" s="27"/>
      <c r="E1509" s="38"/>
      <c r="F1509" s="27"/>
      <c r="G1509" s="27"/>
      <c r="H1509" s="99"/>
      <c r="M1509" s="27"/>
      <c r="N1509" s="48"/>
    </row>
    <row r="1510" spans="1:14" s="7" customFormat="1" x14ac:dyDescent="0.35">
      <c r="A1510" s="113"/>
      <c r="B1510" s="27"/>
      <c r="C1510" s="48"/>
      <c r="D1510" s="27"/>
      <c r="E1510" s="38"/>
      <c r="F1510" s="27"/>
      <c r="G1510" s="27"/>
      <c r="H1510" s="99"/>
      <c r="M1510" s="27"/>
      <c r="N1510" s="48"/>
    </row>
    <row r="1511" spans="1:14" s="7" customFormat="1" x14ac:dyDescent="0.35">
      <c r="A1511" s="113"/>
      <c r="B1511" s="27"/>
      <c r="C1511" s="48"/>
      <c r="D1511" s="27"/>
      <c r="E1511" s="38"/>
      <c r="F1511" s="27"/>
      <c r="G1511" s="27"/>
      <c r="H1511" s="99"/>
      <c r="M1511" s="27"/>
      <c r="N1511" s="48"/>
    </row>
    <row r="1512" spans="1:14" s="7" customFormat="1" x14ac:dyDescent="0.35">
      <c r="A1512" s="113"/>
      <c r="B1512" s="27"/>
      <c r="C1512" s="48"/>
      <c r="D1512" s="27"/>
      <c r="E1512" s="38"/>
      <c r="F1512" s="27"/>
      <c r="G1512" s="27"/>
      <c r="H1512" s="99"/>
      <c r="M1512" s="27"/>
      <c r="N1512" s="48"/>
    </row>
    <row r="1513" spans="1:14" s="7" customFormat="1" x14ac:dyDescent="0.35">
      <c r="A1513" s="113"/>
      <c r="B1513" s="27"/>
      <c r="C1513" s="48"/>
      <c r="D1513" s="27"/>
      <c r="E1513" s="38"/>
      <c r="F1513" s="27"/>
      <c r="G1513" s="27"/>
      <c r="H1513" s="99"/>
      <c r="M1513" s="27"/>
      <c r="N1513" s="48"/>
    </row>
    <row r="1514" spans="1:14" s="7" customFormat="1" x14ac:dyDescent="0.35">
      <c r="A1514" s="113"/>
      <c r="B1514" s="27"/>
      <c r="C1514" s="48"/>
      <c r="D1514" s="27"/>
      <c r="E1514" s="38"/>
      <c r="F1514" s="27"/>
      <c r="G1514" s="27"/>
      <c r="H1514" s="99"/>
      <c r="M1514" s="27"/>
      <c r="N1514" s="48"/>
    </row>
    <row r="1515" spans="1:14" s="7" customFormat="1" x14ac:dyDescent="0.35">
      <c r="A1515" s="113"/>
      <c r="B1515" s="27"/>
      <c r="C1515" s="48"/>
      <c r="D1515" s="27"/>
      <c r="E1515" s="38"/>
      <c r="F1515" s="27"/>
      <c r="G1515" s="27"/>
      <c r="H1515" s="99"/>
      <c r="M1515" s="27"/>
      <c r="N1515" s="48"/>
    </row>
    <row r="1516" spans="1:14" s="7" customFormat="1" x14ac:dyDescent="0.35">
      <c r="A1516" s="113"/>
      <c r="B1516" s="27"/>
      <c r="C1516" s="48"/>
      <c r="D1516" s="27"/>
      <c r="E1516" s="38"/>
      <c r="F1516" s="27"/>
      <c r="G1516" s="27"/>
      <c r="H1516" s="99"/>
      <c r="M1516" s="27"/>
      <c r="N1516" s="48"/>
    </row>
    <row r="1517" spans="1:14" s="7" customFormat="1" x14ac:dyDescent="0.35">
      <c r="A1517" s="113"/>
      <c r="B1517" s="27"/>
      <c r="C1517" s="48"/>
      <c r="D1517" s="27"/>
      <c r="E1517" s="38"/>
      <c r="F1517" s="27"/>
      <c r="G1517" s="27"/>
      <c r="H1517" s="99"/>
      <c r="M1517" s="27"/>
      <c r="N1517" s="48"/>
    </row>
    <row r="1518" spans="1:14" s="7" customFormat="1" x14ac:dyDescent="0.35">
      <c r="A1518" s="113"/>
      <c r="B1518" s="27"/>
      <c r="C1518" s="48"/>
      <c r="D1518" s="27"/>
      <c r="E1518" s="38"/>
      <c r="F1518" s="27"/>
      <c r="G1518" s="27"/>
      <c r="H1518" s="99"/>
      <c r="M1518" s="27"/>
      <c r="N1518" s="48"/>
    </row>
    <row r="1519" spans="1:14" s="7" customFormat="1" x14ac:dyDescent="0.35">
      <c r="A1519" s="113"/>
      <c r="B1519" s="27"/>
      <c r="C1519" s="48"/>
      <c r="D1519" s="27"/>
      <c r="E1519" s="38"/>
      <c r="F1519" s="27"/>
      <c r="G1519" s="27"/>
      <c r="H1519" s="99"/>
      <c r="M1519" s="27"/>
      <c r="N1519" s="48"/>
    </row>
    <row r="1520" spans="1:14" s="7" customFormat="1" x14ac:dyDescent="0.35">
      <c r="A1520" s="113"/>
      <c r="B1520" s="27"/>
      <c r="C1520" s="48"/>
      <c r="D1520" s="27"/>
      <c r="E1520" s="38"/>
      <c r="F1520" s="27"/>
      <c r="G1520" s="27"/>
      <c r="H1520" s="99"/>
      <c r="M1520" s="27"/>
      <c r="N1520" s="48"/>
    </row>
    <row r="1521" spans="1:14" s="7" customFormat="1" x14ac:dyDescent="0.35">
      <c r="A1521" s="113"/>
      <c r="B1521" s="27"/>
      <c r="C1521" s="48"/>
      <c r="D1521" s="27"/>
      <c r="E1521" s="38"/>
      <c r="F1521" s="27"/>
      <c r="G1521" s="27"/>
      <c r="H1521" s="99"/>
      <c r="M1521" s="27"/>
      <c r="N1521" s="48"/>
    </row>
    <row r="1522" spans="1:14" s="7" customFormat="1" x14ac:dyDescent="0.35">
      <c r="A1522" s="113"/>
      <c r="B1522" s="27"/>
      <c r="C1522" s="48"/>
      <c r="D1522" s="27"/>
      <c r="E1522" s="38"/>
      <c r="F1522" s="27"/>
      <c r="G1522" s="27"/>
      <c r="H1522" s="99"/>
      <c r="M1522" s="27"/>
      <c r="N1522" s="48"/>
    </row>
    <row r="1523" spans="1:14" s="7" customFormat="1" x14ac:dyDescent="0.35">
      <c r="A1523" s="113"/>
      <c r="B1523" s="27"/>
      <c r="C1523" s="48"/>
      <c r="D1523" s="27"/>
      <c r="E1523" s="38"/>
      <c r="F1523" s="27"/>
      <c r="G1523" s="27"/>
      <c r="H1523" s="99"/>
      <c r="M1523" s="27"/>
      <c r="N1523" s="48"/>
    </row>
    <row r="1524" spans="1:14" s="7" customFormat="1" x14ac:dyDescent="0.35">
      <c r="A1524" s="113"/>
      <c r="B1524" s="27"/>
      <c r="C1524" s="48"/>
      <c r="D1524" s="27"/>
      <c r="E1524" s="38"/>
      <c r="F1524" s="27"/>
      <c r="G1524" s="27"/>
      <c r="H1524" s="99"/>
      <c r="M1524" s="27"/>
      <c r="N1524" s="48"/>
    </row>
    <row r="1525" spans="1:14" s="7" customFormat="1" x14ac:dyDescent="0.35">
      <c r="A1525" s="113"/>
      <c r="B1525" s="27"/>
      <c r="C1525" s="48"/>
      <c r="D1525" s="27"/>
      <c r="E1525" s="38"/>
      <c r="F1525" s="27"/>
      <c r="G1525" s="27"/>
      <c r="H1525" s="99"/>
      <c r="M1525" s="27"/>
      <c r="N1525" s="48"/>
    </row>
    <row r="1526" spans="1:14" s="7" customFormat="1" x14ac:dyDescent="0.35">
      <c r="A1526" s="113"/>
      <c r="B1526" s="27"/>
      <c r="C1526" s="48"/>
      <c r="D1526" s="27"/>
      <c r="E1526" s="38"/>
      <c r="F1526" s="27"/>
      <c r="G1526" s="27"/>
      <c r="H1526" s="99"/>
      <c r="M1526" s="27"/>
      <c r="N1526" s="48"/>
    </row>
    <row r="1527" spans="1:14" s="7" customFormat="1" x14ac:dyDescent="0.35">
      <c r="A1527" s="113"/>
      <c r="B1527" s="27"/>
      <c r="C1527" s="48"/>
      <c r="D1527" s="27"/>
      <c r="E1527" s="38"/>
      <c r="F1527" s="27"/>
      <c r="G1527" s="27"/>
      <c r="H1527" s="99"/>
      <c r="M1527" s="27"/>
      <c r="N1527" s="48"/>
    </row>
    <row r="1528" spans="1:14" s="7" customFormat="1" x14ac:dyDescent="0.35">
      <c r="A1528" s="113"/>
      <c r="B1528" s="27"/>
      <c r="C1528" s="48"/>
      <c r="D1528" s="27"/>
      <c r="E1528" s="38"/>
      <c r="F1528" s="27"/>
      <c r="G1528" s="27"/>
      <c r="H1528" s="99"/>
      <c r="M1528" s="27"/>
      <c r="N1528" s="48"/>
    </row>
    <row r="1529" spans="1:14" s="7" customFormat="1" x14ac:dyDescent="0.35">
      <c r="A1529" s="113"/>
      <c r="B1529" s="27"/>
      <c r="C1529" s="48"/>
      <c r="D1529" s="27"/>
      <c r="E1529" s="38"/>
      <c r="F1529" s="27"/>
      <c r="G1529" s="27"/>
      <c r="H1529" s="99"/>
      <c r="M1529" s="27"/>
      <c r="N1529" s="48"/>
    </row>
    <row r="1530" spans="1:14" s="7" customFormat="1" x14ac:dyDescent="0.35">
      <c r="A1530" s="113"/>
      <c r="B1530" s="27"/>
      <c r="C1530" s="48"/>
      <c r="D1530" s="27"/>
      <c r="E1530" s="38"/>
      <c r="F1530" s="27"/>
      <c r="G1530" s="27"/>
      <c r="H1530" s="99"/>
      <c r="M1530" s="27"/>
      <c r="N1530" s="48"/>
    </row>
    <row r="1531" spans="1:14" s="7" customFormat="1" x14ac:dyDescent="0.35">
      <c r="A1531" s="113"/>
      <c r="B1531" s="27"/>
      <c r="C1531" s="48"/>
      <c r="D1531" s="27"/>
      <c r="E1531" s="38"/>
      <c r="F1531" s="27"/>
      <c r="G1531" s="27"/>
      <c r="H1531" s="99"/>
      <c r="M1531" s="27"/>
      <c r="N1531" s="48"/>
    </row>
    <row r="1532" spans="1:14" s="7" customFormat="1" x14ac:dyDescent="0.35">
      <c r="A1532" s="113"/>
      <c r="B1532" s="27"/>
      <c r="C1532" s="48"/>
      <c r="D1532" s="27"/>
      <c r="E1532" s="38"/>
      <c r="F1532" s="27"/>
      <c r="G1532" s="27"/>
      <c r="H1532" s="99"/>
      <c r="M1532" s="27"/>
      <c r="N1532" s="48"/>
    </row>
    <row r="1533" spans="1:14" s="7" customFormat="1" x14ac:dyDescent="0.35">
      <c r="A1533" s="113"/>
      <c r="B1533" s="27"/>
      <c r="C1533" s="48"/>
      <c r="D1533" s="27"/>
      <c r="E1533" s="38"/>
      <c r="F1533" s="27"/>
      <c r="G1533" s="27"/>
      <c r="H1533" s="99"/>
      <c r="M1533" s="27"/>
      <c r="N1533" s="48"/>
    </row>
    <row r="1534" spans="1:14" s="7" customFormat="1" x14ac:dyDescent="0.35">
      <c r="A1534" s="113"/>
      <c r="B1534" s="27"/>
      <c r="C1534" s="48"/>
      <c r="D1534" s="27"/>
      <c r="E1534" s="38"/>
      <c r="F1534" s="27"/>
      <c r="G1534" s="27"/>
      <c r="H1534" s="99"/>
      <c r="M1534" s="27"/>
      <c r="N1534" s="48"/>
    </row>
    <row r="1535" spans="1:14" s="7" customFormat="1" x14ac:dyDescent="0.35">
      <c r="A1535" s="113"/>
      <c r="B1535" s="27"/>
      <c r="C1535" s="48"/>
      <c r="D1535" s="27"/>
      <c r="E1535" s="38"/>
      <c r="F1535" s="27"/>
      <c r="G1535" s="27"/>
      <c r="H1535" s="99"/>
      <c r="M1535" s="27"/>
      <c r="N1535" s="48"/>
    </row>
    <row r="1536" spans="1:14" s="7" customFormat="1" x14ac:dyDescent="0.35">
      <c r="A1536" s="113"/>
      <c r="B1536" s="27"/>
      <c r="C1536" s="48"/>
      <c r="D1536" s="27"/>
      <c r="E1536" s="38"/>
      <c r="F1536" s="27"/>
      <c r="G1536" s="27"/>
      <c r="H1536" s="99"/>
      <c r="M1536" s="27"/>
      <c r="N1536" s="48"/>
    </row>
    <row r="1537" spans="1:14" s="7" customFormat="1" x14ac:dyDescent="0.35">
      <c r="A1537" s="113"/>
      <c r="B1537" s="27"/>
      <c r="C1537" s="48"/>
      <c r="D1537" s="27"/>
      <c r="E1537" s="38"/>
      <c r="F1537" s="27"/>
      <c r="G1537" s="27"/>
      <c r="H1537" s="99"/>
      <c r="M1537" s="27"/>
      <c r="N1537" s="48"/>
    </row>
    <row r="1538" spans="1:14" s="7" customFormat="1" x14ac:dyDescent="0.35">
      <c r="A1538" s="113"/>
      <c r="B1538" s="27"/>
      <c r="C1538" s="48"/>
      <c r="D1538" s="27"/>
      <c r="E1538" s="38"/>
      <c r="F1538" s="27"/>
      <c r="G1538" s="27"/>
      <c r="H1538" s="99"/>
      <c r="M1538" s="27"/>
      <c r="N1538" s="48"/>
    </row>
    <row r="1539" spans="1:14" s="7" customFormat="1" x14ac:dyDescent="0.35">
      <c r="A1539" s="113"/>
      <c r="B1539" s="27"/>
      <c r="C1539" s="48"/>
      <c r="D1539" s="27"/>
      <c r="E1539" s="38"/>
      <c r="F1539" s="27"/>
      <c r="G1539" s="27"/>
      <c r="H1539" s="99"/>
      <c r="M1539" s="27"/>
      <c r="N1539" s="48"/>
    </row>
    <row r="1540" spans="1:14" s="7" customFormat="1" x14ac:dyDescent="0.35">
      <c r="A1540" s="113"/>
      <c r="B1540" s="27"/>
      <c r="C1540" s="48"/>
      <c r="D1540" s="27"/>
      <c r="E1540" s="38"/>
      <c r="F1540" s="27"/>
      <c r="G1540" s="27"/>
      <c r="H1540" s="99"/>
      <c r="M1540" s="27"/>
      <c r="N1540" s="48"/>
    </row>
    <row r="1541" spans="1:14" s="7" customFormat="1" x14ac:dyDescent="0.35">
      <c r="A1541" s="113"/>
      <c r="B1541" s="27"/>
      <c r="C1541" s="48"/>
      <c r="D1541" s="27"/>
      <c r="E1541" s="38"/>
      <c r="F1541" s="27"/>
      <c r="G1541" s="27"/>
      <c r="H1541" s="99"/>
      <c r="M1541" s="27"/>
      <c r="N1541" s="48"/>
    </row>
    <row r="1542" spans="1:14" s="7" customFormat="1" x14ac:dyDescent="0.35">
      <c r="A1542" s="113"/>
      <c r="B1542" s="27"/>
      <c r="C1542" s="48"/>
      <c r="D1542" s="27"/>
      <c r="E1542" s="38"/>
      <c r="F1542" s="27"/>
      <c r="G1542" s="27"/>
      <c r="H1542" s="99"/>
      <c r="M1542" s="27"/>
      <c r="N1542" s="48"/>
    </row>
    <row r="1543" spans="1:14" s="7" customFormat="1" x14ac:dyDescent="0.35">
      <c r="A1543" s="113"/>
      <c r="B1543" s="27"/>
      <c r="C1543" s="48"/>
      <c r="D1543" s="27"/>
      <c r="E1543" s="38"/>
      <c r="F1543" s="27"/>
      <c r="G1543" s="27"/>
      <c r="H1543" s="99"/>
      <c r="M1543" s="27"/>
      <c r="N1543" s="48"/>
    </row>
    <row r="1544" spans="1:14" s="7" customFormat="1" x14ac:dyDescent="0.35">
      <c r="A1544" s="113"/>
      <c r="B1544" s="27"/>
      <c r="C1544" s="48"/>
      <c r="D1544" s="27"/>
      <c r="E1544" s="38"/>
      <c r="F1544" s="27"/>
      <c r="G1544" s="27"/>
      <c r="H1544" s="99"/>
      <c r="M1544" s="27"/>
      <c r="N1544" s="48"/>
    </row>
    <row r="1545" spans="1:14" s="7" customFormat="1" x14ac:dyDescent="0.35">
      <c r="A1545" s="113"/>
      <c r="B1545" s="27"/>
      <c r="C1545" s="48"/>
      <c r="D1545" s="27"/>
      <c r="E1545" s="38"/>
      <c r="F1545" s="27"/>
      <c r="G1545" s="27"/>
      <c r="H1545" s="99"/>
      <c r="M1545" s="27"/>
      <c r="N1545" s="48"/>
    </row>
    <row r="1546" spans="1:14" s="7" customFormat="1" x14ac:dyDescent="0.35">
      <c r="A1546" s="113"/>
      <c r="B1546" s="27"/>
      <c r="C1546" s="48"/>
      <c r="D1546" s="27"/>
      <c r="E1546" s="38"/>
      <c r="F1546" s="27"/>
      <c r="G1546" s="27"/>
      <c r="H1546" s="99"/>
      <c r="M1546" s="27"/>
      <c r="N1546" s="48"/>
    </row>
    <row r="1547" spans="1:14" s="7" customFormat="1" x14ac:dyDescent="0.35">
      <c r="A1547" s="113"/>
      <c r="B1547" s="27"/>
      <c r="C1547" s="48"/>
      <c r="D1547" s="27"/>
      <c r="E1547" s="38"/>
      <c r="F1547" s="27"/>
      <c r="G1547" s="27"/>
      <c r="H1547" s="99"/>
      <c r="M1547" s="27"/>
      <c r="N1547" s="48"/>
    </row>
    <row r="1548" spans="1:14" s="7" customFormat="1" x14ac:dyDescent="0.35">
      <c r="A1548" s="113"/>
      <c r="B1548" s="27"/>
      <c r="C1548" s="48"/>
      <c r="D1548" s="27"/>
      <c r="E1548" s="38"/>
      <c r="F1548" s="27"/>
      <c r="G1548" s="27"/>
      <c r="H1548" s="99"/>
      <c r="M1548" s="27"/>
      <c r="N1548" s="48"/>
    </row>
    <row r="1549" spans="1:14" s="7" customFormat="1" x14ac:dyDescent="0.35">
      <c r="A1549" s="113"/>
      <c r="B1549" s="27"/>
      <c r="C1549" s="48"/>
      <c r="D1549" s="27"/>
      <c r="E1549" s="38"/>
      <c r="F1549" s="27"/>
      <c r="G1549" s="27"/>
      <c r="H1549" s="99"/>
      <c r="M1549" s="27"/>
      <c r="N1549" s="48"/>
    </row>
    <row r="1550" spans="1:14" s="7" customFormat="1" x14ac:dyDescent="0.35">
      <c r="A1550" s="113"/>
      <c r="B1550" s="27"/>
      <c r="C1550" s="48"/>
      <c r="D1550" s="27"/>
      <c r="E1550" s="38"/>
      <c r="F1550" s="27"/>
      <c r="G1550" s="27"/>
      <c r="H1550" s="99"/>
      <c r="M1550" s="27"/>
      <c r="N1550" s="48"/>
    </row>
    <row r="1551" spans="1:14" s="7" customFormat="1" x14ac:dyDescent="0.35">
      <c r="A1551" s="113"/>
      <c r="B1551" s="27"/>
      <c r="C1551" s="48"/>
      <c r="D1551" s="27"/>
      <c r="E1551" s="38"/>
      <c r="F1551" s="27"/>
      <c r="G1551" s="27"/>
      <c r="H1551" s="99"/>
      <c r="M1551" s="27"/>
      <c r="N1551" s="48"/>
    </row>
    <row r="1552" spans="1:14" s="7" customFormat="1" x14ac:dyDescent="0.35">
      <c r="A1552" s="113"/>
      <c r="B1552" s="27"/>
      <c r="C1552" s="48"/>
      <c r="D1552" s="27"/>
      <c r="E1552" s="38"/>
      <c r="F1552" s="27"/>
      <c r="G1552" s="27"/>
      <c r="H1552" s="99"/>
      <c r="M1552" s="27"/>
      <c r="N1552" s="48"/>
    </row>
    <row r="1553" spans="1:14" s="7" customFormat="1" x14ac:dyDescent="0.35">
      <c r="A1553" s="113"/>
      <c r="B1553" s="27"/>
      <c r="C1553" s="48"/>
      <c r="D1553" s="27"/>
      <c r="E1553" s="38"/>
      <c r="F1553" s="27"/>
      <c r="G1553" s="27"/>
      <c r="H1553" s="99"/>
      <c r="M1553" s="27"/>
      <c r="N1553" s="48"/>
    </row>
    <row r="1554" spans="1:14" s="7" customFormat="1" x14ac:dyDescent="0.35">
      <c r="A1554" s="113"/>
      <c r="B1554" s="27"/>
      <c r="C1554" s="48"/>
      <c r="D1554" s="27"/>
      <c r="E1554" s="38"/>
      <c r="F1554" s="27"/>
      <c r="G1554" s="27"/>
      <c r="H1554" s="99"/>
      <c r="M1554" s="27"/>
      <c r="N1554" s="48"/>
    </row>
    <row r="1555" spans="1:14" s="7" customFormat="1" x14ac:dyDescent="0.35">
      <c r="A1555" s="113"/>
      <c r="B1555" s="27"/>
      <c r="C1555" s="48"/>
      <c r="D1555" s="27"/>
      <c r="E1555" s="38"/>
      <c r="F1555" s="27"/>
      <c r="G1555" s="27"/>
      <c r="H1555" s="99"/>
      <c r="M1555" s="27"/>
      <c r="N1555" s="48"/>
    </row>
    <row r="1556" spans="1:14" s="7" customFormat="1" x14ac:dyDescent="0.35">
      <c r="A1556" s="113"/>
      <c r="B1556" s="27"/>
      <c r="C1556" s="48"/>
      <c r="D1556" s="27"/>
      <c r="E1556" s="38"/>
      <c r="F1556" s="27"/>
      <c r="G1556" s="27"/>
      <c r="H1556" s="99"/>
      <c r="M1556" s="27"/>
      <c r="N1556" s="48"/>
    </row>
    <row r="1557" spans="1:14" s="7" customFormat="1" x14ac:dyDescent="0.35">
      <c r="A1557" s="113"/>
      <c r="B1557" s="27"/>
      <c r="C1557" s="48"/>
      <c r="D1557" s="27"/>
      <c r="E1557" s="38"/>
      <c r="F1557" s="27"/>
      <c r="G1557" s="27"/>
      <c r="H1557" s="99"/>
      <c r="M1557" s="27"/>
      <c r="N1557" s="48"/>
    </row>
    <row r="1558" spans="1:14" s="7" customFormat="1" x14ac:dyDescent="0.35">
      <c r="A1558" s="113"/>
      <c r="B1558" s="27"/>
      <c r="C1558" s="48"/>
      <c r="D1558" s="27"/>
      <c r="E1558" s="38"/>
      <c r="F1558" s="27"/>
      <c r="G1558" s="27"/>
      <c r="H1558" s="99"/>
      <c r="M1558" s="27"/>
      <c r="N1558" s="48"/>
    </row>
    <row r="1559" spans="1:14" s="7" customFormat="1" x14ac:dyDescent="0.35">
      <c r="A1559" s="113"/>
      <c r="B1559" s="27"/>
      <c r="C1559" s="48"/>
      <c r="D1559" s="27"/>
      <c r="E1559" s="38"/>
      <c r="F1559" s="27"/>
      <c r="G1559" s="27"/>
      <c r="H1559" s="99"/>
      <c r="M1559" s="27"/>
      <c r="N1559" s="48"/>
    </row>
    <row r="1560" spans="1:14" s="7" customFormat="1" x14ac:dyDescent="0.35">
      <c r="A1560" s="113"/>
      <c r="B1560" s="27"/>
      <c r="C1560" s="48"/>
      <c r="D1560" s="27"/>
      <c r="E1560" s="38"/>
      <c r="F1560" s="27"/>
      <c r="G1560" s="27"/>
      <c r="H1560" s="99"/>
      <c r="M1560" s="27"/>
      <c r="N1560" s="48"/>
    </row>
    <row r="1561" spans="1:14" s="7" customFormat="1" x14ac:dyDescent="0.35">
      <c r="A1561" s="113"/>
      <c r="B1561" s="27"/>
      <c r="C1561" s="48"/>
      <c r="D1561" s="27"/>
      <c r="E1561" s="38"/>
      <c r="F1561" s="27"/>
      <c r="G1561" s="27"/>
      <c r="H1561" s="99"/>
      <c r="M1561" s="27"/>
      <c r="N1561" s="48"/>
    </row>
    <row r="1562" spans="1:14" s="7" customFormat="1" x14ac:dyDescent="0.35">
      <c r="A1562" s="113"/>
      <c r="B1562" s="27"/>
      <c r="C1562" s="48"/>
      <c r="D1562" s="27"/>
      <c r="E1562" s="38"/>
      <c r="F1562" s="27"/>
      <c r="G1562" s="27"/>
      <c r="H1562" s="99"/>
      <c r="M1562" s="27"/>
      <c r="N1562" s="48"/>
    </row>
    <row r="1563" spans="1:14" s="7" customFormat="1" x14ac:dyDescent="0.35">
      <c r="A1563" s="113"/>
      <c r="B1563" s="27"/>
      <c r="C1563" s="48"/>
      <c r="D1563" s="27"/>
      <c r="E1563" s="38"/>
      <c r="F1563" s="27"/>
      <c r="G1563" s="27"/>
      <c r="H1563" s="99"/>
      <c r="M1563" s="27"/>
      <c r="N1563" s="48"/>
    </row>
    <row r="1564" spans="1:14" s="7" customFormat="1" x14ac:dyDescent="0.35">
      <c r="A1564" s="113"/>
      <c r="B1564" s="27"/>
      <c r="C1564" s="48"/>
      <c r="D1564" s="27"/>
      <c r="E1564" s="38"/>
      <c r="F1564" s="27"/>
      <c r="G1564" s="27"/>
      <c r="H1564" s="99"/>
      <c r="M1564" s="27"/>
      <c r="N1564" s="48"/>
    </row>
    <row r="1565" spans="1:14" s="7" customFormat="1" x14ac:dyDescent="0.35">
      <c r="A1565" s="113"/>
      <c r="B1565" s="27"/>
      <c r="C1565" s="48"/>
      <c r="D1565" s="27"/>
      <c r="E1565" s="38"/>
      <c r="F1565" s="27"/>
      <c r="G1565" s="27"/>
      <c r="H1565" s="99"/>
      <c r="M1565" s="27"/>
      <c r="N1565" s="48"/>
    </row>
    <row r="1566" spans="1:14" s="7" customFormat="1" x14ac:dyDescent="0.35">
      <c r="A1566" s="113"/>
      <c r="B1566" s="27"/>
      <c r="C1566" s="48"/>
      <c r="D1566" s="27"/>
      <c r="E1566" s="38"/>
      <c r="F1566" s="27"/>
      <c r="G1566" s="27"/>
      <c r="H1566" s="99"/>
      <c r="M1566" s="27"/>
      <c r="N1566" s="48"/>
    </row>
    <row r="1567" spans="1:14" s="7" customFormat="1" x14ac:dyDescent="0.35">
      <c r="A1567" s="113"/>
      <c r="B1567" s="27"/>
      <c r="C1567" s="48"/>
      <c r="D1567" s="27"/>
      <c r="E1567" s="38"/>
      <c r="F1567" s="27"/>
      <c r="G1567" s="27"/>
      <c r="H1567" s="99"/>
      <c r="M1567" s="27"/>
      <c r="N1567" s="48"/>
    </row>
    <row r="1568" spans="1:14" s="7" customFormat="1" x14ac:dyDescent="0.35">
      <c r="A1568" s="113"/>
      <c r="B1568" s="27"/>
      <c r="C1568" s="48"/>
      <c r="D1568" s="27"/>
      <c r="E1568" s="38"/>
      <c r="F1568" s="27"/>
      <c r="G1568" s="27"/>
      <c r="H1568" s="99"/>
      <c r="M1568" s="27"/>
      <c r="N1568" s="48"/>
    </row>
    <row r="1569" spans="1:14" s="7" customFormat="1" x14ac:dyDescent="0.35">
      <c r="A1569" s="113"/>
      <c r="B1569" s="27"/>
      <c r="C1569" s="48"/>
      <c r="D1569" s="27"/>
      <c r="E1569" s="38"/>
      <c r="F1569" s="27"/>
      <c r="G1569" s="27"/>
      <c r="H1569" s="99"/>
      <c r="M1569" s="27"/>
      <c r="N1569" s="48"/>
    </row>
    <row r="1570" spans="1:14" s="7" customFormat="1" x14ac:dyDescent="0.35">
      <c r="A1570" s="113"/>
      <c r="B1570" s="27"/>
      <c r="C1570" s="48"/>
      <c r="D1570" s="27"/>
      <c r="E1570" s="38"/>
      <c r="F1570" s="27"/>
      <c r="G1570" s="27"/>
      <c r="H1570" s="99"/>
      <c r="M1570" s="27"/>
      <c r="N1570" s="48"/>
    </row>
    <row r="1571" spans="1:14" s="7" customFormat="1" x14ac:dyDescent="0.35">
      <c r="A1571" s="113"/>
      <c r="B1571" s="27"/>
      <c r="C1571" s="48"/>
      <c r="D1571" s="27"/>
      <c r="E1571" s="38"/>
      <c r="F1571" s="27"/>
      <c r="G1571" s="27"/>
      <c r="H1571" s="99"/>
      <c r="M1571" s="27"/>
      <c r="N1571" s="48"/>
    </row>
    <row r="1572" spans="1:14" s="7" customFormat="1" x14ac:dyDescent="0.35">
      <c r="A1572" s="113"/>
      <c r="B1572" s="27"/>
      <c r="C1572" s="48"/>
      <c r="D1572" s="27"/>
      <c r="E1572" s="38"/>
      <c r="F1572" s="27"/>
      <c r="G1572" s="27"/>
      <c r="H1572" s="99"/>
      <c r="M1572" s="27"/>
      <c r="N1572" s="48"/>
    </row>
    <row r="1573" spans="1:14" s="7" customFormat="1" x14ac:dyDescent="0.35">
      <c r="A1573" s="113"/>
      <c r="B1573" s="27"/>
      <c r="C1573" s="48"/>
      <c r="D1573" s="27"/>
      <c r="E1573" s="38"/>
      <c r="F1573" s="27"/>
      <c r="G1573" s="27"/>
      <c r="H1573" s="99"/>
      <c r="M1573" s="27"/>
      <c r="N1573" s="48"/>
    </row>
    <row r="1574" spans="1:14" s="7" customFormat="1" x14ac:dyDescent="0.35">
      <c r="A1574" s="113"/>
      <c r="B1574" s="27"/>
      <c r="C1574" s="48"/>
      <c r="D1574" s="27"/>
      <c r="E1574" s="38"/>
      <c r="F1574" s="27"/>
      <c r="G1574" s="27"/>
      <c r="H1574" s="99"/>
      <c r="M1574" s="27"/>
      <c r="N1574" s="48"/>
    </row>
    <row r="1575" spans="1:14" s="7" customFormat="1" x14ac:dyDescent="0.35">
      <c r="A1575" s="113"/>
      <c r="B1575" s="27"/>
      <c r="C1575" s="48"/>
      <c r="D1575" s="27"/>
      <c r="E1575" s="38"/>
      <c r="F1575" s="27"/>
      <c r="G1575" s="27"/>
      <c r="H1575" s="99"/>
      <c r="M1575" s="27"/>
      <c r="N1575" s="48"/>
    </row>
    <row r="1576" spans="1:14" s="7" customFormat="1" x14ac:dyDescent="0.35">
      <c r="A1576" s="113"/>
      <c r="B1576" s="27"/>
      <c r="C1576" s="48"/>
      <c r="D1576" s="27"/>
      <c r="E1576" s="38"/>
      <c r="F1576" s="27"/>
      <c r="G1576" s="27"/>
      <c r="H1576" s="99"/>
      <c r="M1576" s="27"/>
      <c r="N1576" s="48"/>
    </row>
    <row r="1577" spans="1:14" s="7" customFormat="1" x14ac:dyDescent="0.35">
      <c r="A1577" s="113"/>
      <c r="B1577" s="27"/>
      <c r="C1577" s="48"/>
      <c r="D1577" s="27"/>
      <c r="E1577" s="38"/>
      <c r="F1577" s="27"/>
      <c r="G1577" s="27"/>
      <c r="H1577" s="99"/>
      <c r="M1577" s="27"/>
      <c r="N1577" s="48"/>
    </row>
    <row r="1578" spans="1:14" s="7" customFormat="1" x14ac:dyDescent="0.35">
      <c r="A1578" s="113"/>
      <c r="B1578" s="27"/>
      <c r="C1578" s="48"/>
      <c r="D1578" s="27"/>
      <c r="E1578" s="38"/>
      <c r="F1578" s="27"/>
      <c r="G1578" s="27"/>
      <c r="H1578" s="99"/>
      <c r="M1578" s="27"/>
      <c r="N1578" s="48"/>
    </row>
    <row r="1579" spans="1:14" s="7" customFormat="1" x14ac:dyDescent="0.35">
      <c r="A1579" s="113"/>
      <c r="B1579" s="27"/>
      <c r="C1579" s="48"/>
      <c r="D1579" s="27"/>
      <c r="E1579" s="38"/>
      <c r="F1579" s="27"/>
      <c r="G1579" s="27"/>
      <c r="H1579" s="99"/>
      <c r="M1579" s="27"/>
      <c r="N1579" s="48"/>
    </row>
    <row r="1580" spans="1:14" s="7" customFormat="1" x14ac:dyDescent="0.35">
      <c r="A1580" s="113"/>
      <c r="B1580" s="27"/>
      <c r="C1580" s="48"/>
      <c r="D1580" s="27"/>
      <c r="E1580" s="38"/>
      <c r="F1580" s="27"/>
      <c r="G1580" s="27"/>
      <c r="H1580" s="99"/>
      <c r="M1580" s="27"/>
      <c r="N1580" s="48"/>
    </row>
    <row r="1581" spans="1:14" s="7" customFormat="1" x14ac:dyDescent="0.35">
      <c r="A1581" s="113"/>
      <c r="B1581" s="27"/>
      <c r="C1581" s="48"/>
      <c r="D1581" s="27"/>
      <c r="E1581" s="38"/>
      <c r="F1581" s="27"/>
      <c r="G1581" s="27"/>
      <c r="H1581" s="99"/>
      <c r="M1581" s="27"/>
      <c r="N1581" s="48"/>
    </row>
    <row r="1582" spans="1:14" s="7" customFormat="1" x14ac:dyDescent="0.35">
      <c r="A1582" s="113"/>
      <c r="B1582" s="27"/>
      <c r="C1582" s="48"/>
      <c r="D1582" s="27"/>
      <c r="E1582" s="38"/>
      <c r="F1582" s="27"/>
      <c r="G1582" s="27"/>
      <c r="H1582" s="99"/>
      <c r="M1582" s="27"/>
      <c r="N1582" s="48"/>
    </row>
    <row r="1583" spans="1:14" s="7" customFormat="1" x14ac:dyDescent="0.35">
      <c r="A1583" s="113"/>
      <c r="B1583" s="27"/>
      <c r="C1583" s="48"/>
      <c r="D1583" s="27"/>
      <c r="E1583" s="38"/>
      <c r="F1583" s="27"/>
      <c r="G1583" s="27"/>
      <c r="H1583" s="99"/>
      <c r="M1583" s="27"/>
      <c r="N1583" s="48"/>
    </row>
    <row r="1584" spans="1:14" s="7" customFormat="1" x14ac:dyDescent="0.35">
      <c r="A1584" s="113"/>
      <c r="B1584" s="27"/>
      <c r="C1584" s="48"/>
      <c r="D1584" s="27"/>
      <c r="E1584" s="38"/>
      <c r="F1584" s="27"/>
      <c r="G1584" s="27"/>
      <c r="H1584" s="99"/>
      <c r="M1584" s="27"/>
      <c r="N1584" s="48"/>
    </row>
    <row r="1585" spans="1:14" s="7" customFormat="1" x14ac:dyDescent="0.35">
      <c r="A1585" s="113"/>
      <c r="B1585" s="27"/>
      <c r="C1585" s="48"/>
      <c r="D1585" s="27"/>
      <c r="E1585" s="38"/>
      <c r="F1585" s="27"/>
      <c r="G1585" s="27"/>
      <c r="H1585" s="99"/>
      <c r="M1585" s="27"/>
      <c r="N1585" s="48"/>
    </row>
    <row r="1586" spans="1:14" s="7" customFormat="1" x14ac:dyDescent="0.35">
      <c r="A1586" s="113"/>
      <c r="B1586" s="27"/>
      <c r="C1586" s="48"/>
      <c r="D1586" s="27"/>
      <c r="E1586" s="38"/>
      <c r="F1586" s="27"/>
      <c r="G1586" s="27"/>
      <c r="H1586" s="99"/>
      <c r="M1586" s="27"/>
      <c r="N1586" s="48"/>
    </row>
    <row r="1587" spans="1:14" s="7" customFormat="1" x14ac:dyDescent="0.35">
      <c r="A1587" s="113"/>
      <c r="B1587" s="27"/>
      <c r="C1587" s="48"/>
      <c r="D1587" s="27"/>
      <c r="E1587" s="38"/>
      <c r="F1587" s="27"/>
      <c r="G1587" s="27"/>
      <c r="H1587" s="99"/>
      <c r="M1587" s="27"/>
      <c r="N1587" s="48"/>
    </row>
    <row r="1588" spans="1:14" s="7" customFormat="1" x14ac:dyDescent="0.35">
      <c r="A1588" s="113"/>
      <c r="B1588" s="27"/>
      <c r="C1588" s="48"/>
      <c r="D1588" s="27"/>
      <c r="E1588" s="38"/>
      <c r="F1588" s="27"/>
      <c r="G1588" s="27"/>
      <c r="H1588" s="99"/>
      <c r="M1588" s="27"/>
      <c r="N1588" s="48"/>
    </row>
    <row r="1589" spans="1:14" s="7" customFormat="1" x14ac:dyDescent="0.35">
      <c r="A1589" s="113"/>
      <c r="B1589" s="27"/>
      <c r="C1589" s="48"/>
      <c r="D1589" s="27"/>
      <c r="E1589" s="38"/>
      <c r="F1589" s="27"/>
      <c r="G1589" s="27"/>
      <c r="H1589" s="99"/>
      <c r="M1589" s="27"/>
      <c r="N1589" s="48"/>
    </row>
    <row r="1590" spans="1:14" s="7" customFormat="1" x14ac:dyDescent="0.35">
      <c r="A1590" s="113"/>
      <c r="B1590" s="27"/>
      <c r="C1590" s="48"/>
      <c r="D1590" s="27"/>
      <c r="E1590" s="38"/>
      <c r="F1590" s="27"/>
      <c r="G1590" s="27"/>
      <c r="H1590" s="99"/>
      <c r="M1590" s="27"/>
      <c r="N1590" s="48"/>
    </row>
    <row r="1591" spans="1:14" s="7" customFormat="1" x14ac:dyDescent="0.35">
      <c r="A1591" s="113"/>
      <c r="B1591" s="27"/>
      <c r="C1591" s="48"/>
      <c r="D1591" s="27"/>
      <c r="E1591" s="38"/>
      <c r="F1591" s="27"/>
      <c r="G1591" s="27"/>
      <c r="H1591" s="99"/>
      <c r="M1591" s="27"/>
      <c r="N1591" s="48"/>
    </row>
    <row r="1592" spans="1:14" s="7" customFormat="1" x14ac:dyDescent="0.35">
      <c r="A1592" s="113"/>
      <c r="B1592" s="27"/>
      <c r="C1592" s="48"/>
      <c r="D1592" s="27"/>
      <c r="E1592" s="38"/>
      <c r="F1592" s="27"/>
      <c r="G1592" s="27"/>
      <c r="H1592" s="99"/>
      <c r="M1592" s="27"/>
      <c r="N1592" s="48"/>
    </row>
    <row r="1593" spans="1:14" s="7" customFormat="1" x14ac:dyDescent="0.35">
      <c r="A1593" s="113"/>
      <c r="B1593" s="27"/>
      <c r="C1593" s="48"/>
      <c r="D1593" s="27"/>
      <c r="E1593" s="38"/>
      <c r="F1593" s="27"/>
      <c r="G1593" s="27"/>
      <c r="H1593" s="99"/>
      <c r="M1593" s="27"/>
      <c r="N1593" s="48"/>
    </row>
    <row r="1594" spans="1:14" s="7" customFormat="1" x14ac:dyDescent="0.35">
      <c r="A1594" s="113"/>
      <c r="B1594" s="27"/>
      <c r="C1594" s="48"/>
      <c r="D1594" s="27"/>
      <c r="E1594" s="38"/>
      <c r="F1594" s="27"/>
      <c r="G1594" s="27"/>
      <c r="H1594" s="99"/>
      <c r="M1594" s="27"/>
      <c r="N1594" s="48"/>
    </row>
    <row r="1595" spans="1:14" s="7" customFormat="1" x14ac:dyDescent="0.35">
      <c r="A1595" s="113"/>
      <c r="B1595" s="27"/>
      <c r="C1595" s="48"/>
      <c r="D1595" s="27"/>
      <c r="E1595" s="38"/>
      <c r="F1595" s="27"/>
      <c r="G1595" s="27"/>
      <c r="H1595" s="99"/>
      <c r="M1595" s="27"/>
      <c r="N1595" s="48"/>
    </row>
    <row r="1596" spans="1:14" s="7" customFormat="1" x14ac:dyDescent="0.35">
      <c r="A1596" s="113"/>
      <c r="B1596" s="27"/>
      <c r="C1596" s="48"/>
      <c r="D1596" s="27"/>
      <c r="E1596" s="38"/>
      <c r="F1596" s="27"/>
      <c r="G1596" s="27"/>
      <c r="H1596" s="99"/>
      <c r="M1596" s="27"/>
      <c r="N1596" s="48"/>
    </row>
    <row r="1597" spans="1:14" s="7" customFormat="1" x14ac:dyDescent="0.35">
      <c r="A1597" s="113"/>
      <c r="B1597" s="27"/>
      <c r="C1597" s="48"/>
      <c r="D1597" s="27"/>
      <c r="E1597" s="38"/>
      <c r="F1597" s="27"/>
      <c r="G1597" s="27"/>
      <c r="H1597" s="99"/>
      <c r="M1597" s="27"/>
      <c r="N1597" s="48"/>
    </row>
    <row r="1598" spans="1:14" s="7" customFormat="1" x14ac:dyDescent="0.35">
      <c r="A1598" s="113"/>
      <c r="B1598" s="27"/>
      <c r="C1598" s="48"/>
      <c r="D1598" s="27"/>
      <c r="E1598" s="38"/>
      <c r="F1598" s="27"/>
      <c r="G1598" s="27"/>
      <c r="H1598" s="99"/>
      <c r="M1598" s="27"/>
      <c r="N1598" s="48"/>
    </row>
    <row r="1599" spans="1:14" s="7" customFormat="1" x14ac:dyDescent="0.35">
      <c r="A1599" s="113"/>
      <c r="B1599" s="27"/>
      <c r="C1599" s="48"/>
      <c r="D1599" s="27"/>
      <c r="E1599" s="38"/>
      <c r="F1599" s="27"/>
      <c r="G1599" s="27"/>
      <c r="H1599" s="99"/>
      <c r="M1599" s="27"/>
      <c r="N1599" s="48"/>
    </row>
    <row r="1600" spans="1:14" s="7" customFormat="1" x14ac:dyDescent="0.35">
      <c r="A1600" s="113"/>
      <c r="B1600" s="27"/>
      <c r="C1600" s="48"/>
      <c r="D1600" s="27"/>
      <c r="E1600" s="38"/>
      <c r="F1600" s="27"/>
      <c r="G1600" s="27"/>
      <c r="H1600" s="99"/>
      <c r="M1600" s="27"/>
      <c r="N1600" s="48"/>
    </row>
    <row r="1601" spans="1:14" s="7" customFormat="1" x14ac:dyDescent="0.35">
      <c r="A1601" s="113"/>
      <c r="B1601" s="27"/>
      <c r="C1601" s="48"/>
      <c r="D1601" s="27"/>
      <c r="E1601" s="38"/>
      <c r="F1601" s="27"/>
      <c r="G1601" s="27"/>
      <c r="H1601" s="99"/>
      <c r="M1601" s="27"/>
      <c r="N1601" s="48"/>
    </row>
    <row r="1602" spans="1:14" s="7" customFormat="1" x14ac:dyDescent="0.35">
      <c r="A1602" s="113"/>
      <c r="B1602" s="27"/>
      <c r="C1602" s="48"/>
      <c r="D1602" s="27"/>
      <c r="E1602" s="38"/>
      <c r="F1602" s="27"/>
      <c r="G1602" s="27"/>
      <c r="H1602" s="99"/>
      <c r="M1602" s="27"/>
      <c r="N1602" s="48"/>
    </row>
    <row r="1603" spans="1:14" s="7" customFormat="1" x14ac:dyDescent="0.35">
      <c r="A1603" s="113"/>
      <c r="B1603" s="27"/>
      <c r="C1603" s="48"/>
      <c r="D1603" s="27"/>
      <c r="E1603" s="38"/>
      <c r="F1603" s="27"/>
      <c r="G1603" s="27"/>
      <c r="H1603" s="99"/>
      <c r="M1603" s="27"/>
      <c r="N1603" s="48"/>
    </row>
    <row r="1604" spans="1:14" s="7" customFormat="1" x14ac:dyDescent="0.35">
      <c r="A1604" s="113"/>
      <c r="B1604" s="27"/>
      <c r="C1604" s="48"/>
      <c r="D1604" s="27"/>
      <c r="E1604" s="38"/>
      <c r="F1604" s="27"/>
      <c r="G1604" s="27"/>
      <c r="H1604" s="99"/>
      <c r="M1604" s="27"/>
      <c r="N1604" s="48"/>
    </row>
    <row r="1605" spans="1:14" s="7" customFormat="1" x14ac:dyDescent="0.35">
      <c r="A1605" s="113"/>
      <c r="B1605" s="27"/>
      <c r="C1605" s="48"/>
      <c r="D1605" s="27"/>
      <c r="E1605" s="38"/>
      <c r="F1605" s="27"/>
      <c r="G1605" s="27"/>
      <c r="H1605" s="99"/>
      <c r="M1605" s="27"/>
      <c r="N1605" s="48"/>
    </row>
    <row r="1606" spans="1:14" s="7" customFormat="1" x14ac:dyDescent="0.35">
      <c r="A1606" s="113"/>
      <c r="B1606" s="27"/>
      <c r="C1606" s="48"/>
      <c r="D1606" s="27"/>
      <c r="E1606" s="38"/>
      <c r="F1606" s="27"/>
      <c r="G1606" s="27"/>
      <c r="H1606" s="99"/>
      <c r="M1606" s="27"/>
      <c r="N1606" s="48"/>
    </row>
    <row r="1607" spans="1:14" s="7" customFormat="1" x14ac:dyDescent="0.35">
      <c r="A1607" s="113"/>
      <c r="B1607" s="27"/>
      <c r="C1607" s="48"/>
      <c r="D1607" s="27"/>
      <c r="E1607" s="38"/>
      <c r="F1607" s="27"/>
      <c r="G1607" s="27"/>
      <c r="H1607" s="99"/>
      <c r="M1607" s="27"/>
      <c r="N1607" s="48"/>
    </row>
    <row r="1608" spans="1:14" s="7" customFormat="1" x14ac:dyDescent="0.35">
      <c r="A1608" s="113"/>
      <c r="B1608" s="27"/>
      <c r="C1608" s="48"/>
      <c r="D1608" s="27"/>
      <c r="E1608" s="38"/>
      <c r="F1608" s="27"/>
      <c r="G1608" s="27"/>
      <c r="H1608" s="99"/>
      <c r="M1608" s="27"/>
      <c r="N1608" s="48"/>
    </row>
    <row r="1609" spans="1:14" s="7" customFormat="1" x14ac:dyDescent="0.35">
      <c r="A1609" s="113"/>
      <c r="B1609" s="27"/>
      <c r="C1609" s="48"/>
      <c r="D1609" s="27"/>
      <c r="E1609" s="38"/>
      <c r="F1609" s="27"/>
      <c r="G1609" s="27"/>
      <c r="H1609" s="99"/>
      <c r="M1609" s="27"/>
      <c r="N1609" s="48"/>
    </row>
    <row r="1610" spans="1:14" s="7" customFormat="1" x14ac:dyDescent="0.35">
      <c r="A1610" s="113"/>
      <c r="B1610" s="27"/>
      <c r="C1610" s="48"/>
      <c r="D1610" s="27"/>
      <c r="E1610" s="38"/>
      <c r="F1610" s="27"/>
      <c r="G1610" s="27"/>
      <c r="H1610" s="99"/>
      <c r="M1610" s="27"/>
      <c r="N1610" s="48"/>
    </row>
    <row r="1611" spans="1:14" s="7" customFormat="1" x14ac:dyDescent="0.35">
      <c r="A1611" s="113"/>
      <c r="B1611" s="27"/>
      <c r="C1611" s="48"/>
      <c r="D1611" s="27"/>
      <c r="E1611" s="38"/>
      <c r="F1611" s="27"/>
      <c r="G1611" s="27"/>
      <c r="H1611" s="99"/>
      <c r="M1611" s="27"/>
      <c r="N1611" s="48"/>
    </row>
    <row r="1612" spans="1:14" s="7" customFormat="1" x14ac:dyDescent="0.35">
      <c r="A1612" s="113"/>
      <c r="B1612" s="27"/>
      <c r="C1612" s="48"/>
      <c r="D1612" s="27"/>
      <c r="E1612" s="38"/>
      <c r="F1612" s="27"/>
      <c r="G1612" s="27"/>
      <c r="H1612" s="99"/>
      <c r="M1612" s="27"/>
      <c r="N1612" s="48"/>
    </row>
    <row r="1613" spans="1:14" s="7" customFormat="1" x14ac:dyDescent="0.35">
      <c r="A1613" s="113"/>
      <c r="B1613" s="27"/>
      <c r="C1613" s="48"/>
      <c r="D1613" s="27"/>
      <c r="E1613" s="38"/>
      <c r="F1613" s="27"/>
      <c r="G1613" s="27"/>
      <c r="H1613" s="99"/>
      <c r="M1613" s="27"/>
      <c r="N1613" s="48"/>
    </row>
    <row r="1614" spans="1:14" s="7" customFormat="1" x14ac:dyDescent="0.35">
      <c r="A1614" s="113"/>
      <c r="B1614" s="27"/>
      <c r="C1614" s="48"/>
      <c r="D1614" s="27"/>
      <c r="E1614" s="38"/>
      <c r="F1614" s="27"/>
      <c r="G1614" s="27"/>
      <c r="H1614" s="99"/>
      <c r="M1614" s="27"/>
      <c r="N1614" s="48"/>
    </row>
    <row r="1615" spans="1:14" s="7" customFormat="1" x14ac:dyDescent="0.35">
      <c r="A1615" s="113"/>
      <c r="B1615" s="27"/>
      <c r="C1615" s="48"/>
      <c r="D1615" s="27"/>
      <c r="E1615" s="38"/>
      <c r="F1615" s="27"/>
      <c r="G1615" s="27"/>
      <c r="H1615" s="99"/>
      <c r="M1615" s="27"/>
      <c r="N1615" s="48"/>
    </row>
    <row r="1616" spans="1:14" s="7" customFormat="1" x14ac:dyDescent="0.35">
      <c r="A1616" s="113"/>
      <c r="B1616" s="27"/>
      <c r="C1616" s="48"/>
      <c r="D1616" s="27"/>
      <c r="E1616" s="38"/>
      <c r="F1616" s="27"/>
      <c r="G1616" s="27"/>
      <c r="H1616" s="99"/>
      <c r="M1616" s="27"/>
      <c r="N1616" s="48"/>
    </row>
    <row r="1617" spans="1:14" s="7" customFormat="1" x14ac:dyDescent="0.35">
      <c r="A1617" s="113"/>
      <c r="B1617" s="27"/>
      <c r="C1617" s="48"/>
      <c r="D1617" s="27"/>
      <c r="E1617" s="38"/>
      <c r="F1617" s="27"/>
      <c r="G1617" s="27"/>
      <c r="H1617" s="99"/>
      <c r="M1617" s="27"/>
      <c r="N1617" s="48"/>
    </row>
    <row r="1618" spans="1:14" s="7" customFormat="1" x14ac:dyDescent="0.35">
      <c r="A1618" s="113"/>
      <c r="B1618" s="27"/>
      <c r="C1618" s="48"/>
      <c r="D1618" s="27"/>
      <c r="E1618" s="38"/>
      <c r="F1618" s="27"/>
      <c r="G1618" s="27"/>
      <c r="H1618" s="99"/>
      <c r="M1618" s="27"/>
      <c r="N1618" s="48"/>
    </row>
    <row r="1619" spans="1:14" s="7" customFormat="1" x14ac:dyDescent="0.35">
      <c r="A1619" s="113"/>
      <c r="B1619" s="27"/>
      <c r="C1619" s="48"/>
      <c r="D1619" s="27"/>
      <c r="E1619" s="38"/>
      <c r="F1619" s="27"/>
      <c r="G1619" s="27"/>
      <c r="H1619" s="99"/>
      <c r="M1619" s="27"/>
      <c r="N1619" s="48"/>
    </row>
    <row r="1620" spans="1:14" s="7" customFormat="1" x14ac:dyDescent="0.35">
      <c r="A1620" s="113"/>
      <c r="B1620" s="27"/>
      <c r="C1620" s="48"/>
      <c r="D1620" s="27"/>
      <c r="E1620" s="38"/>
      <c r="F1620" s="27"/>
      <c r="G1620" s="27"/>
      <c r="H1620" s="99"/>
      <c r="M1620" s="27"/>
      <c r="N1620" s="48"/>
    </row>
    <row r="1621" spans="1:14" s="7" customFormat="1" x14ac:dyDescent="0.35">
      <c r="A1621" s="113"/>
      <c r="B1621" s="27"/>
      <c r="C1621" s="48"/>
      <c r="D1621" s="27"/>
      <c r="E1621" s="38"/>
      <c r="F1621" s="27"/>
      <c r="G1621" s="27"/>
      <c r="H1621" s="99"/>
      <c r="M1621" s="27"/>
      <c r="N1621" s="48"/>
    </row>
    <row r="1622" spans="1:14" s="7" customFormat="1" x14ac:dyDescent="0.35">
      <c r="A1622" s="113"/>
      <c r="B1622" s="27"/>
      <c r="C1622" s="48"/>
      <c r="D1622" s="27"/>
      <c r="E1622" s="38"/>
      <c r="F1622" s="27"/>
      <c r="G1622" s="27"/>
      <c r="H1622" s="99"/>
      <c r="M1622" s="27"/>
      <c r="N1622" s="48"/>
    </row>
    <row r="1623" spans="1:14" s="7" customFormat="1" x14ac:dyDescent="0.35">
      <c r="A1623" s="113"/>
      <c r="B1623" s="27"/>
      <c r="C1623" s="48"/>
      <c r="D1623" s="27"/>
      <c r="E1623" s="38"/>
      <c r="F1623" s="27"/>
      <c r="G1623" s="27"/>
      <c r="H1623" s="99"/>
      <c r="M1623" s="27"/>
      <c r="N1623" s="48"/>
    </row>
    <row r="1624" spans="1:14" s="7" customFormat="1" x14ac:dyDescent="0.35">
      <c r="A1624" s="113"/>
      <c r="B1624" s="27"/>
      <c r="C1624" s="48"/>
      <c r="D1624" s="27"/>
      <c r="E1624" s="38"/>
      <c r="F1624" s="27"/>
      <c r="G1624" s="27"/>
      <c r="H1624" s="99"/>
      <c r="M1624" s="27"/>
      <c r="N1624" s="48"/>
    </row>
    <row r="1625" spans="1:14" s="7" customFormat="1" x14ac:dyDescent="0.35">
      <c r="A1625" s="113"/>
      <c r="B1625" s="27"/>
      <c r="C1625" s="48"/>
      <c r="D1625" s="27"/>
      <c r="E1625" s="38"/>
      <c r="F1625" s="27"/>
      <c r="G1625" s="27"/>
      <c r="H1625" s="99"/>
      <c r="M1625" s="27"/>
      <c r="N1625" s="48"/>
    </row>
    <row r="1626" spans="1:14" s="7" customFormat="1" x14ac:dyDescent="0.35">
      <c r="A1626" s="113"/>
      <c r="B1626" s="27"/>
      <c r="C1626" s="48"/>
      <c r="D1626" s="27"/>
      <c r="E1626" s="38"/>
      <c r="F1626" s="27"/>
      <c r="G1626" s="27"/>
      <c r="H1626" s="99"/>
      <c r="M1626" s="27"/>
      <c r="N1626" s="48"/>
    </row>
    <row r="1627" spans="1:14" s="7" customFormat="1" x14ac:dyDescent="0.35">
      <c r="A1627" s="113"/>
      <c r="B1627" s="27"/>
      <c r="C1627" s="48"/>
      <c r="D1627" s="27"/>
      <c r="E1627" s="38"/>
      <c r="F1627" s="27"/>
      <c r="G1627" s="27"/>
      <c r="H1627" s="99"/>
      <c r="M1627" s="27"/>
      <c r="N1627" s="48"/>
    </row>
    <row r="1628" spans="1:14" s="7" customFormat="1" x14ac:dyDescent="0.35">
      <c r="A1628" s="113"/>
      <c r="B1628" s="27"/>
      <c r="C1628" s="48"/>
      <c r="D1628" s="27"/>
      <c r="E1628" s="38"/>
      <c r="F1628" s="27"/>
      <c r="G1628" s="27"/>
      <c r="H1628" s="99"/>
      <c r="M1628" s="27"/>
      <c r="N1628" s="48"/>
    </row>
    <row r="1629" spans="1:14" s="7" customFormat="1" x14ac:dyDescent="0.35">
      <c r="A1629" s="113"/>
      <c r="B1629" s="27"/>
      <c r="C1629" s="48"/>
      <c r="D1629" s="27"/>
      <c r="E1629" s="38"/>
      <c r="F1629" s="27"/>
      <c r="G1629" s="27"/>
      <c r="H1629" s="99"/>
      <c r="M1629" s="27"/>
      <c r="N1629" s="48"/>
    </row>
    <row r="1630" spans="1:14" s="7" customFormat="1" x14ac:dyDescent="0.35">
      <c r="A1630" s="113"/>
      <c r="B1630" s="27"/>
      <c r="C1630" s="48"/>
      <c r="D1630" s="27"/>
      <c r="E1630" s="38"/>
      <c r="F1630" s="27"/>
      <c r="G1630" s="27"/>
      <c r="H1630" s="99"/>
      <c r="M1630" s="27"/>
      <c r="N1630" s="48"/>
    </row>
    <row r="1631" spans="1:14" s="7" customFormat="1" x14ac:dyDescent="0.35">
      <c r="A1631" s="113"/>
      <c r="B1631" s="27"/>
      <c r="C1631" s="48"/>
      <c r="D1631" s="27"/>
      <c r="E1631" s="38"/>
      <c r="F1631" s="27"/>
      <c r="G1631" s="27"/>
      <c r="H1631" s="99"/>
      <c r="M1631" s="27"/>
      <c r="N1631" s="48"/>
    </row>
    <row r="1632" spans="1:14" s="7" customFormat="1" x14ac:dyDescent="0.35">
      <c r="A1632" s="113"/>
      <c r="B1632" s="27"/>
      <c r="C1632" s="48"/>
      <c r="D1632" s="27"/>
      <c r="E1632" s="38"/>
      <c r="F1632" s="27"/>
      <c r="G1632" s="27"/>
      <c r="H1632" s="99"/>
      <c r="M1632" s="27"/>
      <c r="N1632" s="48"/>
    </row>
    <row r="1633" spans="1:14" s="7" customFormat="1" x14ac:dyDescent="0.35">
      <c r="A1633" s="113"/>
      <c r="B1633" s="27"/>
      <c r="C1633" s="48"/>
      <c r="D1633" s="27"/>
      <c r="E1633" s="38"/>
      <c r="F1633" s="27"/>
      <c r="G1633" s="27"/>
      <c r="H1633" s="99"/>
      <c r="M1633" s="27"/>
      <c r="N1633" s="48"/>
    </row>
    <row r="1634" spans="1:14" s="7" customFormat="1" x14ac:dyDescent="0.35">
      <c r="A1634" s="113"/>
      <c r="B1634" s="27"/>
      <c r="C1634" s="48"/>
      <c r="D1634" s="27"/>
      <c r="E1634" s="38"/>
      <c r="F1634" s="27"/>
      <c r="G1634" s="27"/>
      <c r="H1634" s="99"/>
      <c r="M1634" s="27"/>
      <c r="N1634" s="48"/>
    </row>
    <row r="1635" spans="1:14" s="7" customFormat="1" x14ac:dyDescent="0.35">
      <c r="A1635" s="113"/>
      <c r="B1635" s="27"/>
      <c r="C1635" s="48"/>
      <c r="D1635" s="27"/>
      <c r="E1635" s="38"/>
      <c r="F1635" s="27"/>
      <c r="G1635" s="27"/>
      <c r="H1635" s="99"/>
      <c r="M1635" s="27"/>
      <c r="N1635" s="48"/>
    </row>
    <row r="1636" spans="1:14" s="7" customFormat="1" x14ac:dyDescent="0.35">
      <c r="A1636" s="113"/>
      <c r="B1636" s="27"/>
      <c r="C1636" s="48"/>
      <c r="D1636" s="27"/>
      <c r="E1636" s="38"/>
      <c r="F1636" s="27"/>
      <c r="G1636" s="27"/>
      <c r="H1636" s="99"/>
      <c r="M1636" s="27"/>
      <c r="N1636" s="48"/>
    </row>
    <row r="1637" spans="1:14" s="7" customFormat="1" x14ac:dyDescent="0.35">
      <c r="A1637" s="113"/>
      <c r="B1637" s="27"/>
      <c r="C1637" s="48"/>
      <c r="D1637" s="27"/>
      <c r="E1637" s="38"/>
      <c r="F1637" s="27"/>
      <c r="G1637" s="27"/>
      <c r="H1637" s="99"/>
      <c r="M1637" s="27"/>
      <c r="N1637" s="48"/>
    </row>
    <row r="1638" spans="1:14" s="7" customFormat="1" x14ac:dyDescent="0.35">
      <c r="A1638" s="113"/>
      <c r="B1638" s="27"/>
      <c r="C1638" s="48"/>
      <c r="D1638" s="27"/>
      <c r="E1638" s="38"/>
      <c r="F1638" s="27"/>
      <c r="G1638" s="27"/>
      <c r="H1638" s="99"/>
      <c r="M1638" s="27"/>
      <c r="N1638" s="48"/>
    </row>
    <row r="1639" spans="1:14" s="7" customFormat="1" x14ac:dyDescent="0.35">
      <c r="A1639" s="113"/>
      <c r="B1639" s="27"/>
      <c r="C1639" s="48"/>
      <c r="D1639" s="27"/>
      <c r="E1639" s="38"/>
      <c r="F1639" s="27"/>
      <c r="G1639" s="27"/>
      <c r="H1639" s="99"/>
      <c r="M1639" s="27"/>
      <c r="N1639" s="48"/>
    </row>
    <row r="1640" spans="1:14" s="7" customFormat="1" x14ac:dyDescent="0.35">
      <c r="A1640" s="113"/>
      <c r="B1640" s="27"/>
      <c r="C1640" s="48"/>
      <c r="D1640" s="27"/>
      <c r="E1640" s="38"/>
      <c r="F1640" s="27"/>
      <c r="G1640" s="27"/>
      <c r="H1640" s="99"/>
      <c r="M1640" s="27"/>
      <c r="N1640" s="48"/>
    </row>
    <row r="1641" spans="1:14" s="7" customFormat="1" x14ac:dyDescent="0.35">
      <c r="A1641" s="113"/>
      <c r="B1641" s="27"/>
      <c r="C1641" s="48"/>
      <c r="D1641" s="27"/>
      <c r="E1641" s="38"/>
      <c r="F1641" s="27"/>
      <c r="G1641" s="27"/>
      <c r="H1641" s="99"/>
      <c r="M1641" s="27"/>
      <c r="N1641" s="48"/>
    </row>
    <row r="1642" spans="1:14" s="7" customFormat="1" x14ac:dyDescent="0.35">
      <c r="A1642" s="113"/>
      <c r="B1642" s="27"/>
      <c r="C1642" s="48"/>
      <c r="D1642" s="27"/>
      <c r="E1642" s="38"/>
      <c r="F1642" s="27"/>
      <c r="G1642" s="27"/>
      <c r="H1642" s="99"/>
      <c r="M1642" s="27"/>
      <c r="N1642" s="48"/>
    </row>
    <row r="1643" spans="1:14" s="7" customFormat="1" x14ac:dyDescent="0.35">
      <c r="A1643" s="113"/>
      <c r="B1643" s="27"/>
      <c r="C1643" s="48"/>
      <c r="D1643" s="27"/>
      <c r="E1643" s="38"/>
      <c r="F1643" s="27"/>
      <c r="G1643" s="27"/>
      <c r="H1643" s="99"/>
      <c r="M1643" s="27"/>
      <c r="N1643" s="48"/>
    </row>
    <row r="1644" spans="1:14" s="7" customFormat="1" x14ac:dyDescent="0.35">
      <c r="A1644" s="113"/>
      <c r="B1644" s="27"/>
      <c r="C1644" s="48"/>
      <c r="D1644" s="27"/>
      <c r="E1644" s="38"/>
      <c r="F1644" s="27"/>
      <c r="G1644" s="27"/>
      <c r="H1644" s="99"/>
      <c r="M1644" s="27"/>
      <c r="N1644" s="48"/>
    </row>
    <row r="1645" spans="1:14" s="7" customFormat="1" x14ac:dyDescent="0.35">
      <c r="A1645" s="113"/>
      <c r="B1645" s="27"/>
      <c r="C1645" s="48"/>
      <c r="D1645" s="27"/>
      <c r="E1645" s="38"/>
      <c r="F1645" s="27"/>
      <c r="G1645" s="27"/>
      <c r="H1645" s="99"/>
      <c r="M1645" s="27"/>
      <c r="N1645" s="48"/>
    </row>
    <row r="1646" spans="1:14" s="7" customFormat="1" x14ac:dyDescent="0.35">
      <c r="A1646" s="113"/>
      <c r="B1646" s="27"/>
      <c r="C1646" s="48"/>
      <c r="D1646" s="27"/>
      <c r="E1646" s="38"/>
      <c r="F1646" s="27"/>
      <c r="G1646" s="27"/>
      <c r="H1646" s="99"/>
      <c r="M1646" s="27"/>
      <c r="N1646" s="48"/>
    </row>
    <row r="1647" spans="1:14" s="7" customFormat="1" x14ac:dyDescent="0.35">
      <c r="A1647" s="113"/>
      <c r="B1647" s="27"/>
      <c r="C1647" s="48"/>
      <c r="D1647" s="27"/>
      <c r="E1647" s="38"/>
      <c r="F1647" s="27"/>
      <c r="G1647" s="27"/>
      <c r="H1647" s="99"/>
      <c r="M1647" s="27"/>
      <c r="N1647" s="48"/>
    </row>
    <row r="1648" spans="1:14" s="7" customFormat="1" x14ac:dyDescent="0.35">
      <c r="A1648" s="113"/>
      <c r="B1648" s="27"/>
      <c r="C1648" s="48"/>
      <c r="D1648" s="27"/>
      <c r="E1648" s="38"/>
      <c r="F1648" s="27"/>
      <c r="G1648" s="27"/>
      <c r="H1648" s="99"/>
      <c r="M1648" s="27"/>
      <c r="N1648" s="48"/>
    </row>
    <row r="1649" spans="1:14" s="7" customFormat="1" x14ac:dyDescent="0.35">
      <c r="A1649" s="113"/>
      <c r="B1649" s="27"/>
      <c r="C1649" s="48"/>
      <c r="D1649" s="27"/>
      <c r="E1649" s="38"/>
      <c r="F1649" s="27"/>
      <c r="G1649" s="27"/>
      <c r="H1649" s="99"/>
      <c r="M1649" s="27"/>
      <c r="N1649" s="48"/>
    </row>
    <row r="1650" spans="1:14" s="7" customFormat="1" x14ac:dyDescent="0.35">
      <c r="A1650" s="113"/>
      <c r="B1650" s="27"/>
      <c r="C1650" s="48"/>
      <c r="D1650" s="27"/>
      <c r="E1650" s="38"/>
      <c r="F1650" s="27"/>
      <c r="G1650" s="27"/>
      <c r="H1650" s="99"/>
      <c r="M1650" s="27"/>
      <c r="N1650" s="48"/>
    </row>
    <row r="1651" spans="1:14" s="7" customFormat="1" x14ac:dyDescent="0.35">
      <c r="A1651" s="113"/>
      <c r="B1651" s="27"/>
      <c r="C1651" s="48"/>
      <c r="D1651" s="27"/>
      <c r="E1651" s="38"/>
      <c r="F1651" s="27"/>
      <c r="G1651" s="27"/>
      <c r="H1651" s="99"/>
      <c r="M1651" s="27"/>
      <c r="N1651" s="48"/>
    </row>
    <row r="1652" spans="1:14" s="7" customFormat="1" x14ac:dyDescent="0.35">
      <c r="A1652" s="113"/>
      <c r="B1652" s="27"/>
      <c r="C1652" s="48"/>
      <c r="D1652" s="27"/>
      <c r="E1652" s="38"/>
      <c r="F1652" s="27"/>
      <c r="G1652" s="27"/>
      <c r="H1652" s="99"/>
      <c r="M1652" s="27"/>
      <c r="N1652" s="48"/>
    </row>
    <row r="1653" spans="1:14" s="7" customFormat="1" x14ac:dyDescent="0.35">
      <c r="A1653" s="113"/>
      <c r="B1653" s="27"/>
      <c r="C1653" s="48"/>
      <c r="D1653" s="27"/>
      <c r="E1653" s="38"/>
      <c r="F1653" s="27"/>
      <c r="G1653" s="27"/>
      <c r="H1653" s="99"/>
      <c r="M1653" s="27"/>
      <c r="N1653" s="48"/>
    </row>
    <row r="1654" spans="1:14" s="7" customFormat="1" x14ac:dyDescent="0.35">
      <c r="A1654" s="113"/>
      <c r="B1654" s="27"/>
      <c r="C1654" s="48"/>
      <c r="D1654" s="27"/>
      <c r="E1654" s="38"/>
      <c r="F1654" s="27"/>
      <c r="G1654" s="27"/>
      <c r="H1654" s="99"/>
      <c r="M1654" s="27"/>
      <c r="N1654" s="48"/>
    </row>
    <row r="1655" spans="1:14" s="7" customFormat="1" x14ac:dyDescent="0.35">
      <c r="A1655" s="113"/>
      <c r="B1655" s="27"/>
      <c r="C1655" s="48"/>
      <c r="D1655" s="27"/>
      <c r="E1655" s="38"/>
      <c r="F1655" s="27"/>
      <c r="G1655" s="27"/>
      <c r="H1655" s="99"/>
      <c r="M1655" s="27"/>
      <c r="N1655" s="48"/>
    </row>
    <row r="1656" spans="1:14" s="7" customFormat="1" x14ac:dyDescent="0.35">
      <c r="A1656" s="113"/>
      <c r="B1656" s="27"/>
      <c r="C1656" s="48"/>
      <c r="D1656" s="27"/>
      <c r="E1656" s="38"/>
      <c r="F1656" s="27"/>
      <c r="G1656" s="27"/>
      <c r="H1656" s="99"/>
      <c r="M1656" s="27"/>
      <c r="N1656" s="48"/>
    </row>
    <row r="1657" spans="1:14" s="7" customFormat="1" x14ac:dyDescent="0.35">
      <c r="A1657" s="113"/>
      <c r="B1657" s="27"/>
      <c r="C1657" s="48"/>
      <c r="D1657" s="27"/>
      <c r="E1657" s="38"/>
      <c r="F1657" s="27"/>
      <c r="G1657" s="27"/>
      <c r="H1657" s="99"/>
      <c r="M1657" s="27"/>
      <c r="N1657" s="48"/>
    </row>
    <row r="1658" spans="1:14" s="7" customFormat="1" x14ac:dyDescent="0.35">
      <c r="A1658" s="113"/>
      <c r="B1658" s="27"/>
      <c r="C1658" s="48"/>
      <c r="D1658" s="27"/>
      <c r="E1658" s="38"/>
      <c r="F1658" s="27"/>
      <c r="G1658" s="27"/>
      <c r="H1658" s="99"/>
      <c r="M1658" s="27"/>
      <c r="N1658" s="48"/>
    </row>
    <row r="1659" spans="1:14" s="7" customFormat="1" x14ac:dyDescent="0.35">
      <c r="A1659" s="113"/>
      <c r="B1659" s="27"/>
      <c r="C1659" s="48"/>
      <c r="D1659" s="27"/>
      <c r="E1659" s="38"/>
      <c r="F1659" s="27"/>
      <c r="G1659" s="27"/>
      <c r="H1659" s="99"/>
      <c r="M1659" s="27"/>
      <c r="N1659" s="48"/>
    </row>
    <row r="1660" spans="1:14" s="7" customFormat="1" x14ac:dyDescent="0.35">
      <c r="A1660" s="113"/>
      <c r="B1660" s="27"/>
      <c r="C1660" s="48"/>
      <c r="D1660" s="27"/>
      <c r="E1660" s="38"/>
      <c r="F1660" s="27"/>
      <c r="G1660" s="27"/>
      <c r="H1660" s="99"/>
      <c r="M1660" s="27"/>
      <c r="N1660" s="48"/>
    </row>
    <row r="1661" spans="1:14" s="7" customFormat="1" x14ac:dyDescent="0.35">
      <c r="A1661" s="113"/>
      <c r="B1661" s="27"/>
      <c r="C1661" s="48"/>
      <c r="D1661" s="27"/>
      <c r="E1661" s="38"/>
      <c r="F1661" s="27"/>
      <c r="G1661" s="27"/>
      <c r="H1661" s="99"/>
      <c r="M1661" s="27"/>
      <c r="N1661" s="48"/>
    </row>
    <row r="1662" spans="1:14" s="7" customFormat="1" x14ac:dyDescent="0.35">
      <c r="A1662" s="113"/>
      <c r="B1662" s="27"/>
      <c r="C1662" s="48"/>
      <c r="D1662" s="27"/>
      <c r="E1662" s="38"/>
      <c r="F1662" s="27"/>
      <c r="G1662" s="27"/>
      <c r="H1662" s="99"/>
      <c r="M1662" s="27"/>
      <c r="N1662" s="48"/>
    </row>
    <row r="1663" spans="1:14" s="7" customFormat="1" x14ac:dyDescent="0.35">
      <c r="A1663" s="113"/>
      <c r="B1663" s="27"/>
      <c r="C1663" s="48"/>
      <c r="D1663" s="27"/>
      <c r="E1663" s="38"/>
      <c r="F1663" s="27"/>
      <c r="G1663" s="27"/>
      <c r="H1663" s="99"/>
      <c r="M1663" s="27"/>
      <c r="N1663" s="48"/>
    </row>
    <row r="1664" spans="1:14" s="7" customFormat="1" x14ac:dyDescent="0.35">
      <c r="A1664" s="113"/>
      <c r="B1664" s="27"/>
      <c r="C1664" s="48"/>
      <c r="D1664" s="27"/>
      <c r="E1664" s="38"/>
      <c r="F1664" s="27"/>
      <c r="G1664" s="27"/>
      <c r="H1664" s="99"/>
      <c r="M1664" s="27"/>
      <c r="N1664" s="48"/>
    </row>
    <row r="1665" spans="1:14" s="7" customFormat="1" x14ac:dyDescent="0.35">
      <c r="A1665" s="113"/>
      <c r="B1665" s="27"/>
      <c r="C1665" s="48"/>
      <c r="D1665" s="27"/>
      <c r="E1665" s="38"/>
      <c r="F1665" s="27"/>
      <c r="G1665" s="27"/>
      <c r="H1665" s="99"/>
      <c r="M1665" s="27"/>
      <c r="N1665" s="48"/>
    </row>
    <row r="1666" spans="1:14" s="7" customFormat="1" x14ac:dyDescent="0.35">
      <c r="A1666" s="113"/>
      <c r="B1666" s="27"/>
      <c r="C1666" s="48"/>
      <c r="D1666" s="27"/>
      <c r="E1666" s="38"/>
      <c r="F1666" s="27"/>
      <c r="G1666" s="27"/>
      <c r="H1666" s="99"/>
      <c r="M1666" s="27"/>
      <c r="N1666" s="48"/>
    </row>
    <row r="1667" spans="1:14" s="7" customFormat="1" x14ac:dyDescent="0.35">
      <c r="A1667" s="113"/>
      <c r="B1667" s="27"/>
      <c r="C1667" s="48"/>
      <c r="D1667" s="27"/>
      <c r="E1667" s="38"/>
      <c r="F1667" s="27"/>
      <c r="G1667" s="27"/>
      <c r="H1667" s="99"/>
      <c r="M1667" s="27"/>
      <c r="N1667" s="48"/>
    </row>
    <row r="1668" spans="1:14" s="7" customFormat="1" x14ac:dyDescent="0.35">
      <c r="A1668" s="113"/>
      <c r="B1668" s="27"/>
      <c r="C1668" s="48"/>
      <c r="D1668" s="27"/>
      <c r="E1668" s="38"/>
      <c r="F1668" s="27"/>
      <c r="G1668" s="27"/>
      <c r="H1668" s="99"/>
      <c r="M1668" s="27"/>
      <c r="N1668" s="48"/>
    </row>
    <row r="1669" spans="1:14" s="7" customFormat="1" x14ac:dyDescent="0.35">
      <c r="A1669" s="113"/>
      <c r="B1669" s="27"/>
      <c r="C1669" s="48"/>
      <c r="D1669" s="27"/>
      <c r="E1669" s="38"/>
      <c r="F1669" s="27"/>
      <c r="G1669" s="27"/>
      <c r="H1669" s="99"/>
      <c r="M1669" s="27"/>
      <c r="N1669" s="48"/>
    </row>
    <row r="1670" spans="1:14" s="7" customFormat="1" x14ac:dyDescent="0.35">
      <c r="A1670" s="113"/>
      <c r="B1670" s="27"/>
      <c r="C1670" s="48"/>
      <c r="D1670" s="27"/>
      <c r="E1670" s="38"/>
      <c r="F1670" s="27"/>
      <c r="G1670" s="27"/>
      <c r="H1670" s="99"/>
      <c r="M1670" s="27"/>
      <c r="N1670" s="48"/>
    </row>
    <row r="1671" spans="1:14" s="7" customFormat="1" x14ac:dyDescent="0.35">
      <c r="A1671" s="113"/>
      <c r="B1671" s="27"/>
      <c r="C1671" s="48"/>
      <c r="D1671" s="27"/>
      <c r="E1671" s="38"/>
      <c r="F1671" s="27"/>
      <c r="G1671" s="27"/>
      <c r="H1671" s="99"/>
      <c r="M1671" s="27"/>
      <c r="N1671" s="48"/>
    </row>
    <row r="1672" spans="1:14" s="7" customFormat="1" x14ac:dyDescent="0.35">
      <c r="A1672" s="113"/>
      <c r="B1672" s="27"/>
      <c r="C1672" s="48"/>
      <c r="D1672" s="27"/>
      <c r="E1672" s="38"/>
      <c r="F1672" s="27"/>
      <c r="G1672" s="27"/>
      <c r="H1672" s="99"/>
      <c r="M1672" s="27"/>
      <c r="N1672" s="48"/>
    </row>
    <row r="1673" spans="1:14" s="7" customFormat="1" x14ac:dyDescent="0.35">
      <c r="A1673" s="113"/>
      <c r="B1673" s="27"/>
      <c r="C1673" s="48"/>
      <c r="D1673" s="27"/>
      <c r="E1673" s="38"/>
      <c r="F1673" s="27"/>
      <c r="G1673" s="27"/>
      <c r="H1673" s="99"/>
      <c r="M1673" s="27"/>
      <c r="N1673" s="48"/>
    </row>
    <row r="1674" spans="1:14" s="7" customFormat="1" x14ac:dyDescent="0.35">
      <c r="A1674" s="113"/>
      <c r="B1674" s="27"/>
      <c r="C1674" s="48"/>
      <c r="D1674" s="27"/>
      <c r="E1674" s="38"/>
      <c r="F1674" s="27"/>
      <c r="G1674" s="27"/>
      <c r="H1674" s="99"/>
      <c r="M1674" s="27"/>
      <c r="N1674" s="48"/>
    </row>
    <row r="1675" spans="1:14" s="7" customFormat="1" x14ac:dyDescent="0.35">
      <c r="A1675" s="113"/>
      <c r="B1675" s="27"/>
      <c r="C1675" s="48"/>
      <c r="D1675" s="27"/>
      <c r="E1675" s="38"/>
      <c r="F1675" s="27"/>
      <c r="G1675" s="27"/>
      <c r="H1675" s="99"/>
      <c r="M1675" s="27"/>
      <c r="N1675" s="48"/>
    </row>
    <row r="1676" spans="1:14" s="7" customFormat="1" x14ac:dyDescent="0.35">
      <c r="A1676" s="113"/>
      <c r="B1676" s="27"/>
      <c r="C1676" s="48"/>
      <c r="D1676" s="27"/>
      <c r="E1676" s="38"/>
      <c r="F1676" s="27"/>
      <c r="G1676" s="27"/>
      <c r="H1676" s="99"/>
      <c r="M1676" s="27"/>
      <c r="N1676" s="48"/>
    </row>
    <row r="1677" spans="1:14" s="7" customFormat="1" x14ac:dyDescent="0.35">
      <c r="A1677" s="113"/>
      <c r="B1677" s="27"/>
      <c r="C1677" s="48"/>
      <c r="D1677" s="27"/>
      <c r="E1677" s="38"/>
      <c r="F1677" s="27"/>
      <c r="G1677" s="27"/>
      <c r="H1677" s="99"/>
      <c r="M1677" s="27"/>
      <c r="N1677" s="48"/>
    </row>
    <row r="1678" spans="1:14" s="7" customFormat="1" x14ac:dyDescent="0.35">
      <c r="A1678" s="113"/>
      <c r="B1678" s="27"/>
      <c r="C1678" s="48"/>
      <c r="D1678" s="27"/>
      <c r="E1678" s="38"/>
      <c r="F1678" s="27"/>
      <c r="G1678" s="27"/>
      <c r="H1678" s="99"/>
      <c r="M1678" s="27"/>
      <c r="N1678" s="48"/>
    </row>
    <row r="1679" spans="1:14" s="7" customFormat="1" x14ac:dyDescent="0.35">
      <c r="A1679" s="113"/>
      <c r="B1679" s="27"/>
      <c r="C1679" s="48"/>
      <c r="D1679" s="27"/>
      <c r="E1679" s="38"/>
      <c r="F1679" s="27"/>
      <c r="G1679" s="27"/>
      <c r="H1679" s="99"/>
      <c r="M1679" s="27"/>
      <c r="N1679" s="48"/>
    </row>
    <row r="1680" spans="1:14" s="7" customFormat="1" x14ac:dyDescent="0.35">
      <c r="A1680" s="113"/>
      <c r="B1680" s="27"/>
      <c r="C1680" s="48"/>
      <c r="D1680" s="27"/>
      <c r="E1680" s="38"/>
      <c r="F1680" s="27"/>
      <c r="G1680" s="27"/>
      <c r="H1680" s="99"/>
      <c r="M1680" s="27"/>
      <c r="N1680" s="48"/>
    </row>
    <row r="1681" spans="1:14" s="7" customFormat="1" x14ac:dyDescent="0.35">
      <c r="A1681" s="113"/>
      <c r="B1681" s="27"/>
      <c r="C1681" s="48"/>
      <c r="D1681" s="27"/>
      <c r="E1681" s="38"/>
      <c r="F1681" s="27"/>
      <c r="G1681" s="27"/>
      <c r="H1681" s="99"/>
      <c r="M1681" s="27"/>
      <c r="N1681" s="48"/>
    </row>
    <row r="1682" spans="1:14" s="7" customFormat="1" x14ac:dyDescent="0.35">
      <c r="A1682" s="113"/>
      <c r="B1682" s="27"/>
      <c r="C1682" s="48"/>
      <c r="D1682" s="27"/>
      <c r="E1682" s="38"/>
      <c r="F1682" s="27"/>
      <c r="G1682" s="27"/>
      <c r="H1682" s="99"/>
      <c r="M1682" s="27"/>
      <c r="N1682" s="48"/>
    </row>
    <row r="1683" spans="1:14" s="7" customFormat="1" x14ac:dyDescent="0.35">
      <c r="A1683" s="113"/>
      <c r="B1683" s="27"/>
      <c r="C1683" s="48"/>
      <c r="D1683" s="27"/>
      <c r="E1683" s="38"/>
      <c r="F1683" s="27"/>
      <c r="G1683" s="27"/>
      <c r="H1683" s="99"/>
      <c r="M1683" s="27"/>
      <c r="N1683" s="48"/>
    </row>
    <row r="1684" spans="1:14" s="7" customFormat="1" x14ac:dyDescent="0.35">
      <c r="A1684" s="113"/>
      <c r="B1684" s="27"/>
      <c r="C1684" s="48"/>
      <c r="D1684" s="27"/>
      <c r="E1684" s="38"/>
      <c r="F1684" s="27"/>
      <c r="G1684" s="27"/>
      <c r="H1684" s="99"/>
      <c r="M1684" s="27"/>
      <c r="N1684" s="48"/>
    </row>
    <row r="1685" spans="1:14" s="7" customFormat="1" x14ac:dyDescent="0.35">
      <c r="A1685" s="113"/>
      <c r="B1685" s="27"/>
      <c r="C1685" s="48"/>
      <c r="D1685" s="27"/>
      <c r="E1685" s="38"/>
      <c r="F1685" s="27"/>
      <c r="G1685" s="27"/>
      <c r="H1685" s="99"/>
      <c r="M1685" s="27"/>
      <c r="N1685" s="48"/>
    </row>
    <row r="1686" spans="1:14" s="7" customFormat="1" x14ac:dyDescent="0.35">
      <c r="A1686" s="113"/>
      <c r="B1686" s="27"/>
      <c r="C1686" s="48"/>
      <c r="D1686" s="27"/>
      <c r="E1686" s="38"/>
      <c r="F1686" s="27"/>
      <c r="G1686" s="27"/>
      <c r="H1686" s="99"/>
      <c r="M1686" s="27"/>
      <c r="N1686" s="48"/>
    </row>
    <row r="1687" spans="1:14" s="7" customFormat="1" x14ac:dyDescent="0.35">
      <c r="A1687" s="113"/>
      <c r="B1687" s="27"/>
      <c r="C1687" s="48"/>
      <c r="D1687" s="27"/>
      <c r="E1687" s="38"/>
      <c r="F1687" s="27"/>
      <c r="G1687" s="27"/>
      <c r="H1687" s="99"/>
      <c r="M1687" s="27"/>
      <c r="N1687" s="48"/>
    </row>
    <row r="1688" spans="1:14" s="7" customFormat="1" x14ac:dyDescent="0.35">
      <c r="A1688" s="113"/>
      <c r="B1688" s="27"/>
      <c r="C1688" s="48"/>
      <c r="D1688" s="27"/>
      <c r="E1688" s="38"/>
      <c r="F1688" s="27"/>
      <c r="G1688" s="27"/>
      <c r="H1688" s="99"/>
      <c r="M1688" s="27"/>
      <c r="N1688" s="48"/>
    </row>
    <row r="1689" spans="1:14" s="7" customFormat="1" x14ac:dyDescent="0.35">
      <c r="A1689" s="113"/>
      <c r="B1689" s="27"/>
      <c r="C1689" s="48"/>
      <c r="D1689" s="27"/>
      <c r="E1689" s="38"/>
      <c r="F1689" s="27"/>
      <c r="G1689" s="27"/>
      <c r="H1689" s="99"/>
      <c r="M1689" s="27"/>
      <c r="N1689" s="48"/>
    </row>
    <row r="1690" spans="1:14" s="7" customFormat="1" x14ac:dyDescent="0.35">
      <c r="A1690" s="113"/>
      <c r="B1690" s="27"/>
      <c r="C1690" s="48"/>
      <c r="D1690" s="27"/>
      <c r="E1690" s="38"/>
      <c r="F1690" s="27"/>
      <c r="G1690" s="27"/>
      <c r="H1690" s="99"/>
      <c r="M1690" s="27"/>
      <c r="N1690" s="48"/>
    </row>
    <row r="1691" spans="1:14" s="7" customFormat="1" x14ac:dyDescent="0.35">
      <c r="A1691" s="113"/>
      <c r="B1691" s="27"/>
      <c r="C1691" s="48"/>
      <c r="D1691" s="27"/>
      <c r="E1691" s="38"/>
      <c r="F1691" s="27"/>
      <c r="G1691" s="27"/>
      <c r="H1691" s="99"/>
      <c r="M1691" s="27"/>
      <c r="N1691" s="48"/>
    </row>
    <row r="1692" spans="1:14" s="7" customFormat="1" x14ac:dyDescent="0.35">
      <c r="A1692" s="113"/>
      <c r="B1692" s="27"/>
      <c r="C1692" s="48"/>
      <c r="D1692" s="27"/>
      <c r="E1692" s="38"/>
      <c r="F1692" s="27"/>
      <c r="G1692" s="27"/>
      <c r="H1692" s="99"/>
      <c r="M1692" s="27"/>
      <c r="N1692" s="48"/>
    </row>
    <row r="1693" spans="1:14" s="7" customFormat="1" x14ac:dyDescent="0.35">
      <c r="A1693" s="113"/>
      <c r="B1693" s="27"/>
      <c r="C1693" s="48"/>
      <c r="D1693" s="27"/>
      <c r="E1693" s="38"/>
      <c r="F1693" s="27"/>
      <c r="G1693" s="27"/>
      <c r="H1693" s="99"/>
      <c r="M1693" s="27"/>
      <c r="N1693" s="48"/>
    </row>
    <row r="1694" spans="1:14" s="7" customFormat="1" x14ac:dyDescent="0.35">
      <c r="A1694" s="113"/>
      <c r="B1694" s="27"/>
      <c r="C1694" s="48"/>
      <c r="D1694" s="27"/>
      <c r="E1694" s="38"/>
      <c r="F1694" s="27"/>
      <c r="G1694" s="27"/>
      <c r="H1694" s="99"/>
      <c r="M1694" s="27"/>
      <c r="N1694" s="48"/>
    </row>
    <row r="1695" spans="1:14" s="7" customFormat="1" x14ac:dyDescent="0.35">
      <c r="A1695" s="113"/>
      <c r="B1695" s="27"/>
      <c r="C1695" s="48"/>
      <c r="D1695" s="27"/>
      <c r="E1695" s="38"/>
      <c r="F1695" s="27"/>
      <c r="G1695" s="27"/>
      <c r="H1695" s="99"/>
      <c r="M1695" s="27"/>
      <c r="N1695" s="48"/>
    </row>
    <row r="1696" spans="1:14" s="7" customFormat="1" x14ac:dyDescent="0.35">
      <c r="A1696" s="113"/>
      <c r="B1696" s="27"/>
      <c r="C1696" s="48"/>
      <c r="D1696" s="27"/>
      <c r="E1696" s="38"/>
      <c r="F1696" s="27"/>
      <c r="G1696" s="27"/>
      <c r="H1696" s="99"/>
      <c r="M1696" s="27"/>
      <c r="N1696" s="48"/>
    </row>
    <row r="1697" spans="1:14" s="7" customFormat="1" x14ac:dyDescent="0.35">
      <c r="A1697" s="113"/>
      <c r="B1697" s="27"/>
      <c r="C1697" s="48"/>
      <c r="D1697" s="27"/>
      <c r="E1697" s="38"/>
      <c r="F1697" s="27"/>
      <c r="G1697" s="27"/>
      <c r="H1697" s="99"/>
      <c r="M1697" s="27"/>
      <c r="N1697" s="48"/>
    </row>
    <row r="1698" spans="1:14" s="7" customFormat="1" x14ac:dyDescent="0.35">
      <c r="A1698" s="113"/>
      <c r="B1698" s="27"/>
      <c r="C1698" s="48"/>
      <c r="D1698" s="27"/>
      <c r="E1698" s="38"/>
      <c r="F1698" s="27"/>
      <c r="G1698" s="27"/>
      <c r="H1698" s="99"/>
      <c r="M1698" s="27"/>
      <c r="N1698" s="48"/>
    </row>
    <row r="1699" spans="1:14" s="7" customFormat="1" x14ac:dyDescent="0.35">
      <c r="A1699" s="113"/>
      <c r="B1699" s="27"/>
      <c r="C1699" s="48"/>
      <c r="D1699" s="27"/>
      <c r="E1699" s="38"/>
      <c r="F1699" s="27"/>
      <c r="G1699" s="27"/>
      <c r="H1699" s="99"/>
      <c r="M1699" s="27"/>
      <c r="N1699" s="48"/>
    </row>
    <row r="1700" spans="1:14" s="7" customFormat="1" x14ac:dyDescent="0.35">
      <c r="A1700" s="113"/>
      <c r="B1700" s="27"/>
      <c r="C1700" s="48"/>
      <c r="D1700" s="27"/>
      <c r="E1700" s="38"/>
      <c r="F1700" s="27"/>
      <c r="G1700" s="27"/>
      <c r="H1700" s="99"/>
      <c r="M1700" s="27"/>
      <c r="N1700" s="48"/>
    </row>
    <row r="1701" spans="1:14" s="7" customFormat="1" x14ac:dyDescent="0.35">
      <c r="A1701" s="113"/>
      <c r="B1701" s="27"/>
      <c r="C1701" s="48"/>
      <c r="D1701" s="27"/>
      <c r="E1701" s="38"/>
      <c r="F1701" s="27"/>
      <c r="G1701" s="27"/>
      <c r="H1701" s="99"/>
      <c r="M1701" s="27"/>
      <c r="N1701" s="48"/>
    </row>
    <row r="1702" spans="1:14" s="7" customFormat="1" x14ac:dyDescent="0.35">
      <c r="A1702" s="113"/>
      <c r="B1702" s="27"/>
      <c r="C1702" s="48"/>
      <c r="D1702" s="27"/>
      <c r="E1702" s="38"/>
      <c r="F1702" s="27"/>
      <c r="G1702" s="27"/>
      <c r="H1702" s="99"/>
      <c r="M1702" s="27"/>
      <c r="N1702" s="48"/>
    </row>
    <row r="1703" spans="1:14" s="7" customFormat="1" x14ac:dyDescent="0.35">
      <c r="A1703" s="113"/>
      <c r="B1703" s="27"/>
      <c r="C1703" s="48"/>
      <c r="D1703" s="27"/>
      <c r="E1703" s="38"/>
      <c r="F1703" s="27"/>
      <c r="G1703" s="27"/>
      <c r="H1703" s="99"/>
      <c r="M1703" s="27"/>
      <c r="N1703" s="48"/>
    </row>
    <row r="1704" spans="1:14" s="7" customFormat="1" x14ac:dyDescent="0.35">
      <c r="A1704" s="113"/>
      <c r="B1704" s="27"/>
      <c r="C1704" s="48"/>
      <c r="D1704" s="27"/>
      <c r="E1704" s="38"/>
      <c r="F1704" s="27"/>
      <c r="G1704" s="27"/>
      <c r="H1704" s="99"/>
      <c r="M1704" s="27"/>
      <c r="N1704" s="48"/>
    </row>
    <row r="1705" spans="1:14" s="7" customFormat="1" x14ac:dyDescent="0.35">
      <c r="A1705" s="113"/>
      <c r="B1705" s="27"/>
      <c r="C1705" s="48"/>
      <c r="D1705" s="27"/>
      <c r="E1705" s="38"/>
      <c r="F1705" s="27"/>
      <c r="G1705" s="27"/>
      <c r="H1705" s="99"/>
      <c r="M1705" s="27"/>
      <c r="N1705" s="48"/>
    </row>
    <row r="1706" spans="1:14" s="7" customFormat="1" x14ac:dyDescent="0.35">
      <c r="A1706" s="113"/>
      <c r="B1706" s="27"/>
      <c r="C1706" s="48"/>
      <c r="D1706" s="27"/>
      <c r="E1706" s="38"/>
      <c r="F1706" s="27"/>
      <c r="G1706" s="27"/>
      <c r="H1706" s="99"/>
      <c r="M1706" s="27"/>
      <c r="N1706" s="48"/>
    </row>
    <row r="1707" spans="1:14" s="7" customFormat="1" x14ac:dyDescent="0.35">
      <c r="A1707" s="113"/>
      <c r="B1707" s="27"/>
      <c r="C1707" s="48"/>
      <c r="D1707" s="27"/>
      <c r="E1707" s="38"/>
      <c r="F1707" s="27"/>
      <c r="G1707" s="27"/>
      <c r="H1707" s="99"/>
      <c r="M1707" s="27"/>
      <c r="N1707" s="48"/>
    </row>
    <row r="1708" spans="1:14" s="7" customFormat="1" x14ac:dyDescent="0.35">
      <c r="A1708" s="113"/>
      <c r="B1708" s="27"/>
      <c r="C1708" s="48"/>
      <c r="D1708" s="27"/>
      <c r="E1708" s="38"/>
      <c r="F1708" s="27"/>
      <c r="G1708" s="27"/>
      <c r="H1708" s="99"/>
      <c r="M1708" s="27"/>
      <c r="N1708" s="48"/>
    </row>
    <row r="1709" spans="1:14" s="7" customFormat="1" x14ac:dyDescent="0.35">
      <c r="A1709" s="113"/>
      <c r="B1709" s="27"/>
      <c r="C1709" s="48"/>
      <c r="D1709" s="27"/>
      <c r="E1709" s="38"/>
      <c r="F1709" s="27"/>
      <c r="G1709" s="27"/>
      <c r="H1709" s="99"/>
      <c r="M1709" s="27"/>
      <c r="N1709" s="48"/>
    </row>
    <row r="1710" spans="1:14" s="7" customFormat="1" x14ac:dyDescent="0.35">
      <c r="A1710" s="113"/>
      <c r="B1710" s="27"/>
      <c r="C1710" s="48"/>
      <c r="D1710" s="27"/>
      <c r="E1710" s="38"/>
      <c r="F1710" s="27"/>
      <c r="G1710" s="27"/>
      <c r="H1710" s="99"/>
      <c r="M1710" s="27"/>
      <c r="N1710" s="48"/>
    </row>
    <row r="1711" spans="1:14" s="7" customFormat="1" x14ac:dyDescent="0.35">
      <c r="A1711" s="113"/>
      <c r="B1711" s="27"/>
      <c r="C1711" s="48"/>
      <c r="D1711" s="27"/>
      <c r="E1711" s="38"/>
      <c r="F1711" s="27"/>
      <c r="G1711" s="27"/>
      <c r="H1711" s="99"/>
      <c r="M1711" s="27"/>
      <c r="N1711" s="48"/>
    </row>
    <row r="1712" spans="1:14" s="7" customFormat="1" x14ac:dyDescent="0.35">
      <c r="A1712" s="113"/>
      <c r="B1712" s="27"/>
      <c r="C1712" s="48"/>
      <c r="D1712" s="27"/>
      <c r="E1712" s="38"/>
      <c r="F1712" s="27"/>
      <c r="G1712" s="27"/>
      <c r="H1712" s="99"/>
      <c r="M1712" s="27"/>
      <c r="N1712" s="48"/>
    </row>
    <row r="1713" spans="1:14" s="7" customFormat="1" x14ac:dyDescent="0.35">
      <c r="A1713" s="113"/>
      <c r="B1713" s="27"/>
      <c r="C1713" s="48"/>
      <c r="D1713" s="27"/>
      <c r="E1713" s="38"/>
      <c r="F1713" s="27"/>
      <c r="G1713" s="27"/>
      <c r="H1713" s="99"/>
      <c r="M1713" s="27"/>
      <c r="N1713" s="48"/>
    </row>
    <row r="1714" spans="1:14" s="7" customFormat="1" x14ac:dyDescent="0.35">
      <c r="A1714" s="113"/>
      <c r="B1714" s="27"/>
      <c r="C1714" s="48"/>
      <c r="D1714" s="27"/>
      <c r="E1714" s="38"/>
      <c r="F1714" s="27"/>
      <c r="G1714" s="27"/>
      <c r="H1714" s="99"/>
      <c r="M1714" s="27"/>
      <c r="N1714" s="48"/>
    </row>
    <row r="1715" spans="1:14" s="7" customFormat="1" x14ac:dyDescent="0.35">
      <c r="A1715" s="113"/>
      <c r="B1715" s="27"/>
      <c r="C1715" s="48"/>
      <c r="D1715" s="27"/>
      <c r="E1715" s="38"/>
      <c r="F1715" s="27"/>
      <c r="G1715" s="27"/>
      <c r="H1715" s="99"/>
      <c r="M1715" s="27"/>
      <c r="N1715" s="48"/>
    </row>
    <row r="1716" spans="1:14" s="7" customFormat="1" x14ac:dyDescent="0.35">
      <c r="A1716" s="113"/>
      <c r="B1716" s="27"/>
      <c r="C1716" s="48"/>
      <c r="D1716" s="27"/>
      <c r="E1716" s="38"/>
      <c r="F1716" s="27"/>
      <c r="G1716" s="27"/>
      <c r="H1716" s="99"/>
      <c r="M1716" s="27"/>
      <c r="N1716" s="48"/>
    </row>
    <row r="1717" spans="1:14" s="7" customFormat="1" x14ac:dyDescent="0.35">
      <c r="A1717" s="113"/>
      <c r="B1717" s="27"/>
      <c r="C1717" s="48"/>
      <c r="D1717" s="27"/>
      <c r="E1717" s="38"/>
      <c r="F1717" s="27"/>
      <c r="G1717" s="27"/>
      <c r="H1717" s="99"/>
      <c r="M1717" s="27"/>
      <c r="N1717" s="48"/>
    </row>
    <row r="1718" spans="1:14" s="7" customFormat="1" x14ac:dyDescent="0.35">
      <c r="A1718" s="113"/>
      <c r="B1718" s="27"/>
      <c r="C1718" s="48"/>
      <c r="D1718" s="27"/>
      <c r="E1718" s="38"/>
      <c r="F1718" s="27"/>
      <c r="G1718" s="27"/>
      <c r="H1718" s="99"/>
      <c r="M1718" s="27"/>
      <c r="N1718" s="48"/>
    </row>
    <row r="1719" spans="1:14" s="7" customFormat="1" x14ac:dyDescent="0.35">
      <c r="A1719" s="113"/>
      <c r="B1719" s="27"/>
      <c r="C1719" s="48"/>
      <c r="D1719" s="27"/>
      <c r="E1719" s="38"/>
      <c r="F1719" s="27"/>
      <c r="G1719" s="27"/>
      <c r="H1719" s="99"/>
      <c r="M1719" s="27"/>
      <c r="N1719" s="48"/>
    </row>
    <row r="1720" spans="1:14" s="7" customFormat="1" x14ac:dyDescent="0.35">
      <c r="A1720" s="113"/>
      <c r="B1720" s="27"/>
      <c r="C1720" s="48"/>
      <c r="D1720" s="27"/>
      <c r="E1720" s="38"/>
      <c r="F1720" s="27"/>
      <c r="G1720" s="27"/>
      <c r="H1720" s="99"/>
      <c r="M1720" s="27"/>
      <c r="N1720" s="48"/>
    </row>
    <row r="1721" spans="1:14" s="7" customFormat="1" x14ac:dyDescent="0.35">
      <c r="A1721" s="113"/>
      <c r="B1721" s="27"/>
      <c r="C1721" s="48"/>
      <c r="D1721" s="27"/>
      <c r="E1721" s="38"/>
      <c r="F1721" s="27"/>
      <c r="G1721" s="27"/>
      <c r="H1721" s="99"/>
      <c r="M1721" s="27"/>
      <c r="N1721" s="48"/>
    </row>
    <row r="1722" spans="1:14" s="7" customFormat="1" x14ac:dyDescent="0.35">
      <c r="A1722" s="113"/>
      <c r="B1722" s="27"/>
      <c r="C1722" s="48"/>
      <c r="D1722" s="27"/>
      <c r="E1722" s="38"/>
      <c r="F1722" s="27"/>
      <c r="G1722" s="27"/>
      <c r="H1722" s="99"/>
      <c r="M1722" s="27"/>
      <c r="N1722" s="48"/>
    </row>
    <row r="1723" spans="1:14" s="7" customFormat="1" x14ac:dyDescent="0.35">
      <c r="A1723" s="113"/>
      <c r="B1723" s="27"/>
      <c r="C1723" s="48"/>
      <c r="D1723" s="27"/>
      <c r="E1723" s="38"/>
      <c r="F1723" s="27"/>
      <c r="G1723" s="27"/>
      <c r="H1723" s="99"/>
      <c r="M1723" s="27"/>
      <c r="N1723" s="48"/>
    </row>
    <row r="1724" spans="1:14" s="7" customFormat="1" x14ac:dyDescent="0.35">
      <c r="A1724" s="113"/>
      <c r="B1724" s="27"/>
      <c r="C1724" s="48"/>
      <c r="D1724" s="27"/>
      <c r="E1724" s="38"/>
      <c r="F1724" s="27"/>
      <c r="G1724" s="27"/>
      <c r="H1724" s="99"/>
      <c r="M1724" s="27"/>
      <c r="N1724" s="48"/>
    </row>
    <row r="1725" spans="1:14" s="7" customFormat="1" x14ac:dyDescent="0.35">
      <c r="A1725" s="113"/>
      <c r="B1725" s="27"/>
      <c r="C1725" s="48"/>
      <c r="D1725" s="27"/>
      <c r="E1725" s="38"/>
      <c r="F1725" s="27"/>
      <c r="G1725" s="27"/>
      <c r="H1725" s="99"/>
      <c r="M1725" s="27"/>
      <c r="N1725" s="48"/>
    </row>
    <row r="1726" spans="1:14" s="7" customFormat="1" x14ac:dyDescent="0.35">
      <c r="A1726" s="113"/>
      <c r="B1726" s="27"/>
      <c r="C1726" s="48"/>
      <c r="D1726" s="27"/>
      <c r="E1726" s="38"/>
      <c r="F1726" s="27"/>
      <c r="G1726" s="27"/>
      <c r="H1726" s="99"/>
      <c r="M1726" s="27"/>
      <c r="N1726" s="48"/>
    </row>
    <row r="1727" spans="1:14" s="7" customFormat="1" x14ac:dyDescent="0.35">
      <c r="A1727" s="113"/>
      <c r="B1727" s="27"/>
      <c r="C1727" s="48"/>
      <c r="D1727" s="27"/>
      <c r="E1727" s="38"/>
      <c r="F1727" s="27"/>
      <c r="G1727" s="27"/>
      <c r="H1727" s="99"/>
      <c r="M1727" s="27"/>
      <c r="N1727" s="48"/>
    </row>
    <row r="1728" spans="1:14" s="7" customFormat="1" x14ac:dyDescent="0.35">
      <c r="A1728" s="113"/>
      <c r="B1728" s="27"/>
      <c r="C1728" s="48"/>
      <c r="D1728" s="27"/>
      <c r="E1728" s="38"/>
      <c r="F1728" s="27"/>
      <c r="G1728" s="27"/>
      <c r="H1728" s="99"/>
      <c r="M1728" s="27"/>
      <c r="N1728" s="48"/>
    </row>
    <row r="1729" spans="1:14" s="7" customFormat="1" x14ac:dyDescent="0.35">
      <c r="A1729" s="113"/>
      <c r="B1729" s="27"/>
      <c r="C1729" s="48"/>
      <c r="D1729" s="27"/>
      <c r="E1729" s="38"/>
      <c r="F1729" s="27"/>
      <c r="G1729" s="27"/>
      <c r="H1729" s="99"/>
      <c r="M1729" s="27"/>
      <c r="N1729" s="48"/>
    </row>
    <row r="1730" spans="1:14" s="7" customFormat="1" x14ac:dyDescent="0.35">
      <c r="A1730" s="113"/>
      <c r="B1730" s="27"/>
      <c r="C1730" s="48"/>
      <c r="D1730" s="27"/>
      <c r="E1730" s="38"/>
      <c r="F1730" s="27"/>
      <c r="G1730" s="27"/>
      <c r="H1730" s="99"/>
      <c r="M1730" s="27"/>
      <c r="N1730" s="48"/>
    </row>
    <row r="1731" spans="1:14" s="7" customFormat="1" x14ac:dyDescent="0.35">
      <c r="A1731" s="113"/>
      <c r="B1731" s="27"/>
      <c r="C1731" s="48"/>
      <c r="D1731" s="27"/>
      <c r="E1731" s="38"/>
      <c r="F1731" s="27"/>
      <c r="G1731" s="27"/>
      <c r="H1731" s="99"/>
      <c r="M1731" s="27"/>
      <c r="N1731" s="48"/>
    </row>
    <row r="1732" spans="1:14" s="7" customFormat="1" x14ac:dyDescent="0.35">
      <c r="A1732" s="113"/>
      <c r="B1732" s="27"/>
      <c r="C1732" s="48"/>
      <c r="D1732" s="27"/>
      <c r="E1732" s="38"/>
      <c r="F1732" s="27"/>
      <c r="G1732" s="27"/>
      <c r="H1732" s="99"/>
      <c r="M1732" s="27"/>
      <c r="N1732" s="48"/>
    </row>
    <row r="1733" spans="1:14" s="7" customFormat="1" x14ac:dyDescent="0.35">
      <c r="A1733" s="113"/>
      <c r="B1733" s="27"/>
      <c r="C1733" s="48"/>
      <c r="D1733" s="27"/>
      <c r="E1733" s="38"/>
      <c r="F1733" s="27"/>
      <c r="G1733" s="27"/>
      <c r="H1733" s="99"/>
      <c r="M1733" s="27"/>
      <c r="N1733" s="48"/>
    </row>
    <row r="1734" spans="1:14" s="7" customFormat="1" x14ac:dyDescent="0.35">
      <c r="A1734" s="113"/>
      <c r="B1734" s="27"/>
      <c r="C1734" s="48"/>
      <c r="D1734" s="27"/>
      <c r="E1734" s="38"/>
      <c r="F1734" s="27"/>
      <c r="G1734" s="27"/>
      <c r="H1734" s="99"/>
      <c r="M1734" s="27"/>
      <c r="N1734" s="48"/>
    </row>
    <row r="1735" spans="1:14" s="7" customFormat="1" x14ac:dyDescent="0.35">
      <c r="A1735" s="113"/>
      <c r="B1735" s="27"/>
      <c r="C1735" s="48"/>
      <c r="D1735" s="27"/>
      <c r="E1735" s="38"/>
      <c r="F1735" s="27"/>
      <c r="G1735" s="27"/>
      <c r="H1735" s="99"/>
      <c r="M1735" s="27"/>
      <c r="N1735" s="48"/>
    </row>
    <row r="1736" spans="1:14" s="7" customFormat="1" x14ac:dyDescent="0.35">
      <c r="A1736" s="113"/>
      <c r="B1736" s="27"/>
      <c r="C1736" s="48"/>
      <c r="D1736" s="27"/>
      <c r="E1736" s="38"/>
      <c r="F1736" s="27"/>
      <c r="G1736" s="27"/>
      <c r="H1736" s="99"/>
      <c r="M1736" s="27"/>
      <c r="N1736" s="48"/>
    </row>
    <row r="1737" spans="1:14" s="7" customFormat="1" x14ac:dyDescent="0.35">
      <c r="A1737" s="113"/>
      <c r="B1737" s="27"/>
      <c r="C1737" s="48"/>
      <c r="D1737" s="27"/>
      <c r="E1737" s="38"/>
      <c r="F1737" s="27"/>
      <c r="G1737" s="27"/>
      <c r="H1737" s="99"/>
      <c r="M1737" s="27"/>
      <c r="N1737" s="48"/>
    </row>
    <row r="1738" spans="1:14" s="7" customFormat="1" x14ac:dyDescent="0.35">
      <c r="A1738" s="113"/>
      <c r="B1738" s="27"/>
      <c r="C1738" s="48"/>
      <c r="D1738" s="27"/>
      <c r="E1738" s="38"/>
      <c r="F1738" s="27"/>
      <c r="G1738" s="27"/>
      <c r="H1738" s="99"/>
      <c r="M1738" s="27"/>
      <c r="N1738" s="48"/>
    </row>
    <row r="1739" spans="1:14" s="7" customFormat="1" x14ac:dyDescent="0.35">
      <c r="A1739" s="113"/>
      <c r="B1739" s="27"/>
      <c r="C1739" s="48"/>
      <c r="D1739" s="27"/>
      <c r="E1739" s="38"/>
      <c r="F1739" s="27"/>
      <c r="G1739" s="27"/>
      <c r="H1739" s="99"/>
      <c r="M1739" s="27"/>
      <c r="N1739" s="48"/>
    </row>
    <row r="1740" spans="1:14" s="7" customFormat="1" x14ac:dyDescent="0.35">
      <c r="A1740" s="113"/>
      <c r="B1740" s="27"/>
      <c r="C1740" s="48"/>
      <c r="D1740" s="27"/>
      <c r="E1740" s="38"/>
      <c r="F1740" s="27"/>
      <c r="G1740" s="27"/>
      <c r="H1740" s="99"/>
      <c r="M1740" s="27"/>
      <c r="N1740" s="48"/>
    </row>
    <row r="1741" spans="1:14" s="7" customFormat="1" x14ac:dyDescent="0.35">
      <c r="A1741" s="113"/>
      <c r="B1741" s="27"/>
      <c r="C1741" s="48"/>
      <c r="D1741" s="27"/>
      <c r="E1741" s="38"/>
      <c r="F1741" s="27"/>
      <c r="G1741" s="27"/>
      <c r="H1741" s="99"/>
      <c r="M1741" s="27"/>
      <c r="N1741" s="48"/>
    </row>
    <row r="1742" spans="1:14" s="7" customFormat="1" x14ac:dyDescent="0.35">
      <c r="A1742" s="113"/>
      <c r="B1742" s="27"/>
      <c r="C1742" s="48"/>
      <c r="D1742" s="27"/>
      <c r="E1742" s="38"/>
      <c r="F1742" s="27"/>
      <c r="G1742" s="27"/>
      <c r="H1742" s="99"/>
      <c r="M1742" s="27"/>
      <c r="N1742" s="48"/>
    </row>
    <row r="1743" spans="1:14" s="7" customFormat="1" x14ac:dyDescent="0.35">
      <c r="A1743" s="113"/>
      <c r="B1743" s="27"/>
      <c r="C1743" s="48"/>
      <c r="D1743" s="27"/>
      <c r="E1743" s="38"/>
      <c r="F1743" s="27"/>
      <c r="G1743" s="27"/>
      <c r="H1743" s="99"/>
      <c r="M1743" s="27"/>
      <c r="N1743" s="48"/>
    </row>
    <row r="1744" spans="1:14" s="7" customFormat="1" x14ac:dyDescent="0.35">
      <c r="A1744" s="113"/>
      <c r="B1744" s="27"/>
      <c r="C1744" s="48"/>
      <c r="D1744" s="27"/>
      <c r="E1744" s="38"/>
      <c r="F1744" s="27"/>
      <c r="G1744" s="27"/>
      <c r="H1744" s="99"/>
      <c r="M1744" s="27"/>
      <c r="N1744" s="48"/>
    </row>
    <row r="1745" spans="1:14" s="7" customFormat="1" x14ac:dyDescent="0.35">
      <c r="A1745" s="113"/>
      <c r="B1745" s="27"/>
      <c r="C1745" s="48"/>
      <c r="D1745" s="27"/>
      <c r="E1745" s="38"/>
      <c r="F1745" s="27"/>
      <c r="G1745" s="27"/>
      <c r="H1745" s="99"/>
      <c r="M1745" s="27"/>
      <c r="N1745" s="48"/>
    </row>
    <row r="1746" spans="1:14" s="7" customFormat="1" x14ac:dyDescent="0.35">
      <c r="A1746" s="113"/>
      <c r="B1746" s="27"/>
      <c r="C1746" s="48"/>
      <c r="D1746" s="27"/>
      <c r="E1746" s="38"/>
      <c r="F1746" s="27"/>
      <c r="G1746" s="27"/>
      <c r="H1746" s="99"/>
      <c r="M1746" s="27"/>
      <c r="N1746" s="48"/>
    </row>
    <row r="1747" spans="1:14" s="7" customFormat="1" x14ac:dyDescent="0.35">
      <c r="A1747" s="113"/>
      <c r="B1747" s="27"/>
      <c r="C1747" s="48"/>
      <c r="D1747" s="27"/>
      <c r="E1747" s="38"/>
      <c r="F1747" s="27"/>
      <c r="G1747" s="27"/>
      <c r="H1747" s="99"/>
      <c r="M1747" s="27"/>
      <c r="N1747" s="48"/>
    </row>
    <row r="1748" spans="1:14" s="7" customFormat="1" x14ac:dyDescent="0.35">
      <c r="A1748" s="113"/>
      <c r="B1748" s="27"/>
      <c r="C1748" s="48"/>
      <c r="D1748" s="27"/>
      <c r="E1748" s="38"/>
      <c r="F1748" s="27"/>
      <c r="G1748" s="27"/>
      <c r="H1748" s="99"/>
      <c r="M1748" s="27"/>
      <c r="N1748" s="48"/>
    </row>
    <row r="1749" spans="1:14" s="7" customFormat="1" x14ac:dyDescent="0.35">
      <c r="A1749" s="113"/>
      <c r="B1749" s="27"/>
      <c r="C1749" s="48"/>
      <c r="D1749" s="27"/>
      <c r="E1749" s="38"/>
      <c r="F1749" s="27"/>
      <c r="G1749" s="27"/>
      <c r="H1749" s="99"/>
      <c r="M1749" s="27"/>
      <c r="N1749" s="48"/>
    </row>
    <row r="1750" spans="1:14" s="7" customFormat="1" x14ac:dyDescent="0.35">
      <c r="A1750" s="113"/>
      <c r="B1750" s="27"/>
      <c r="C1750" s="48"/>
      <c r="D1750" s="27"/>
      <c r="E1750" s="38"/>
      <c r="F1750" s="27"/>
      <c r="G1750" s="27"/>
      <c r="H1750" s="99"/>
      <c r="M1750" s="27"/>
      <c r="N1750" s="48"/>
    </row>
    <row r="1751" spans="1:14" s="7" customFormat="1" x14ac:dyDescent="0.35">
      <c r="A1751" s="113"/>
      <c r="B1751" s="27"/>
      <c r="C1751" s="48"/>
      <c r="D1751" s="27"/>
      <c r="E1751" s="38"/>
      <c r="F1751" s="27"/>
      <c r="G1751" s="27"/>
      <c r="H1751" s="99"/>
      <c r="M1751" s="27"/>
      <c r="N1751" s="48"/>
    </row>
    <row r="1752" spans="1:14" s="7" customFormat="1" x14ac:dyDescent="0.35">
      <c r="A1752" s="113"/>
      <c r="B1752" s="27"/>
      <c r="C1752" s="48"/>
      <c r="D1752" s="27"/>
      <c r="E1752" s="38"/>
      <c r="F1752" s="27"/>
      <c r="G1752" s="27"/>
      <c r="H1752" s="99"/>
      <c r="M1752" s="27"/>
      <c r="N1752" s="48"/>
    </row>
    <row r="1753" spans="1:14" s="7" customFormat="1" x14ac:dyDescent="0.35">
      <c r="A1753" s="113"/>
      <c r="B1753" s="27"/>
      <c r="C1753" s="48"/>
      <c r="D1753" s="27"/>
      <c r="E1753" s="38"/>
      <c r="F1753" s="27"/>
      <c r="G1753" s="27"/>
      <c r="H1753" s="99"/>
      <c r="M1753" s="27"/>
      <c r="N1753" s="48"/>
    </row>
    <row r="1754" spans="1:14" s="7" customFormat="1" x14ac:dyDescent="0.35">
      <c r="A1754" s="113"/>
      <c r="B1754" s="27"/>
      <c r="C1754" s="48"/>
      <c r="D1754" s="27"/>
      <c r="E1754" s="38"/>
      <c r="F1754" s="27"/>
      <c r="G1754" s="27"/>
      <c r="H1754" s="99"/>
      <c r="M1754" s="27"/>
      <c r="N1754" s="48"/>
    </row>
    <row r="1755" spans="1:14" s="7" customFormat="1" x14ac:dyDescent="0.35">
      <c r="A1755" s="113"/>
      <c r="B1755" s="27"/>
      <c r="C1755" s="48"/>
      <c r="D1755" s="27"/>
      <c r="E1755" s="38"/>
      <c r="F1755" s="27"/>
      <c r="G1755" s="27"/>
      <c r="H1755" s="99"/>
      <c r="M1755" s="27"/>
      <c r="N1755" s="48"/>
    </row>
    <row r="1756" spans="1:14" s="7" customFormat="1" x14ac:dyDescent="0.35">
      <c r="A1756" s="113"/>
      <c r="B1756" s="27"/>
      <c r="C1756" s="48"/>
      <c r="D1756" s="27"/>
      <c r="E1756" s="38"/>
      <c r="F1756" s="27"/>
      <c r="G1756" s="27"/>
      <c r="H1756" s="99"/>
      <c r="M1756" s="27"/>
      <c r="N1756" s="48"/>
    </row>
    <row r="1757" spans="1:14" s="7" customFormat="1" x14ac:dyDescent="0.35">
      <c r="A1757" s="113"/>
      <c r="B1757" s="27"/>
      <c r="C1757" s="48"/>
      <c r="D1757" s="27"/>
      <c r="E1757" s="38"/>
      <c r="F1757" s="27"/>
      <c r="G1757" s="27"/>
      <c r="H1757" s="99"/>
      <c r="M1757" s="27"/>
      <c r="N1757" s="48"/>
    </row>
    <row r="1758" spans="1:14" s="7" customFormat="1" x14ac:dyDescent="0.35">
      <c r="A1758" s="113"/>
      <c r="B1758" s="27"/>
      <c r="C1758" s="48"/>
      <c r="D1758" s="27"/>
      <c r="E1758" s="38"/>
      <c r="F1758" s="27"/>
      <c r="G1758" s="27"/>
      <c r="H1758" s="99"/>
      <c r="M1758" s="27"/>
      <c r="N1758" s="48"/>
    </row>
    <row r="1759" spans="1:14" s="7" customFormat="1" x14ac:dyDescent="0.35">
      <c r="A1759" s="113"/>
      <c r="B1759" s="27"/>
      <c r="C1759" s="48"/>
      <c r="D1759" s="27"/>
      <c r="E1759" s="38"/>
      <c r="F1759" s="27"/>
      <c r="G1759" s="27"/>
      <c r="H1759" s="99"/>
      <c r="M1759" s="27"/>
      <c r="N1759" s="48"/>
    </row>
    <row r="1760" spans="1:14" s="7" customFormat="1" x14ac:dyDescent="0.35">
      <c r="A1760" s="113"/>
      <c r="B1760" s="27"/>
      <c r="C1760" s="48"/>
      <c r="D1760" s="27"/>
      <c r="E1760" s="38"/>
      <c r="F1760" s="27"/>
      <c r="G1760" s="27"/>
      <c r="H1760" s="99"/>
      <c r="M1760" s="27"/>
      <c r="N1760" s="48"/>
    </row>
    <row r="1761" spans="1:14" s="7" customFormat="1" x14ac:dyDescent="0.35">
      <c r="A1761" s="113"/>
      <c r="B1761" s="27"/>
      <c r="C1761" s="48"/>
      <c r="D1761" s="27"/>
      <c r="E1761" s="38"/>
      <c r="F1761" s="27"/>
      <c r="G1761" s="27"/>
      <c r="H1761" s="99"/>
      <c r="M1761" s="27"/>
      <c r="N1761" s="48"/>
    </row>
    <row r="1762" spans="1:14" s="7" customFormat="1" x14ac:dyDescent="0.35">
      <c r="A1762" s="113"/>
      <c r="B1762" s="27"/>
      <c r="C1762" s="48"/>
      <c r="D1762" s="27"/>
      <c r="E1762" s="38"/>
      <c r="F1762" s="27"/>
      <c r="G1762" s="27"/>
      <c r="H1762" s="99"/>
      <c r="M1762" s="27"/>
      <c r="N1762" s="48"/>
    </row>
    <row r="1763" spans="1:14" s="7" customFormat="1" x14ac:dyDescent="0.35">
      <c r="A1763" s="113"/>
      <c r="B1763" s="27"/>
      <c r="C1763" s="48"/>
      <c r="D1763" s="27"/>
      <c r="E1763" s="38"/>
      <c r="F1763" s="27"/>
      <c r="G1763" s="27"/>
      <c r="H1763" s="99"/>
      <c r="M1763" s="27"/>
      <c r="N1763" s="48"/>
    </row>
    <row r="1764" spans="1:14" s="7" customFormat="1" x14ac:dyDescent="0.35">
      <c r="A1764" s="113"/>
      <c r="B1764" s="27"/>
      <c r="C1764" s="48"/>
      <c r="D1764" s="27"/>
      <c r="E1764" s="38"/>
      <c r="F1764" s="27"/>
      <c r="G1764" s="27"/>
      <c r="H1764" s="99"/>
      <c r="M1764" s="27"/>
      <c r="N1764" s="48"/>
    </row>
    <row r="1765" spans="1:14" s="7" customFormat="1" x14ac:dyDescent="0.35">
      <c r="A1765" s="113"/>
      <c r="B1765" s="27"/>
      <c r="C1765" s="48"/>
      <c r="D1765" s="27"/>
      <c r="E1765" s="38"/>
      <c r="F1765" s="27"/>
      <c r="G1765" s="27"/>
      <c r="H1765" s="99"/>
      <c r="M1765" s="27"/>
      <c r="N1765" s="48"/>
    </row>
    <row r="1766" spans="1:14" s="7" customFormat="1" x14ac:dyDescent="0.35">
      <c r="A1766" s="113"/>
      <c r="B1766" s="27"/>
      <c r="C1766" s="48"/>
      <c r="D1766" s="27"/>
      <c r="E1766" s="38"/>
      <c r="F1766" s="27"/>
      <c r="G1766" s="27"/>
      <c r="H1766" s="99"/>
      <c r="M1766" s="27"/>
      <c r="N1766" s="48"/>
    </row>
    <row r="1767" spans="1:14" s="7" customFormat="1" x14ac:dyDescent="0.35">
      <c r="A1767" s="113"/>
      <c r="B1767" s="27"/>
      <c r="C1767" s="48"/>
      <c r="D1767" s="27"/>
      <c r="E1767" s="38"/>
      <c r="F1767" s="27"/>
      <c r="G1767" s="27"/>
      <c r="H1767" s="99"/>
      <c r="M1767" s="27"/>
      <c r="N1767" s="48"/>
    </row>
    <row r="1768" spans="1:14" s="7" customFormat="1" x14ac:dyDescent="0.35">
      <c r="A1768" s="113"/>
      <c r="B1768" s="27"/>
      <c r="C1768" s="48"/>
      <c r="D1768" s="27"/>
      <c r="E1768" s="38"/>
      <c r="F1768" s="27"/>
      <c r="G1768" s="27"/>
      <c r="H1768" s="99"/>
      <c r="M1768" s="27"/>
      <c r="N1768" s="48"/>
    </row>
    <row r="1769" spans="1:14" s="7" customFormat="1" x14ac:dyDescent="0.35">
      <c r="A1769" s="113"/>
      <c r="B1769" s="27"/>
      <c r="C1769" s="48"/>
      <c r="D1769" s="27"/>
      <c r="E1769" s="38"/>
      <c r="F1769" s="27"/>
      <c r="G1769" s="27"/>
      <c r="H1769" s="99"/>
      <c r="M1769" s="27"/>
      <c r="N1769" s="48"/>
    </row>
    <row r="1770" spans="1:14" s="7" customFormat="1" x14ac:dyDescent="0.35">
      <c r="A1770" s="113"/>
      <c r="B1770" s="27"/>
      <c r="C1770" s="48"/>
      <c r="D1770" s="27"/>
      <c r="E1770" s="38"/>
      <c r="F1770" s="27"/>
      <c r="G1770" s="27"/>
      <c r="H1770" s="99"/>
      <c r="M1770" s="27"/>
      <c r="N1770" s="48"/>
    </row>
    <row r="1771" spans="1:14" s="7" customFormat="1" x14ac:dyDescent="0.35">
      <c r="A1771" s="113"/>
      <c r="B1771" s="27"/>
      <c r="C1771" s="48"/>
      <c r="D1771" s="27"/>
      <c r="E1771" s="38"/>
      <c r="F1771" s="27"/>
      <c r="G1771" s="27"/>
      <c r="H1771" s="99"/>
      <c r="M1771" s="27"/>
      <c r="N1771" s="48"/>
    </row>
    <row r="1772" spans="1:14" s="7" customFormat="1" x14ac:dyDescent="0.35">
      <c r="A1772" s="113"/>
      <c r="B1772" s="27"/>
      <c r="C1772" s="48"/>
      <c r="D1772" s="27"/>
      <c r="E1772" s="38"/>
      <c r="F1772" s="27"/>
      <c r="G1772" s="27"/>
      <c r="H1772" s="99"/>
      <c r="M1772" s="27"/>
      <c r="N1772" s="48"/>
    </row>
    <row r="1773" spans="1:14" s="7" customFormat="1" x14ac:dyDescent="0.35">
      <c r="A1773" s="113"/>
      <c r="B1773" s="27"/>
      <c r="C1773" s="48"/>
      <c r="D1773" s="27"/>
      <c r="E1773" s="38"/>
      <c r="F1773" s="27"/>
      <c r="G1773" s="27"/>
      <c r="H1773" s="99"/>
      <c r="M1773" s="27"/>
      <c r="N1773" s="48"/>
    </row>
    <row r="1774" spans="1:14" s="7" customFormat="1" x14ac:dyDescent="0.35">
      <c r="A1774" s="113"/>
      <c r="B1774" s="27"/>
      <c r="C1774" s="48"/>
      <c r="D1774" s="27"/>
      <c r="E1774" s="38"/>
      <c r="F1774" s="27"/>
      <c r="G1774" s="27"/>
      <c r="H1774" s="99"/>
      <c r="M1774" s="27"/>
      <c r="N1774" s="48"/>
    </row>
    <row r="1775" spans="1:14" s="7" customFormat="1" x14ac:dyDescent="0.35">
      <c r="A1775" s="113"/>
      <c r="B1775" s="27"/>
      <c r="C1775" s="48"/>
      <c r="D1775" s="27"/>
      <c r="E1775" s="38"/>
      <c r="F1775" s="27"/>
      <c r="G1775" s="27"/>
      <c r="H1775" s="99"/>
      <c r="M1775" s="27"/>
      <c r="N1775" s="48"/>
    </row>
    <row r="1776" spans="1:14" s="7" customFormat="1" x14ac:dyDescent="0.35">
      <c r="A1776" s="113"/>
      <c r="B1776" s="27"/>
      <c r="C1776" s="48"/>
      <c r="D1776" s="27"/>
      <c r="E1776" s="38"/>
      <c r="F1776" s="27"/>
      <c r="G1776" s="27"/>
      <c r="H1776" s="99"/>
      <c r="M1776" s="27"/>
      <c r="N1776" s="48"/>
    </row>
    <row r="1777" spans="1:14" s="7" customFormat="1" x14ac:dyDescent="0.35">
      <c r="A1777" s="113"/>
      <c r="B1777" s="27"/>
      <c r="C1777" s="48"/>
      <c r="D1777" s="27"/>
      <c r="E1777" s="38"/>
      <c r="F1777" s="27"/>
      <c r="G1777" s="27"/>
      <c r="H1777" s="99"/>
      <c r="M1777" s="27"/>
      <c r="N1777" s="48"/>
    </row>
    <row r="1778" spans="1:14" s="7" customFormat="1" x14ac:dyDescent="0.35">
      <c r="A1778" s="113"/>
      <c r="B1778" s="27"/>
      <c r="C1778" s="48"/>
      <c r="D1778" s="27"/>
      <c r="E1778" s="38"/>
      <c r="F1778" s="27"/>
      <c r="G1778" s="27"/>
      <c r="H1778" s="99"/>
      <c r="M1778" s="27"/>
      <c r="N1778" s="48"/>
    </row>
    <row r="1779" spans="1:14" s="7" customFormat="1" x14ac:dyDescent="0.35">
      <c r="A1779" s="113"/>
      <c r="B1779" s="27"/>
      <c r="C1779" s="48"/>
      <c r="D1779" s="27"/>
      <c r="E1779" s="38"/>
      <c r="F1779" s="27"/>
      <c r="G1779" s="27"/>
      <c r="H1779" s="99"/>
      <c r="M1779" s="27"/>
      <c r="N1779" s="48"/>
    </row>
    <row r="1780" spans="1:14" s="7" customFormat="1" x14ac:dyDescent="0.35">
      <c r="A1780" s="113"/>
      <c r="B1780" s="27"/>
      <c r="C1780" s="48"/>
      <c r="D1780" s="27"/>
      <c r="E1780" s="38"/>
      <c r="F1780" s="27"/>
      <c r="G1780" s="27"/>
      <c r="H1780" s="99"/>
      <c r="M1780" s="27"/>
      <c r="N1780" s="48"/>
    </row>
    <row r="1781" spans="1:14" s="7" customFormat="1" x14ac:dyDescent="0.35">
      <c r="A1781" s="113"/>
      <c r="B1781" s="27"/>
      <c r="C1781" s="48"/>
      <c r="D1781" s="27"/>
      <c r="E1781" s="38"/>
      <c r="F1781" s="27"/>
      <c r="G1781" s="27"/>
      <c r="H1781" s="99"/>
      <c r="M1781" s="27"/>
      <c r="N1781" s="48"/>
    </row>
    <row r="1782" spans="1:14" s="7" customFormat="1" x14ac:dyDescent="0.35">
      <c r="A1782" s="113"/>
      <c r="B1782" s="27"/>
      <c r="C1782" s="48"/>
      <c r="D1782" s="27"/>
      <c r="E1782" s="38"/>
      <c r="F1782" s="27"/>
      <c r="G1782" s="27"/>
      <c r="H1782" s="99"/>
      <c r="M1782" s="27"/>
      <c r="N1782" s="48"/>
    </row>
    <row r="1783" spans="1:14" s="7" customFormat="1" x14ac:dyDescent="0.35">
      <c r="A1783" s="113"/>
      <c r="B1783" s="27"/>
      <c r="C1783" s="48"/>
      <c r="D1783" s="27"/>
      <c r="E1783" s="38"/>
      <c r="F1783" s="27"/>
      <c r="G1783" s="27"/>
      <c r="H1783" s="99"/>
      <c r="M1783" s="27"/>
      <c r="N1783" s="48"/>
    </row>
    <row r="1784" spans="1:14" s="7" customFormat="1" x14ac:dyDescent="0.35">
      <c r="A1784" s="113"/>
      <c r="B1784" s="27"/>
      <c r="C1784" s="48"/>
      <c r="D1784" s="27"/>
      <c r="E1784" s="38"/>
      <c r="F1784" s="27"/>
      <c r="G1784" s="27"/>
      <c r="H1784" s="99"/>
      <c r="M1784" s="27"/>
      <c r="N1784" s="48"/>
    </row>
    <row r="1785" spans="1:14" s="7" customFormat="1" x14ac:dyDescent="0.35">
      <c r="A1785" s="113"/>
      <c r="B1785" s="27"/>
      <c r="C1785" s="48"/>
      <c r="D1785" s="27"/>
      <c r="E1785" s="38"/>
      <c r="F1785" s="27"/>
      <c r="G1785" s="27"/>
      <c r="H1785" s="99"/>
      <c r="M1785" s="27"/>
      <c r="N1785" s="48"/>
    </row>
    <row r="1786" spans="1:14" s="7" customFormat="1" x14ac:dyDescent="0.35">
      <c r="A1786" s="113"/>
      <c r="B1786" s="27"/>
      <c r="C1786" s="48"/>
      <c r="D1786" s="27"/>
      <c r="E1786" s="38"/>
      <c r="F1786" s="27"/>
      <c r="G1786" s="27"/>
      <c r="H1786" s="99"/>
      <c r="M1786" s="27"/>
      <c r="N1786" s="48"/>
    </row>
    <row r="1787" spans="1:14" s="7" customFormat="1" x14ac:dyDescent="0.35">
      <c r="A1787" s="113"/>
      <c r="B1787" s="27"/>
      <c r="C1787" s="48"/>
      <c r="D1787" s="27"/>
      <c r="E1787" s="38"/>
      <c r="F1787" s="27"/>
      <c r="G1787" s="27"/>
      <c r="H1787" s="99"/>
      <c r="M1787" s="27"/>
      <c r="N1787" s="48"/>
    </row>
    <row r="1788" spans="1:14" s="7" customFormat="1" x14ac:dyDescent="0.35">
      <c r="A1788" s="113"/>
      <c r="B1788" s="27"/>
      <c r="C1788" s="48"/>
      <c r="D1788" s="27"/>
      <c r="E1788" s="38"/>
      <c r="F1788" s="27"/>
      <c r="G1788" s="27"/>
      <c r="H1788" s="99"/>
      <c r="M1788" s="27"/>
      <c r="N1788" s="48"/>
    </row>
    <row r="1789" spans="1:14" s="7" customFormat="1" x14ac:dyDescent="0.35">
      <c r="A1789" s="113"/>
      <c r="B1789" s="27"/>
      <c r="C1789" s="48"/>
      <c r="D1789" s="27"/>
      <c r="E1789" s="38"/>
      <c r="F1789" s="27"/>
      <c r="G1789" s="27"/>
      <c r="H1789" s="99"/>
      <c r="M1789" s="27"/>
      <c r="N1789" s="48"/>
    </row>
    <row r="1790" spans="1:14" s="7" customFormat="1" x14ac:dyDescent="0.35">
      <c r="A1790" s="113"/>
      <c r="B1790" s="27"/>
      <c r="C1790" s="48"/>
      <c r="D1790" s="27"/>
      <c r="E1790" s="38"/>
      <c r="F1790" s="27"/>
      <c r="G1790" s="27"/>
      <c r="H1790" s="99"/>
      <c r="M1790" s="27"/>
      <c r="N1790" s="48"/>
    </row>
    <row r="1791" spans="1:14" s="7" customFormat="1" x14ac:dyDescent="0.35">
      <c r="A1791" s="113"/>
      <c r="B1791" s="27"/>
      <c r="C1791" s="48"/>
      <c r="D1791" s="27"/>
      <c r="E1791" s="38"/>
      <c r="F1791" s="27"/>
      <c r="G1791" s="27"/>
      <c r="H1791" s="99"/>
      <c r="M1791" s="27"/>
      <c r="N1791" s="48"/>
    </row>
    <row r="1792" spans="1:14" s="7" customFormat="1" x14ac:dyDescent="0.35">
      <c r="A1792" s="113"/>
      <c r="B1792" s="27"/>
      <c r="C1792" s="48"/>
      <c r="D1792" s="27"/>
      <c r="E1792" s="38"/>
      <c r="F1792" s="27"/>
      <c r="G1792" s="27"/>
      <c r="H1792" s="99"/>
      <c r="M1792" s="27"/>
      <c r="N1792" s="48"/>
    </row>
    <row r="1793" spans="1:14" s="7" customFormat="1" x14ac:dyDescent="0.35">
      <c r="A1793" s="113"/>
      <c r="B1793" s="27"/>
      <c r="C1793" s="48"/>
      <c r="D1793" s="27"/>
      <c r="E1793" s="38"/>
      <c r="F1793" s="27"/>
      <c r="G1793" s="27"/>
      <c r="H1793" s="99"/>
      <c r="M1793" s="27"/>
      <c r="N1793" s="48"/>
    </row>
    <row r="1794" spans="1:14" s="7" customFormat="1" x14ac:dyDescent="0.35">
      <c r="A1794" s="113"/>
      <c r="B1794" s="27"/>
      <c r="C1794" s="48"/>
      <c r="D1794" s="27"/>
      <c r="E1794" s="38"/>
      <c r="F1794" s="27"/>
      <c r="G1794" s="27"/>
      <c r="H1794" s="99"/>
      <c r="M1794" s="27"/>
      <c r="N1794" s="48"/>
    </row>
    <row r="1795" spans="1:14" s="7" customFormat="1" x14ac:dyDescent="0.35">
      <c r="A1795" s="113"/>
      <c r="B1795" s="27"/>
      <c r="C1795" s="48"/>
      <c r="D1795" s="27"/>
      <c r="E1795" s="38"/>
      <c r="F1795" s="27"/>
      <c r="G1795" s="27"/>
      <c r="H1795" s="99"/>
      <c r="M1795" s="27"/>
      <c r="N1795" s="48"/>
    </row>
    <row r="1796" spans="1:14" s="7" customFormat="1" x14ac:dyDescent="0.35">
      <c r="A1796" s="113"/>
      <c r="B1796" s="27"/>
      <c r="C1796" s="48"/>
      <c r="D1796" s="27"/>
      <c r="E1796" s="38"/>
      <c r="F1796" s="27"/>
      <c r="G1796" s="27"/>
      <c r="H1796" s="99"/>
      <c r="M1796" s="27"/>
      <c r="N1796" s="48"/>
    </row>
    <row r="1797" spans="1:14" s="7" customFormat="1" x14ac:dyDescent="0.35">
      <c r="A1797" s="113"/>
      <c r="B1797" s="27"/>
      <c r="C1797" s="48"/>
      <c r="D1797" s="27"/>
      <c r="E1797" s="38"/>
      <c r="F1797" s="27"/>
      <c r="G1797" s="27"/>
      <c r="H1797" s="99"/>
      <c r="M1797" s="27"/>
      <c r="N1797" s="48"/>
    </row>
    <row r="1798" spans="1:14" s="7" customFormat="1" x14ac:dyDescent="0.35">
      <c r="A1798" s="113"/>
      <c r="B1798" s="27"/>
      <c r="C1798" s="48"/>
      <c r="D1798" s="27"/>
      <c r="E1798" s="38"/>
      <c r="F1798" s="27"/>
      <c r="G1798" s="27"/>
      <c r="H1798" s="99"/>
      <c r="M1798" s="27"/>
      <c r="N1798" s="48"/>
    </row>
    <row r="1799" spans="1:14" s="7" customFormat="1" x14ac:dyDescent="0.35">
      <c r="A1799" s="113"/>
      <c r="B1799" s="27"/>
      <c r="C1799" s="48"/>
      <c r="D1799" s="27"/>
      <c r="E1799" s="38"/>
      <c r="F1799" s="27"/>
      <c r="G1799" s="27"/>
      <c r="H1799" s="99"/>
      <c r="M1799" s="27"/>
      <c r="N1799" s="48"/>
    </row>
    <row r="1800" spans="1:14" s="7" customFormat="1" x14ac:dyDescent="0.35">
      <c r="A1800" s="113"/>
      <c r="B1800" s="27"/>
      <c r="C1800" s="48"/>
      <c r="D1800" s="27"/>
      <c r="E1800" s="38"/>
      <c r="F1800" s="27"/>
      <c r="G1800" s="27"/>
      <c r="H1800" s="99"/>
      <c r="M1800" s="27"/>
      <c r="N1800" s="48"/>
    </row>
    <row r="1801" spans="1:14" s="7" customFormat="1" x14ac:dyDescent="0.35">
      <c r="A1801" s="113"/>
      <c r="B1801" s="27"/>
      <c r="C1801" s="48"/>
      <c r="D1801" s="27"/>
      <c r="E1801" s="38"/>
      <c r="F1801" s="27"/>
      <c r="G1801" s="27"/>
      <c r="H1801" s="99"/>
      <c r="M1801" s="27"/>
      <c r="N1801" s="48"/>
    </row>
    <row r="1802" spans="1:14" s="7" customFormat="1" x14ac:dyDescent="0.35">
      <c r="A1802" s="113"/>
      <c r="B1802" s="27"/>
      <c r="C1802" s="48"/>
      <c r="D1802" s="27"/>
      <c r="E1802" s="38"/>
      <c r="F1802" s="27"/>
      <c r="G1802" s="27"/>
      <c r="H1802" s="99"/>
      <c r="M1802" s="27"/>
      <c r="N1802" s="48"/>
    </row>
    <row r="1803" spans="1:14" s="7" customFormat="1" x14ac:dyDescent="0.35">
      <c r="A1803" s="113"/>
      <c r="B1803" s="27"/>
      <c r="C1803" s="48"/>
      <c r="D1803" s="27"/>
      <c r="E1803" s="38"/>
      <c r="F1803" s="27"/>
      <c r="G1803" s="27"/>
      <c r="H1803" s="99"/>
      <c r="M1803" s="27"/>
      <c r="N1803" s="48"/>
    </row>
    <row r="1804" spans="1:14" s="7" customFormat="1" x14ac:dyDescent="0.35">
      <c r="A1804" s="113"/>
      <c r="B1804" s="27"/>
      <c r="C1804" s="48"/>
      <c r="D1804" s="27"/>
      <c r="E1804" s="38"/>
      <c r="F1804" s="27"/>
      <c r="G1804" s="27"/>
      <c r="H1804" s="99"/>
      <c r="M1804" s="27"/>
      <c r="N1804" s="48"/>
    </row>
    <row r="1805" spans="1:14" s="7" customFormat="1" x14ac:dyDescent="0.35">
      <c r="A1805" s="113"/>
      <c r="B1805" s="27"/>
      <c r="C1805" s="48"/>
      <c r="D1805" s="27"/>
      <c r="E1805" s="38"/>
      <c r="F1805" s="27"/>
      <c r="G1805" s="27"/>
      <c r="H1805" s="99"/>
      <c r="M1805" s="27"/>
      <c r="N1805" s="48"/>
    </row>
    <row r="1806" spans="1:14" s="7" customFormat="1" x14ac:dyDescent="0.35">
      <c r="A1806" s="113"/>
      <c r="B1806" s="27"/>
      <c r="C1806" s="48"/>
      <c r="D1806" s="27"/>
      <c r="E1806" s="38"/>
      <c r="F1806" s="27"/>
      <c r="G1806" s="27"/>
      <c r="H1806" s="99"/>
      <c r="M1806" s="27"/>
      <c r="N1806" s="48"/>
    </row>
    <row r="1807" spans="1:14" s="7" customFormat="1" x14ac:dyDescent="0.35">
      <c r="A1807" s="113"/>
      <c r="B1807" s="27"/>
      <c r="C1807" s="48"/>
      <c r="D1807" s="27"/>
      <c r="E1807" s="38"/>
      <c r="F1807" s="27"/>
      <c r="G1807" s="27"/>
      <c r="H1807" s="99"/>
      <c r="M1807" s="27"/>
      <c r="N1807" s="48"/>
    </row>
    <row r="1808" spans="1:14" s="7" customFormat="1" x14ac:dyDescent="0.35">
      <c r="A1808" s="113"/>
      <c r="B1808" s="27"/>
      <c r="C1808" s="48"/>
      <c r="D1808" s="27"/>
      <c r="E1808" s="38"/>
      <c r="F1808" s="27"/>
      <c r="G1808" s="27"/>
      <c r="H1808" s="99"/>
      <c r="M1808" s="27"/>
      <c r="N1808" s="48"/>
    </row>
    <row r="1809" spans="1:14" s="7" customFormat="1" x14ac:dyDescent="0.35">
      <c r="A1809" s="113"/>
      <c r="B1809" s="27"/>
      <c r="C1809" s="48"/>
      <c r="D1809" s="27"/>
      <c r="E1809" s="38"/>
      <c r="F1809" s="27"/>
      <c r="G1809" s="27"/>
      <c r="H1809" s="99"/>
      <c r="M1809" s="27"/>
      <c r="N1809" s="48"/>
    </row>
    <row r="1810" spans="1:14" s="7" customFormat="1" x14ac:dyDescent="0.35">
      <c r="A1810" s="113"/>
      <c r="B1810" s="27"/>
      <c r="C1810" s="48"/>
      <c r="D1810" s="27"/>
      <c r="E1810" s="38"/>
      <c r="F1810" s="27"/>
      <c r="G1810" s="27"/>
      <c r="H1810" s="99"/>
      <c r="M1810" s="27"/>
      <c r="N1810" s="48"/>
    </row>
    <row r="1811" spans="1:14" s="7" customFormat="1" x14ac:dyDescent="0.35">
      <c r="A1811" s="113"/>
      <c r="B1811" s="27"/>
      <c r="C1811" s="48"/>
      <c r="D1811" s="27"/>
      <c r="E1811" s="38"/>
      <c r="F1811" s="27"/>
      <c r="G1811" s="27"/>
      <c r="H1811" s="99"/>
      <c r="M1811" s="27"/>
      <c r="N1811" s="48"/>
    </row>
    <row r="1812" spans="1:14" s="7" customFormat="1" x14ac:dyDescent="0.35">
      <c r="A1812" s="113"/>
      <c r="B1812" s="27"/>
      <c r="C1812" s="48"/>
      <c r="D1812" s="27"/>
      <c r="E1812" s="38"/>
      <c r="F1812" s="27"/>
      <c r="G1812" s="27"/>
      <c r="H1812" s="99"/>
      <c r="M1812" s="27"/>
      <c r="N1812" s="48"/>
    </row>
    <row r="1813" spans="1:14" s="7" customFormat="1" x14ac:dyDescent="0.35">
      <c r="A1813" s="113"/>
      <c r="B1813" s="27"/>
      <c r="C1813" s="48"/>
      <c r="D1813" s="27"/>
      <c r="E1813" s="38"/>
      <c r="F1813" s="27"/>
      <c r="G1813" s="27"/>
      <c r="H1813" s="99"/>
      <c r="M1813" s="27"/>
      <c r="N1813" s="48"/>
    </row>
    <row r="1814" spans="1:14" s="7" customFormat="1" x14ac:dyDescent="0.35">
      <c r="A1814" s="113"/>
      <c r="B1814" s="27"/>
      <c r="C1814" s="48"/>
      <c r="D1814" s="27"/>
      <c r="E1814" s="38"/>
      <c r="F1814" s="27"/>
      <c r="G1814" s="27"/>
      <c r="H1814" s="99"/>
      <c r="M1814" s="27"/>
      <c r="N1814" s="48"/>
    </row>
    <row r="1815" spans="1:14" s="7" customFormat="1" x14ac:dyDescent="0.35">
      <c r="A1815" s="113"/>
      <c r="B1815" s="27"/>
      <c r="C1815" s="48"/>
      <c r="D1815" s="27"/>
      <c r="E1815" s="38"/>
      <c r="F1815" s="27"/>
      <c r="G1815" s="27"/>
      <c r="H1815" s="99"/>
      <c r="M1815" s="27"/>
      <c r="N1815" s="48"/>
    </row>
    <row r="1816" spans="1:14" s="7" customFormat="1" x14ac:dyDescent="0.35">
      <c r="A1816" s="113"/>
      <c r="B1816" s="27"/>
      <c r="C1816" s="48"/>
      <c r="D1816" s="27"/>
      <c r="E1816" s="38"/>
      <c r="F1816" s="27"/>
      <c r="G1816" s="27"/>
      <c r="H1816" s="99"/>
      <c r="M1816" s="27"/>
      <c r="N1816" s="48"/>
    </row>
    <row r="1817" spans="1:14" s="7" customFormat="1" x14ac:dyDescent="0.35">
      <c r="A1817" s="113"/>
      <c r="B1817" s="27"/>
      <c r="C1817" s="48"/>
      <c r="D1817" s="27"/>
      <c r="E1817" s="38"/>
      <c r="F1817" s="27"/>
      <c r="G1817" s="27"/>
      <c r="H1817" s="99"/>
      <c r="M1817" s="27"/>
      <c r="N1817" s="48"/>
    </row>
    <row r="1818" spans="1:14" s="7" customFormat="1" x14ac:dyDescent="0.35">
      <c r="A1818" s="113"/>
      <c r="B1818" s="27"/>
      <c r="C1818" s="48"/>
      <c r="D1818" s="27"/>
      <c r="E1818" s="38"/>
      <c r="F1818" s="27"/>
      <c r="G1818" s="27"/>
      <c r="H1818" s="99"/>
      <c r="M1818" s="27"/>
      <c r="N1818" s="48"/>
    </row>
    <row r="1819" spans="1:14" s="7" customFormat="1" x14ac:dyDescent="0.35">
      <c r="A1819" s="113"/>
      <c r="B1819" s="27"/>
      <c r="C1819" s="48"/>
      <c r="D1819" s="27"/>
      <c r="E1819" s="38"/>
      <c r="F1819" s="27"/>
      <c r="G1819" s="27"/>
      <c r="H1819" s="99"/>
      <c r="M1819" s="27"/>
      <c r="N1819" s="48"/>
    </row>
    <row r="1820" spans="1:14" s="7" customFormat="1" x14ac:dyDescent="0.35">
      <c r="A1820" s="113"/>
      <c r="B1820" s="27"/>
      <c r="C1820" s="48"/>
      <c r="D1820" s="27"/>
      <c r="E1820" s="38"/>
      <c r="F1820" s="27"/>
      <c r="G1820" s="27"/>
      <c r="H1820" s="99"/>
      <c r="M1820" s="27"/>
      <c r="N1820" s="48"/>
    </row>
    <row r="1821" spans="1:14" s="7" customFormat="1" x14ac:dyDescent="0.35">
      <c r="A1821" s="113"/>
      <c r="B1821" s="27"/>
      <c r="C1821" s="48"/>
      <c r="D1821" s="27"/>
      <c r="E1821" s="38"/>
      <c r="F1821" s="27"/>
      <c r="G1821" s="27"/>
      <c r="H1821" s="99"/>
      <c r="M1821" s="27"/>
      <c r="N1821" s="48"/>
    </row>
    <row r="1822" spans="1:14" s="7" customFormat="1" x14ac:dyDescent="0.35">
      <c r="A1822" s="113"/>
      <c r="B1822" s="27"/>
      <c r="C1822" s="48"/>
      <c r="D1822" s="27"/>
      <c r="E1822" s="38"/>
      <c r="F1822" s="27"/>
      <c r="G1822" s="27"/>
      <c r="H1822" s="99"/>
      <c r="M1822" s="27"/>
      <c r="N1822" s="48"/>
    </row>
    <row r="1823" spans="1:14" s="7" customFormat="1" x14ac:dyDescent="0.35">
      <c r="A1823" s="113"/>
      <c r="B1823" s="27"/>
      <c r="C1823" s="48"/>
      <c r="D1823" s="27"/>
      <c r="E1823" s="38"/>
      <c r="F1823" s="27"/>
      <c r="G1823" s="27"/>
      <c r="H1823" s="99"/>
      <c r="M1823" s="27"/>
      <c r="N1823" s="48"/>
    </row>
    <row r="1824" spans="1:14" s="7" customFormat="1" x14ac:dyDescent="0.35">
      <c r="A1824" s="113"/>
      <c r="B1824" s="27"/>
      <c r="C1824" s="48"/>
      <c r="D1824" s="27"/>
      <c r="E1824" s="38"/>
      <c r="F1824" s="27"/>
      <c r="G1824" s="27"/>
      <c r="H1824" s="99"/>
      <c r="M1824" s="27"/>
      <c r="N1824" s="48"/>
    </row>
    <row r="1825" spans="1:14" s="7" customFormat="1" x14ac:dyDescent="0.35">
      <c r="A1825" s="113"/>
      <c r="B1825" s="27"/>
      <c r="C1825" s="48"/>
      <c r="D1825" s="27"/>
      <c r="E1825" s="38"/>
      <c r="F1825" s="27"/>
      <c r="G1825" s="27"/>
      <c r="H1825" s="99"/>
      <c r="M1825" s="27"/>
      <c r="N1825" s="48"/>
    </row>
    <row r="1826" spans="1:14" s="7" customFormat="1" x14ac:dyDescent="0.35">
      <c r="A1826" s="113"/>
      <c r="B1826" s="27"/>
      <c r="C1826" s="48"/>
      <c r="D1826" s="27"/>
      <c r="E1826" s="38"/>
      <c r="F1826" s="27"/>
      <c r="G1826" s="27"/>
      <c r="H1826" s="99"/>
      <c r="M1826" s="27"/>
      <c r="N1826" s="48"/>
    </row>
    <row r="1827" spans="1:14" s="7" customFormat="1" x14ac:dyDescent="0.35">
      <c r="A1827" s="113"/>
      <c r="B1827" s="27"/>
      <c r="C1827" s="48"/>
      <c r="D1827" s="27"/>
      <c r="E1827" s="38"/>
      <c r="F1827" s="27"/>
      <c r="G1827" s="27"/>
      <c r="H1827" s="99"/>
      <c r="M1827" s="27"/>
      <c r="N1827" s="48"/>
    </row>
    <row r="1828" spans="1:14" s="7" customFormat="1" x14ac:dyDescent="0.35">
      <c r="A1828" s="113"/>
      <c r="B1828" s="27"/>
      <c r="C1828" s="48"/>
      <c r="D1828" s="27"/>
      <c r="E1828" s="38"/>
      <c r="F1828" s="27"/>
      <c r="G1828" s="27"/>
      <c r="H1828" s="99"/>
      <c r="M1828" s="27"/>
      <c r="N1828" s="48"/>
    </row>
    <row r="1829" spans="1:14" s="7" customFormat="1" x14ac:dyDescent="0.35">
      <c r="A1829" s="113"/>
      <c r="B1829" s="27"/>
      <c r="C1829" s="48"/>
      <c r="D1829" s="27"/>
      <c r="E1829" s="38"/>
      <c r="F1829" s="27"/>
      <c r="G1829" s="27"/>
      <c r="H1829" s="99"/>
      <c r="M1829" s="27"/>
      <c r="N1829" s="48"/>
    </row>
    <row r="1830" spans="1:14" s="7" customFormat="1" x14ac:dyDescent="0.35">
      <c r="A1830" s="113"/>
      <c r="B1830" s="27"/>
      <c r="C1830" s="48"/>
      <c r="D1830" s="27"/>
      <c r="E1830" s="38"/>
      <c r="F1830" s="27"/>
      <c r="G1830" s="27"/>
      <c r="H1830" s="99"/>
      <c r="M1830" s="27"/>
      <c r="N1830" s="48"/>
    </row>
    <row r="1831" spans="1:14" s="7" customFormat="1" x14ac:dyDescent="0.35">
      <c r="A1831" s="113"/>
      <c r="B1831" s="27"/>
      <c r="C1831" s="48"/>
      <c r="D1831" s="27"/>
      <c r="E1831" s="38"/>
      <c r="F1831" s="27"/>
      <c r="G1831" s="27"/>
      <c r="H1831" s="99"/>
      <c r="M1831" s="27"/>
      <c r="N1831" s="48"/>
    </row>
    <row r="1832" spans="1:14" s="7" customFormat="1" x14ac:dyDescent="0.35">
      <c r="A1832" s="113"/>
      <c r="B1832" s="27"/>
      <c r="C1832" s="48"/>
      <c r="D1832" s="27"/>
      <c r="E1832" s="38"/>
      <c r="F1832" s="27"/>
      <c r="G1832" s="27"/>
      <c r="H1832" s="99"/>
      <c r="M1832" s="27"/>
      <c r="N1832" s="48"/>
    </row>
    <row r="1833" spans="1:14" s="7" customFormat="1" x14ac:dyDescent="0.35">
      <c r="A1833" s="113"/>
      <c r="B1833" s="27"/>
      <c r="C1833" s="48"/>
      <c r="D1833" s="27"/>
      <c r="E1833" s="38"/>
      <c r="F1833" s="27"/>
      <c r="G1833" s="27"/>
      <c r="H1833" s="99"/>
      <c r="M1833" s="27"/>
      <c r="N1833" s="48"/>
    </row>
    <row r="1834" spans="1:14" s="7" customFormat="1" x14ac:dyDescent="0.35">
      <c r="A1834" s="113"/>
      <c r="B1834" s="27"/>
      <c r="C1834" s="48"/>
      <c r="D1834" s="27"/>
      <c r="E1834" s="38"/>
      <c r="F1834" s="27"/>
      <c r="G1834" s="27"/>
      <c r="H1834" s="99"/>
      <c r="M1834" s="27"/>
      <c r="N1834" s="48"/>
    </row>
    <row r="1835" spans="1:14" s="7" customFormat="1" x14ac:dyDescent="0.35">
      <c r="A1835" s="113"/>
      <c r="B1835" s="27"/>
      <c r="C1835" s="48"/>
      <c r="D1835" s="27"/>
      <c r="E1835" s="38"/>
      <c r="F1835" s="27"/>
      <c r="G1835" s="27"/>
      <c r="H1835" s="99"/>
      <c r="M1835" s="27"/>
      <c r="N1835" s="48"/>
    </row>
    <row r="1836" spans="1:14" s="7" customFormat="1" x14ac:dyDescent="0.35">
      <c r="A1836" s="113"/>
      <c r="B1836" s="27"/>
      <c r="C1836" s="48"/>
      <c r="D1836" s="27"/>
      <c r="E1836" s="38"/>
      <c r="F1836" s="27"/>
      <c r="G1836" s="27"/>
      <c r="H1836" s="99"/>
      <c r="M1836" s="27"/>
      <c r="N1836" s="48"/>
    </row>
    <row r="1837" spans="1:14" s="7" customFormat="1" x14ac:dyDescent="0.35">
      <c r="A1837" s="113"/>
      <c r="B1837" s="27"/>
      <c r="C1837" s="48"/>
      <c r="D1837" s="27"/>
      <c r="E1837" s="38"/>
      <c r="F1837" s="27"/>
      <c r="G1837" s="27"/>
      <c r="H1837" s="99"/>
      <c r="M1837" s="27"/>
      <c r="N1837" s="48"/>
    </row>
    <row r="1838" spans="1:14" s="7" customFormat="1" x14ac:dyDescent="0.35">
      <c r="A1838" s="113"/>
      <c r="B1838" s="27"/>
      <c r="C1838" s="48"/>
      <c r="D1838" s="27"/>
      <c r="E1838" s="38"/>
      <c r="F1838" s="27"/>
      <c r="G1838" s="27"/>
      <c r="H1838" s="99"/>
      <c r="M1838" s="27"/>
      <c r="N1838" s="48"/>
    </row>
    <row r="1839" spans="1:14" s="7" customFormat="1" x14ac:dyDescent="0.35">
      <c r="A1839" s="113"/>
      <c r="B1839" s="27"/>
      <c r="C1839" s="48"/>
      <c r="D1839" s="27"/>
      <c r="E1839" s="38"/>
      <c r="F1839" s="27"/>
      <c r="G1839" s="27"/>
      <c r="H1839" s="99"/>
      <c r="M1839" s="27"/>
      <c r="N1839" s="48"/>
    </row>
    <row r="1840" spans="1:14" s="7" customFormat="1" x14ac:dyDescent="0.35">
      <c r="A1840" s="113"/>
      <c r="B1840" s="27"/>
      <c r="C1840" s="48"/>
      <c r="D1840" s="27"/>
      <c r="E1840" s="38"/>
      <c r="F1840" s="27"/>
      <c r="G1840" s="27"/>
      <c r="H1840" s="99"/>
      <c r="M1840" s="27"/>
      <c r="N1840" s="48"/>
    </row>
    <row r="1841" spans="1:14" s="7" customFormat="1" x14ac:dyDescent="0.35">
      <c r="A1841" s="113"/>
      <c r="B1841" s="27"/>
      <c r="C1841" s="48"/>
      <c r="D1841" s="27"/>
      <c r="E1841" s="38"/>
      <c r="F1841" s="27"/>
      <c r="G1841" s="27"/>
      <c r="H1841" s="99"/>
      <c r="M1841" s="27"/>
      <c r="N1841" s="48"/>
    </row>
    <row r="1842" spans="1:14" s="7" customFormat="1" x14ac:dyDescent="0.35">
      <c r="A1842" s="113"/>
      <c r="B1842" s="27"/>
      <c r="C1842" s="48"/>
      <c r="D1842" s="27"/>
      <c r="E1842" s="38"/>
      <c r="F1842" s="27"/>
      <c r="G1842" s="27"/>
      <c r="H1842" s="99"/>
      <c r="M1842" s="27"/>
      <c r="N1842" s="48"/>
    </row>
    <row r="1843" spans="1:14" s="7" customFormat="1" x14ac:dyDescent="0.35">
      <c r="A1843" s="113"/>
      <c r="B1843" s="27"/>
      <c r="C1843" s="48"/>
      <c r="D1843" s="27"/>
      <c r="E1843" s="38"/>
      <c r="F1843" s="27"/>
      <c r="G1843" s="27"/>
      <c r="H1843" s="99"/>
      <c r="M1843" s="27"/>
      <c r="N1843" s="48"/>
    </row>
    <row r="1844" spans="1:14" s="7" customFormat="1" x14ac:dyDescent="0.35">
      <c r="A1844" s="113"/>
      <c r="B1844" s="27"/>
      <c r="C1844" s="48"/>
      <c r="D1844" s="27"/>
      <c r="E1844" s="38"/>
      <c r="F1844" s="27"/>
      <c r="G1844" s="27"/>
      <c r="H1844" s="99"/>
      <c r="M1844" s="27"/>
      <c r="N1844" s="48"/>
    </row>
    <row r="1845" spans="1:14" s="7" customFormat="1" x14ac:dyDescent="0.35">
      <c r="A1845" s="113"/>
      <c r="B1845" s="27"/>
      <c r="C1845" s="48"/>
      <c r="D1845" s="27"/>
      <c r="E1845" s="38"/>
      <c r="F1845" s="27"/>
      <c r="G1845" s="27"/>
      <c r="H1845" s="99"/>
      <c r="M1845" s="27"/>
      <c r="N1845" s="48"/>
    </row>
    <row r="1846" spans="1:14" s="7" customFormat="1" x14ac:dyDescent="0.35">
      <c r="A1846" s="113"/>
      <c r="B1846" s="27"/>
      <c r="C1846" s="48"/>
      <c r="D1846" s="27"/>
      <c r="E1846" s="38"/>
      <c r="F1846" s="27"/>
      <c r="G1846" s="27"/>
      <c r="H1846" s="99"/>
      <c r="M1846" s="27"/>
      <c r="N1846" s="48"/>
    </row>
    <row r="1847" spans="1:14" s="7" customFormat="1" x14ac:dyDescent="0.35">
      <c r="A1847" s="113"/>
      <c r="B1847" s="27"/>
      <c r="C1847" s="48"/>
      <c r="D1847" s="27"/>
      <c r="E1847" s="38"/>
      <c r="F1847" s="27"/>
      <c r="G1847" s="27"/>
      <c r="H1847" s="99"/>
      <c r="M1847" s="27"/>
      <c r="N1847" s="48"/>
    </row>
    <row r="1848" spans="1:14" s="7" customFormat="1" x14ac:dyDescent="0.35">
      <c r="A1848" s="113"/>
      <c r="B1848" s="27"/>
      <c r="C1848" s="48"/>
      <c r="D1848" s="27"/>
      <c r="E1848" s="38"/>
      <c r="F1848" s="27"/>
      <c r="G1848" s="27"/>
      <c r="H1848" s="99"/>
      <c r="M1848" s="27"/>
      <c r="N1848" s="48"/>
    </row>
    <row r="1849" spans="1:14" s="7" customFormat="1" x14ac:dyDescent="0.35">
      <c r="A1849" s="113"/>
      <c r="B1849" s="27"/>
      <c r="C1849" s="48"/>
      <c r="D1849" s="27"/>
      <c r="E1849" s="38"/>
      <c r="F1849" s="27"/>
      <c r="G1849" s="27"/>
      <c r="H1849" s="99"/>
      <c r="M1849" s="27"/>
      <c r="N1849" s="48"/>
    </row>
    <row r="1850" spans="1:14" s="7" customFormat="1" x14ac:dyDescent="0.35">
      <c r="A1850" s="113"/>
      <c r="B1850" s="27"/>
      <c r="C1850" s="48"/>
      <c r="D1850" s="27"/>
      <c r="E1850" s="38"/>
      <c r="F1850" s="27"/>
      <c r="G1850" s="27"/>
      <c r="H1850" s="99"/>
      <c r="M1850" s="27"/>
      <c r="N1850" s="48"/>
    </row>
    <row r="1851" spans="1:14" s="7" customFormat="1" x14ac:dyDescent="0.35">
      <c r="A1851" s="113"/>
      <c r="B1851" s="27"/>
      <c r="C1851" s="48"/>
      <c r="D1851" s="27"/>
      <c r="E1851" s="38"/>
      <c r="F1851" s="27"/>
      <c r="G1851" s="27"/>
      <c r="H1851" s="99"/>
      <c r="M1851" s="27"/>
      <c r="N1851" s="48"/>
    </row>
    <row r="1852" spans="1:14" s="7" customFormat="1" x14ac:dyDescent="0.35">
      <c r="A1852" s="113"/>
      <c r="B1852" s="27"/>
      <c r="C1852" s="48"/>
      <c r="D1852" s="27"/>
      <c r="E1852" s="38"/>
      <c r="F1852" s="27"/>
      <c r="G1852" s="27"/>
      <c r="H1852" s="99"/>
      <c r="M1852" s="27"/>
      <c r="N1852" s="48"/>
    </row>
    <row r="1853" spans="1:14" s="7" customFormat="1" x14ac:dyDescent="0.35">
      <c r="A1853" s="113"/>
      <c r="B1853" s="27"/>
      <c r="C1853" s="48"/>
      <c r="D1853" s="27"/>
      <c r="E1853" s="38"/>
      <c r="F1853" s="27"/>
      <c r="G1853" s="27"/>
      <c r="H1853" s="99"/>
      <c r="M1853" s="27"/>
      <c r="N1853" s="48"/>
    </row>
    <row r="1854" spans="1:14" s="7" customFormat="1" x14ac:dyDescent="0.35">
      <c r="A1854" s="113"/>
      <c r="B1854" s="27"/>
      <c r="C1854" s="48"/>
      <c r="D1854" s="27"/>
      <c r="E1854" s="38"/>
      <c r="F1854" s="27"/>
      <c r="G1854" s="27"/>
      <c r="H1854" s="99"/>
      <c r="M1854" s="27"/>
      <c r="N1854" s="48"/>
    </row>
    <row r="1855" spans="1:14" s="7" customFormat="1" x14ac:dyDescent="0.35">
      <c r="A1855" s="113"/>
      <c r="B1855" s="27"/>
      <c r="C1855" s="48"/>
      <c r="D1855" s="27"/>
      <c r="E1855" s="38"/>
      <c r="F1855" s="27"/>
      <c r="G1855" s="27"/>
      <c r="H1855" s="99"/>
      <c r="M1855" s="27"/>
      <c r="N1855" s="48"/>
    </row>
    <row r="1856" spans="1:14" s="7" customFormat="1" x14ac:dyDescent="0.35">
      <c r="A1856" s="113"/>
      <c r="B1856" s="27"/>
      <c r="C1856" s="48"/>
      <c r="D1856" s="27"/>
      <c r="E1856" s="38"/>
      <c r="F1856" s="27"/>
      <c r="G1856" s="27"/>
      <c r="H1856" s="99"/>
      <c r="M1856" s="27"/>
      <c r="N1856" s="48"/>
    </row>
    <row r="1857" spans="1:14" s="7" customFormat="1" x14ac:dyDescent="0.35">
      <c r="A1857" s="113"/>
      <c r="B1857" s="27"/>
      <c r="C1857" s="48"/>
      <c r="D1857" s="27"/>
      <c r="E1857" s="38"/>
      <c r="F1857" s="27"/>
      <c r="G1857" s="27"/>
      <c r="H1857" s="99"/>
      <c r="M1857" s="27"/>
      <c r="N1857" s="48"/>
    </row>
    <row r="1858" spans="1:14" s="7" customFormat="1" x14ac:dyDescent="0.35">
      <c r="A1858" s="113"/>
      <c r="B1858" s="27"/>
      <c r="C1858" s="48"/>
      <c r="D1858" s="27"/>
      <c r="E1858" s="38"/>
      <c r="F1858" s="27"/>
      <c r="G1858" s="27"/>
      <c r="H1858" s="99"/>
      <c r="M1858" s="27"/>
      <c r="N1858" s="48"/>
    </row>
    <row r="1859" spans="1:14" s="7" customFormat="1" x14ac:dyDescent="0.35">
      <c r="A1859" s="113"/>
      <c r="B1859" s="27"/>
      <c r="C1859" s="48"/>
      <c r="D1859" s="27"/>
      <c r="E1859" s="38"/>
      <c r="F1859" s="27"/>
      <c r="G1859" s="27"/>
      <c r="H1859" s="99"/>
      <c r="M1859" s="27"/>
      <c r="N1859" s="48"/>
    </row>
    <row r="1860" spans="1:14" s="7" customFormat="1" x14ac:dyDescent="0.35">
      <c r="A1860" s="113"/>
      <c r="B1860" s="27"/>
      <c r="C1860" s="48"/>
      <c r="D1860" s="27"/>
      <c r="E1860" s="38"/>
      <c r="F1860" s="27"/>
      <c r="G1860" s="27"/>
      <c r="H1860" s="99"/>
      <c r="M1860" s="27"/>
      <c r="N1860" s="48"/>
    </row>
    <row r="1861" spans="1:14" s="7" customFormat="1" x14ac:dyDescent="0.35">
      <c r="A1861" s="113"/>
      <c r="B1861" s="27"/>
      <c r="C1861" s="48"/>
      <c r="D1861" s="27"/>
      <c r="E1861" s="38"/>
      <c r="F1861" s="27"/>
      <c r="G1861" s="27"/>
      <c r="H1861" s="99"/>
      <c r="M1861" s="27"/>
      <c r="N1861" s="48"/>
    </row>
    <row r="1862" spans="1:14" s="7" customFormat="1" x14ac:dyDescent="0.35">
      <c r="A1862" s="113"/>
      <c r="B1862" s="27"/>
      <c r="C1862" s="48"/>
      <c r="D1862" s="27"/>
      <c r="E1862" s="38"/>
      <c r="F1862" s="27"/>
      <c r="G1862" s="27"/>
      <c r="H1862" s="99"/>
      <c r="M1862" s="27"/>
      <c r="N1862" s="48"/>
    </row>
    <row r="1863" spans="1:14" s="7" customFormat="1" x14ac:dyDescent="0.35">
      <c r="A1863" s="113"/>
      <c r="B1863" s="27"/>
      <c r="C1863" s="48"/>
      <c r="D1863" s="27"/>
      <c r="E1863" s="38"/>
      <c r="F1863" s="27"/>
      <c r="G1863" s="27"/>
      <c r="H1863" s="99"/>
      <c r="M1863" s="27"/>
      <c r="N1863" s="48"/>
    </row>
    <row r="1864" spans="1:14" s="7" customFormat="1" x14ac:dyDescent="0.35">
      <c r="A1864" s="113"/>
      <c r="B1864" s="27"/>
      <c r="C1864" s="48"/>
      <c r="D1864" s="27"/>
      <c r="E1864" s="38"/>
      <c r="F1864" s="27"/>
      <c r="G1864" s="27"/>
      <c r="H1864" s="99"/>
      <c r="M1864" s="27"/>
      <c r="N1864" s="48"/>
    </row>
    <row r="1865" spans="1:14" s="7" customFormat="1" x14ac:dyDescent="0.35">
      <c r="A1865" s="113"/>
      <c r="B1865" s="27"/>
      <c r="C1865" s="48"/>
      <c r="D1865" s="27"/>
      <c r="E1865" s="38"/>
      <c r="F1865" s="27"/>
      <c r="G1865" s="27"/>
      <c r="H1865" s="99"/>
      <c r="M1865" s="27"/>
      <c r="N1865" s="48"/>
    </row>
    <row r="1866" spans="1:14" s="7" customFormat="1" x14ac:dyDescent="0.35">
      <c r="A1866" s="113"/>
      <c r="B1866" s="27"/>
      <c r="C1866" s="48"/>
      <c r="D1866" s="27"/>
      <c r="E1866" s="38"/>
      <c r="F1866" s="27"/>
      <c r="G1866" s="27"/>
      <c r="H1866" s="99"/>
      <c r="M1866" s="27"/>
      <c r="N1866" s="48"/>
    </row>
    <row r="1867" spans="1:14" s="7" customFormat="1" x14ac:dyDescent="0.35">
      <c r="A1867" s="113"/>
      <c r="B1867" s="27"/>
      <c r="C1867" s="48"/>
      <c r="D1867" s="27"/>
      <c r="E1867" s="38"/>
      <c r="F1867" s="27"/>
      <c r="G1867" s="27"/>
      <c r="H1867" s="99"/>
      <c r="M1867" s="27"/>
      <c r="N1867" s="48"/>
    </row>
    <row r="1868" spans="1:14" s="7" customFormat="1" x14ac:dyDescent="0.35">
      <c r="A1868" s="113"/>
      <c r="B1868" s="27"/>
      <c r="C1868" s="48"/>
      <c r="D1868" s="27"/>
      <c r="E1868" s="38"/>
      <c r="F1868" s="27"/>
      <c r="G1868" s="27"/>
      <c r="H1868" s="99"/>
      <c r="M1868" s="27"/>
      <c r="N1868" s="48"/>
    </row>
    <row r="1869" spans="1:14" s="7" customFormat="1" x14ac:dyDescent="0.35">
      <c r="A1869" s="113"/>
      <c r="B1869" s="27"/>
      <c r="C1869" s="48"/>
      <c r="D1869" s="27"/>
      <c r="E1869" s="38"/>
      <c r="F1869" s="27"/>
      <c r="G1869" s="27"/>
      <c r="H1869" s="99"/>
      <c r="M1869" s="27"/>
      <c r="N1869" s="48"/>
    </row>
    <row r="1870" spans="1:14" s="7" customFormat="1" x14ac:dyDescent="0.35">
      <c r="A1870" s="113"/>
      <c r="B1870" s="27"/>
      <c r="C1870" s="48"/>
      <c r="D1870" s="27"/>
      <c r="E1870" s="38"/>
      <c r="F1870" s="27"/>
      <c r="G1870" s="27"/>
      <c r="H1870" s="99"/>
      <c r="M1870" s="27"/>
      <c r="N1870" s="48"/>
    </row>
    <row r="1871" spans="1:14" s="7" customFormat="1" x14ac:dyDescent="0.35">
      <c r="A1871" s="113"/>
      <c r="B1871" s="27"/>
      <c r="C1871" s="48"/>
      <c r="D1871" s="27"/>
      <c r="E1871" s="38"/>
      <c r="F1871" s="27"/>
      <c r="G1871" s="27"/>
      <c r="H1871" s="99"/>
      <c r="M1871" s="27"/>
      <c r="N1871" s="48"/>
    </row>
    <row r="1872" spans="1:14" s="7" customFormat="1" x14ac:dyDescent="0.35">
      <c r="A1872" s="113"/>
      <c r="B1872" s="27"/>
      <c r="C1872" s="48"/>
      <c r="D1872" s="27"/>
      <c r="E1872" s="38"/>
      <c r="F1872" s="27"/>
      <c r="G1872" s="27"/>
      <c r="H1872" s="99"/>
      <c r="M1872" s="27"/>
      <c r="N1872" s="48"/>
    </row>
    <row r="1873" spans="1:14" s="7" customFormat="1" x14ac:dyDescent="0.35">
      <c r="A1873" s="113"/>
      <c r="B1873" s="27"/>
      <c r="C1873" s="48"/>
      <c r="D1873" s="27"/>
      <c r="E1873" s="38"/>
      <c r="F1873" s="27"/>
      <c r="G1873" s="27"/>
      <c r="H1873" s="99"/>
      <c r="M1873" s="27"/>
      <c r="N1873" s="48"/>
    </row>
    <row r="1874" spans="1:14" s="7" customFormat="1" x14ac:dyDescent="0.35">
      <c r="A1874" s="113"/>
      <c r="B1874" s="27"/>
      <c r="C1874" s="48"/>
      <c r="D1874" s="27"/>
      <c r="E1874" s="38"/>
      <c r="F1874" s="27"/>
      <c r="G1874" s="27"/>
      <c r="H1874" s="99"/>
      <c r="M1874" s="27"/>
      <c r="N1874" s="48"/>
    </row>
    <row r="1875" spans="1:14" s="7" customFormat="1" x14ac:dyDescent="0.35">
      <c r="A1875" s="113"/>
      <c r="B1875" s="27"/>
      <c r="C1875" s="48"/>
      <c r="D1875" s="27"/>
      <c r="E1875" s="38"/>
      <c r="F1875" s="27"/>
      <c r="G1875" s="27"/>
      <c r="H1875" s="99"/>
      <c r="M1875" s="27"/>
      <c r="N1875" s="48"/>
    </row>
    <row r="1876" spans="1:14" s="7" customFormat="1" x14ac:dyDescent="0.35">
      <c r="A1876" s="113"/>
      <c r="B1876" s="27"/>
      <c r="C1876" s="48"/>
      <c r="D1876" s="27"/>
      <c r="E1876" s="38"/>
      <c r="F1876" s="27"/>
      <c r="G1876" s="27"/>
      <c r="H1876" s="99"/>
      <c r="M1876" s="27"/>
      <c r="N1876" s="48"/>
    </row>
    <row r="1877" spans="1:14" s="7" customFormat="1" x14ac:dyDescent="0.35">
      <c r="A1877" s="113"/>
      <c r="B1877" s="27"/>
      <c r="C1877" s="48"/>
      <c r="D1877" s="27"/>
      <c r="E1877" s="38"/>
      <c r="F1877" s="27"/>
      <c r="G1877" s="27"/>
      <c r="H1877" s="99"/>
      <c r="M1877" s="27"/>
      <c r="N1877" s="48"/>
    </row>
    <row r="1878" spans="1:14" s="7" customFormat="1" x14ac:dyDescent="0.35">
      <c r="A1878" s="113"/>
      <c r="B1878" s="27"/>
      <c r="C1878" s="48"/>
      <c r="D1878" s="27"/>
      <c r="E1878" s="38"/>
      <c r="F1878" s="27"/>
      <c r="G1878" s="27"/>
      <c r="H1878" s="99"/>
      <c r="M1878" s="27"/>
      <c r="N1878" s="48"/>
    </row>
    <row r="1879" spans="1:14" s="7" customFormat="1" x14ac:dyDescent="0.35">
      <c r="A1879" s="113"/>
      <c r="B1879" s="27"/>
      <c r="C1879" s="48"/>
      <c r="D1879" s="27"/>
      <c r="E1879" s="38"/>
      <c r="F1879" s="27"/>
      <c r="G1879" s="27"/>
      <c r="H1879" s="99"/>
      <c r="M1879" s="27"/>
      <c r="N1879" s="48"/>
    </row>
    <row r="1880" spans="1:14" s="7" customFormat="1" x14ac:dyDescent="0.35">
      <c r="A1880" s="113"/>
      <c r="B1880" s="27"/>
      <c r="C1880" s="48"/>
      <c r="D1880" s="27"/>
      <c r="E1880" s="38"/>
      <c r="F1880" s="27"/>
      <c r="G1880" s="27"/>
      <c r="H1880" s="99"/>
      <c r="M1880" s="27"/>
      <c r="N1880" s="48"/>
    </row>
    <row r="1881" spans="1:14" s="7" customFormat="1" x14ac:dyDescent="0.35">
      <c r="A1881" s="113"/>
      <c r="B1881" s="27"/>
      <c r="C1881" s="48"/>
      <c r="D1881" s="27"/>
      <c r="E1881" s="38"/>
      <c r="F1881" s="27"/>
      <c r="G1881" s="27"/>
      <c r="H1881" s="99"/>
      <c r="M1881" s="27"/>
      <c r="N1881" s="48"/>
    </row>
    <row r="1882" spans="1:14" s="7" customFormat="1" x14ac:dyDescent="0.35">
      <c r="A1882" s="113"/>
      <c r="B1882" s="27"/>
      <c r="C1882" s="48"/>
      <c r="D1882" s="27"/>
      <c r="E1882" s="38"/>
      <c r="F1882" s="27"/>
      <c r="G1882" s="27"/>
      <c r="H1882" s="99"/>
      <c r="M1882" s="27"/>
      <c r="N1882" s="48"/>
    </row>
    <row r="1883" spans="1:14" s="7" customFormat="1" x14ac:dyDescent="0.35">
      <c r="A1883" s="113"/>
      <c r="B1883" s="27"/>
      <c r="C1883" s="48"/>
      <c r="D1883" s="27"/>
      <c r="E1883" s="38"/>
      <c r="F1883" s="27"/>
      <c r="G1883" s="27"/>
      <c r="H1883" s="99"/>
      <c r="M1883" s="27"/>
      <c r="N1883" s="48"/>
    </row>
    <row r="1884" spans="1:14" s="7" customFormat="1" x14ac:dyDescent="0.35">
      <c r="A1884" s="113"/>
      <c r="B1884" s="27"/>
      <c r="C1884" s="48"/>
      <c r="D1884" s="27"/>
      <c r="E1884" s="38"/>
      <c r="F1884" s="27"/>
      <c r="G1884" s="27"/>
      <c r="H1884" s="99"/>
      <c r="M1884" s="27"/>
      <c r="N1884" s="48"/>
    </row>
    <row r="1885" spans="1:14" s="7" customFormat="1" x14ac:dyDescent="0.35">
      <c r="A1885" s="113"/>
      <c r="B1885" s="27"/>
      <c r="C1885" s="48"/>
      <c r="D1885" s="27"/>
      <c r="E1885" s="38"/>
      <c r="F1885" s="27"/>
      <c r="G1885" s="27"/>
      <c r="H1885" s="99"/>
      <c r="M1885" s="27"/>
      <c r="N1885" s="48"/>
    </row>
    <row r="1886" spans="1:14" s="7" customFormat="1" x14ac:dyDescent="0.35">
      <c r="A1886" s="113"/>
      <c r="B1886" s="27"/>
      <c r="C1886" s="48"/>
      <c r="D1886" s="27"/>
      <c r="E1886" s="38"/>
      <c r="F1886" s="27"/>
      <c r="G1886" s="27"/>
      <c r="H1886" s="99"/>
      <c r="M1886" s="27"/>
      <c r="N1886" s="48"/>
    </row>
    <row r="1887" spans="1:14" s="7" customFormat="1" x14ac:dyDescent="0.35">
      <c r="A1887" s="113"/>
      <c r="B1887" s="27"/>
      <c r="C1887" s="48"/>
      <c r="D1887" s="27"/>
      <c r="E1887" s="38"/>
      <c r="F1887" s="27"/>
      <c r="G1887" s="27"/>
      <c r="H1887" s="99"/>
      <c r="M1887" s="27"/>
      <c r="N1887" s="48"/>
    </row>
    <row r="1888" spans="1:14" s="7" customFormat="1" x14ac:dyDescent="0.35">
      <c r="A1888" s="113"/>
      <c r="B1888" s="27"/>
      <c r="C1888" s="48"/>
      <c r="D1888" s="27"/>
      <c r="E1888" s="38"/>
      <c r="F1888" s="27"/>
      <c r="G1888" s="27"/>
      <c r="H1888" s="99"/>
      <c r="M1888" s="27"/>
      <c r="N1888" s="48"/>
    </row>
    <row r="1889" spans="1:14" s="7" customFormat="1" x14ac:dyDescent="0.35">
      <c r="A1889" s="113"/>
      <c r="B1889" s="27"/>
      <c r="C1889" s="48"/>
      <c r="D1889" s="27"/>
      <c r="E1889" s="38"/>
      <c r="F1889" s="27"/>
      <c r="G1889" s="27"/>
      <c r="H1889" s="99"/>
      <c r="M1889" s="27"/>
      <c r="N1889" s="48"/>
    </row>
    <row r="1890" spans="1:14" s="7" customFormat="1" x14ac:dyDescent="0.35">
      <c r="A1890" s="113"/>
      <c r="B1890" s="27"/>
      <c r="C1890" s="48"/>
      <c r="D1890" s="27"/>
      <c r="E1890" s="38"/>
      <c r="F1890" s="27"/>
      <c r="G1890" s="27"/>
      <c r="H1890" s="99"/>
      <c r="M1890" s="27"/>
      <c r="N1890" s="48"/>
    </row>
    <row r="1891" spans="1:14" s="7" customFormat="1" x14ac:dyDescent="0.35">
      <c r="A1891" s="113"/>
      <c r="B1891" s="27"/>
      <c r="C1891" s="48"/>
      <c r="D1891" s="27"/>
      <c r="E1891" s="38"/>
      <c r="F1891" s="27"/>
      <c r="G1891" s="27"/>
      <c r="H1891" s="99"/>
      <c r="M1891" s="27"/>
      <c r="N1891" s="48"/>
    </row>
    <row r="1892" spans="1:14" s="7" customFormat="1" x14ac:dyDescent="0.35">
      <c r="A1892" s="113"/>
      <c r="B1892" s="27"/>
      <c r="C1892" s="48"/>
      <c r="D1892" s="27"/>
      <c r="E1892" s="38"/>
      <c r="F1892" s="27"/>
      <c r="G1892" s="27"/>
      <c r="H1892" s="99"/>
      <c r="M1892" s="27"/>
      <c r="N1892" s="48"/>
    </row>
    <row r="1893" spans="1:14" s="7" customFormat="1" x14ac:dyDescent="0.35">
      <c r="A1893" s="113"/>
      <c r="B1893" s="27"/>
      <c r="C1893" s="48"/>
      <c r="D1893" s="27"/>
      <c r="E1893" s="38"/>
      <c r="F1893" s="27"/>
      <c r="G1893" s="27"/>
      <c r="H1893" s="99"/>
      <c r="M1893" s="27"/>
      <c r="N1893" s="48"/>
    </row>
    <row r="1894" spans="1:14" s="7" customFormat="1" x14ac:dyDescent="0.35">
      <c r="A1894" s="113"/>
      <c r="B1894" s="27"/>
      <c r="C1894" s="48"/>
      <c r="D1894" s="27"/>
      <c r="E1894" s="38"/>
      <c r="F1894" s="27"/>
      <c r="G1894" s="27"/>
      <c r="H1894" s="99"/>
      <c r="M1894" s="27"/>
      <c r="N1894" s="48"/>
    </row>
    <row r="1895" spans="1:14" s="7" customFormat="1" x14ac:dyDescent="0.35">
      <c r="A1895" s="113"/>
      <c r="B1895" s="27"/>
      <c r="C1895" s="48"/>
      <c r="D1895" s="27"/>
      <c r="E1895" s="38"/>
      <c r="F1895" s="27"/>
      <c r="G1895" s="27"/>
      <c r="H1895" s="99"/>
      <c r="M1895" s="27"/>
      <c r="N1895" s="48"/>
    </row>
    <row r="1896" spans="1:14" s="7" customFormat="1" x14ac:dyDescent="0.35">
      <c r="A1896" s="113"/>
      <c r="B1896" s="27"/>
      <c r="C1896" s="48"/>
      <c r="D1896" s="27"/>
      <c r="E1896" s="38"/>
      <c r="F1896" s="27"/>
      <c r="G1896" s="27"/>
      <c r="H1896" s="99"/>
      <c r="M1896" s="27"/>
      <c r="N1896" s="48"/>
    </row>
    <row r="1897" spans="1:14" s="7" customFormat="1" x14ac:dyDescent="0.35">
      <c r="A1897" s="113"/>
      <c r="B1897" s="27"/>
      <c r="C1897" s="48"/>
      <c r="D1897" s="27"/>
      <c r="E1897" s="38"/>
      <c r="F1897" s="27"/>
      <c r="G1897" s="27"/>
      <c r="H1897" s="99"/>
      <c r="M1897" s="27"/>
      <c r="N1897" s="48"/>
    </row>
    <row r="1898" spans="1:14" s="7" customFormat="1" x14ac:dyDescent="0.35">
      <c r="A1898" s="113"/>
      <c r="B1898" s="27"/>
      <c r="C1898" s="48"/>
      <c r="D1898" s="27"/>
      <c r="E1898" s="38"/>
      <c r="F1898" s="27"/>
      <c r="G1898" s="27"/>
      <c r="H1898" s="99"/>
      <c r="M1898" s="27"/>
      <c r="N1898" s="48"/>
    </row>
    <row r="1899" spans="1:14" s="7" customFormat="1" x14ac:dyDescent="0.35">
      <c r="A1899" s="113"/>
      <c r="B1899" s="27"/>
      <c r="C1899" s="48"/>
      <c r="D1899" s="27"/>
      <c r="E1899" s="38"/>
      <c r="F1899" s="27"/>
      <c r="G1899" s="27"/>
      <c r="H1899" s="99"/>
      <c r="M1899" s="27"/>
      <c r="N1899" s="48"/>
    </row>
    <row r="1900" spans="1:14" s="7" customFormat="1" x14ac:dyDescent="0.35">
      <c r="A1900" s="113"/>
      <c r="B1900" s="27"/>
      <c r="C1900" s="48"/>
      <c r="D1900" s="27"/>
      <c r="E1900" s="38"/>
      <c r="F1900" s="27"/>
      <c r="G1900" s="27"/>
      <c r="H1900" s="99"/>
      <c r="M1900" s="27"/>
      <c r="N1900" s="48"/>
    </row>
    <row r="1901" spans="1:14" s="7" customFormat="1" x14ac:dyDescent="0.35">
      <c r="A1901" s="113"/>
      <c r="B1901" s="27"/>
      <c r="C1901" s="48"/>
      <c r="D1901" s="27"/>
      <c r="E1901" s="38"/>
      <c r="F1901" s="27"/>
      <c r="G1901" s="27"/>
      <c r="H1901" s="99"/>
      <c r="M1901" s="27"/>
      <c r="N1901" s="48"/>
    </row>
    <row r="1902" spans="1:14" s="7" customFormat="1" x14ac:dyDescent="0.35">
      <c r="A1902" s="113"/>
      <c r="B1902" s="27"/>
      <c r="C1902" s="48"/>
      <c r="D1902" s="27"/>
      <c r="E1902" s="38"/>
      <c r="F1902" s="27"/>
      <c r="G1902" s="27"/>
      <c r="H1902" s="99"/>
      <c r="M1902" s="27"/>
      <c r="N1902" s="48"/>
    </row>
    <row r="1903" spans="1:14" s="7" customFormat="1" x14ac:dyDescent="0.35">
      <c r="A1903" s="113"/>
      <c r="B1903" s="27"/>
      <c r="C1903" s="48"/>
      <c r="D1903" s="27"/>
      <c r="E1903" s="38"/>
      <c r="F1903" s="27"/>
      <c r="G1903" s="27"/>
      <c r="H1903" s="99"/>
      <c r="M1903" s="27"/>
      <c r="N1903" s="48"/>
    </row>
    <row r="1904" spans="1:14" s="7" customFormat="1" x14ac:dyDescent="0.35">
      <c r="A1904" s="113"/>
      <c r="B1904" s="27"/>
      <c r="C1904" s="48"/>
      <c r="D1904" s="27"/>
      <c r="E1904" s="38"/>
      <c r="F1904" s="27"/>
      <c r="G1904" s="27"/>
      <c r="H1904" s="99"/>
      <c r="M1904" s="27"/>
      <c r="N1904" s="48"/>
    </row>
    <row r="1905" spans="1:14" s="7" customFormat="1" x14ac:dyDescent="0.35">
      <c r="A1905" s="113"/>
      <c r="B1905" s="27"/>
      <c r="C1905" s="48"/>
      <c r="D1905" s="27"/>
      <c r="E1905" s="38"/>
      <c r="F1905" s="27"/>
      <c r="G1905" s="27"/>
      <c r="H1905" s="99"/>
      <c r="M1905" s="27"/>
      <c r="N1905" s="48"/>
    </row>
    <row r="1906" spans="1:14" s="7" customFormat="1" x14ac:dyDescent="0.35">
      <c r="A1906" s="113"/>
      <c r="B1906" s="27"/>
      <c r="C1906" s="48"/>
      <c r="D1906" s="27"/>
      <c r="E1906" s="38"/>
      <c r="F1906" s="27"/>
      <c r="G1906" s="27"/>
      <c r="H1906" s="99"/>
      <c r="M1906" s="27"/>
      <c r="N1906" s="48"/>
    </row>
    <row r="1907" spans="1:14" s="7" customFormat="1" x14ac:dyDescent="0.35">
      <c r="A1907" s="113"/>
      <c r="B1907" s="27"/>
      <c r="C1907" s="48"/>
      <c r="D1907" s="27"/>
      <c r="E1907" s="38"/>
      <c r="F1907" s="27"/>
      <c r="G1907" s="27"/>
      <c r="H1907" s="99"/>
      <c r="M1907" s="27"/>
      <c r="N1907" s="48"/>
    </row>
    <row r="1908" spans="1:14" s="7" customFormat="1" x14ac:dyDescent="0.35">
      <c r="A1908" s="113"/>
      <c r="B1908" s="27"/>
      <c r="C1908" s="48"/>
      <c r="D1908" s="27"/>
      <c r="E1908" s="38"/>
      <c r="F1908" s="27"/>
      <c r="G1908" s="27"/>
      <c r="H1908" s="99"/>
      <c r="M1908" s="27"/>
      <c r="N1908" s="48"/>
    </row>
    <row r="1909" spans="1:14" s="7" customFormat="1" x14ac:dyDescent="0.35">
      <c r="A1909" s="113"/>
      <c r="B1909" s="27"/>
      <c r="C1909" s="48"/>
      <c r="D1909" s="27"/>
      <c r="E1909" s="38"/>
      <c r="F1909" s="27"/>
      <c r="G1909" s="27"/>
      <c r="H1909" s="99"/>
      <c r="M1909" s="27"/>
      <c r="N1909" s="48"/>
    </row>
    <row r="1910" spans="1:14" s="7" customFormat="1" x14ac:dyDescent="0.35">
      <c r="A1910" s="113"/>
      <c r="B1910" s="27"/>
      <c r="C1910" s="48"/>
      <c r="D1910" s="27"/>
      <c r="E1910" s="38"/>
      <c r="F1910" s="27"/>
      <c r="G1910" s="27"/>
      <c r="H1910" s="99"/>
      <c r="M1910" s="27"/>
      <c r="N1910" s="48"/>
    </row>
    <row r="1911" spans="1:14" s="7" customFormat="1" x14ac:dyDescent="0.35">
      <c r="A1911" s="113"/>
      <c r="B1911" s="27"/>
      <c r="C1911" s="48"/>
      <c r="D1911" s="27"/>
      <c r="E1911" s="38"/>
      <c r="F1911" s="27"/>
      <c r="G1911" s="27"/>
      <c r="H1911" s="99"/>
      <c r="M1911" s="27"/>
      <c r="N1911" s="48"/>
    </row>
    <row r="1912" spans="1:14" s="7" customFormat="1" x14ac:dyDescent="0.35">
      <c r="A1912" s="113"/>
      <c r="B1912" s="27"/>
      <c r="C1912" s="48"/>
      <c r="D1912" s="27"/>
      <c r="E1912" s="38"/>
      <c r="F1912" s="27"/>
      <c r="G1912" s="27"/>
      <c r="H1912" s="99"/>
      <c r="M1912" s="27"/>
      <c r="N1912" s="48"/>
    </row>
    <row r="1913" spans="1:14" s="7" customFormat="1" x14ac:dyDescent="0.35">
      <c r="A1913" s="113"/>
      <c r="B1913" s="27"/>
      <c r="C1913" s="48"/>
      <c r="D1913" s="27"/>
      <c r="E1913" s="38"/>
      <c r="F1913" s="27"/>
      <c r="G1913" s="27"/>
      <c r="H1913" s="99"/>
      <c r="M1913" s="27"/>
      <c r="N1913" s="48"/>
    </row>
    <row r="1914" spans="1:14" s="7" customFormat="1" x14ac:dyDescent="0.35">
      <c r="A1914" s="113"/>
      <c r="B1914" s="27"/>
      <c r="C1914" s="48"/>
      <c r="D1914" s="27"/>
      <c r="E1914" s="38"/>
      <c r="F1914" s="27"/>
      <c r="G1914" s="27"/>
      <c r="H1914" s="99"/>
      <c r="M1914" s="27"/>
      <c r="N1914" s="48"/>
    </row>
    <row r="1915" spans="1:14" s="7" customFormat="1" x14ac:dyDescent="0.35">
      <c r="A1915" s="113"/>
      <c r="B1915" s="27"/>
      <c r="C1915" s="48"/>
      <c r="D1915" s="27"/>
      <c r="E1915" s="38"/>
      <c r="F1915" s="27"/>
      <c r="G1915" s="27"/>
      <c r="H1915" s="99"/>
      <c r="M1915" s="27"/>
      <c r="N1915" s="48"/>
    </row>
    <row r="1916" spans="1:14" s="7" customFormat="1" x14ac:dyDescent="0.35">
      <c r="A1916" s="113"/>
      <c r="B1916" s="27"/>
      <c r="C1916" s="48"/>
      <c r="D1916" s="27"/>
      <c r="E1916" s="38"/>
      <c r="F1916" s="27"/>
      <c r="G1916" s="27"/>
      <c r="H1916" s="99"/>
      <c r="M1916" s="27"/>
      <c r="N1916" s="48"/>
    </row>
    <row r="1917" spans="1:14" s="7" customFormat="1" x14ac:dyDescent="0.35">
      <c r="A1917" s="113"/>
      <c r="B1917" s="27"/>
      <c r="C1917" s="48"/>
      <c r="D1917" s="27"/>
      <c r="E1917" s="38"/>
      <c r="F1917" s="27"/>
      <c r="G1917" s="27"/>
      <c r="H1917" s="99"/>
      <c r="M1917" s="27"/>
      <c r="N1917" s="48"/>
    </row>
    <row r="1918" spans="1:14" s="7" customFormat="1" x14ac:dyDescent="0.35">
      <c r="A1918" s="113"/>
      <c r="B1918" s="27"/>
      <c r="C1918" s="48"/>
      <c r="D1918" s="27"/>
      <c r="E1918" s="38"/>
      <c r="F1918" s="27"/>
      <c r="G1918" s="27"/>
      <c r="H1918" s="99"/>
      <c r="M1918" s="27"/>
      <c r="N1918" s="48"/>
    </row>
    <row r="1919" spans="1:14" s="7" customFormat="1" x14ac:dyDescent="0.35">
      <c r="A1919" s="113"/>
      <c r="B1919" s="27"/>
      <c r="C1919" s="48"/>
      <c r="D1919" s="27"/>
      <c r="E1919" s="38"/>
      <c r="F1919" s="27"/>
      <c r="G1919" s="27"/>
      <c r="H1919" s="99"/>
      <c r="M1919" s="27"/>
      <c r="N1919" s="48"/>
    </row>
    <row r="1920" spans="1:14" s="7" customFormat="1" x14ac:dyDescent="0.35">
      <c r="A1920" s="113"/>
      <c r="B1920" s="27"/>
      <c r="C1920" s="48"/>
      <c r="D1920" s="27"/>
      <c r="E1920" s="38"/>
      <c r="F1920" s="27"/>
      <c r="G1920" s="27"/>
      <c r="H1920" s="99"/>
      <c r="M1920" s="27"/>
      <c r="N1920" s="48"/>
    </row>
    <row r="1921" spans="1:14" s="7" customFormat="1" x14ac:dyDescent="0.35">
      <c r="A1921" s="113"/>
      <c r="B1921" s="27"/>
      <c r="C1921" s="48"/>
      <c r="D1921" s="27"/>
      <c r="E1921" s="38"/>
      <c r="F1921" s="27"/>
      <c r="G1921" s="27"/>
      <c r="H1921" s="99"/>
      <c r="M1921" s="27"/>
      <c r="N1921" s="48"/>
    </row>
    <row r="1922" spans="1:14" s="7" customFormat="1" x14ac:dyDescent="0.35">
      <c r="A1922" s="113"/>
      <c r="B1922" s="27"/>
      <c r="C1922" s="48"/>
      <c r="D1922" s="27"/>
      <c r="E1922" s="38"/>
      <c r="F1922" s="27"/>
      <c r="G1922" s="27"/>
      <c r="H1922" s="99"/>
      <c r="M1922" s="27"/>
      <c r="N1922" s="48"/>
    </row>
    <row r="1923" spans="1:14" s="7" customFormat="1" x14ac:dyDescent="0.35">
      <c r="A1923" s="113"/>
      <c r="B1923" s="27"/>
      <c r="C1923" s="48"/>
      <c r="D1923" s="27"/>
      <c r="E1923" s="38"/>
      <c r="F1923" s="27"/>
      <c r="G1923" s="27"/>
      <c r="H1923" s="99"/>
      <c r="M1923" s="27"/>
      <c r="N1923" s="48"/>
    </row>
    <row r="1924" spans="1:14" s="7" customFormat="1" x14ac:dyDescent="0.35">
      <c r="A1924" s="113"/>
      <c r="B1924" s="27"/>
      <c r="C1924" s="48"/>
      <c r="D1924" s="27"/>
      <c r="E1924" s="38"/>
      <c r="F1924" s="27"/>
      <c r="G1924" s="27"/>
      <c r="H1924" s="99"/>
      <c r="M1924" s="27"/>
      <c r="N1924" s="48"/>
    </row>
    <row r="1925" spans="1:14" s="7" customFormat="1" x14ac:dyDescent="0.35">
      <c r="A1925" s="113"/>
      <c r="B1925" s="27"/>
      <c r="C1925" s="48"/>
      <c r="D1925" s="27"/>
      <c r="E1925" s="38"/>
      <c r="F1925" s="27"/>
      <c r="G1925" s="27"/>
      <c r="H1925" s="99"/>
      <c r="M1925" s="27"/>
      <c r="N1925" s="48"/>
    </row>
    <row r="1926" spans="1:14" s="7" customFormat="1" x14ac:dyDescent="0.35">
      <c r="A1926" s="113"/>
      <c r="B1926" s="27"/>
      <c r="C1926" s="48"/>
      <c r="D1926" s="27"/>
      <c r="E1926" s="38"/>
      <c r="F1926" s="27"/>
      <c r="G1926" s="27"/>
      <c r="H1926" s="99"/>
      <c r="M1926" s="27"/>
      <c r="N1926" s="48"/>
    </row>
    <row r="1927" spans="1:14" s="7" customFormat="1" x14ac:dyDescent="0.35">
      <c r="A1927" s="113"/>
      <c r="B1927" s="27"/>
      <c r="C1927" s="48"/>
      <c r="D1927" s="27"/>
      <c r="E1927" s="38"/>
      <c r="F1927" s="27"/>
      <c r="G1927" s="27"/>
      <c r="H1927" s="99"/>
      <c r="M1927" s="27"/>
      <c r="N1927" s="48"/>
    </row>
    <row r="1928" spans="1:14" s="7" customFormat="1" x14ac:dyDescent="0.35">
      <c r="A1928" s="113"/>
      <c r="B1928" s="27"/>
      <c r="C1928" s="48"/>
      <c r="D1928" s="27"/>
      <c r="E1928" s="38"/>
      <c r="F1928" s="27"/>
      <c r="G1928" s="27"/>
      <c r="H1928" s="99"/>
      <c r="M1928" s="27"/>
      <c r="N1928" s="48"/>
    </row>
    <row r="1929" spans="1:14" s="7" customFormat="1" x14ac:dyDescent="0.35">
      <c r="A1929" s="113"/>
      <c r="B1929" s="27"/>
      <c r="C1929" s="48"/>
      <c r="D1929" s="27"/>
      <c r="E1929" s="38"/>
      <c r="F1929" s="27"/>
      <c r="G1929" s="27"/>
      <c r="H1929" s="99"/>
      <c r="M1929" s="27"/>
      <c r="N1929" s="48"/>
    </row>
    <row r="1930" spans="1:14" s="7" customFormat="1" x14ac:dyDescent="0.35">
      <c r="A1930" s="113"/>
      <c r="B1930" s="27"/>
      <c r="C1930" s="48"/>
      <c r="D1930" s="27"/>
      <c r="E1930" s="38"/>
      <c r="F1930" s="27"/>
      <c r="G1930" s="27"/>
      <c r="H1930" s="99"/>
      <c r="M1930" s="27"/>
      <c r="N1930" s="48"/>
    </row>
    <row r="1931" spans="1:14" s="7" customFormat="1" x14ac:dyDescent="0.35">
      <c r="A1931" s="113"/>
      <c r="B1931" s="27"/>
      <c r="C1931" s="48"/>
      <c r="D1931" s="27"/>
      <c r="E1931" s="38"/>
      <c r="F1931" s="27"/>
      <c r="G1931" s="27"/>
      <c r="H1931" s="99"/>
      <c r="M1931" s="27"/>
      <c r="N1931" s="48"/>
    </row>
    <row r="1932" spans="1:14" s="7" customFormat="1" x14ac:dyDescent="0.35">
      <c r="A1932" s="113"/>
      <c r="B1932" s="27"/>
      <c r="C1932" s="48"/>
      <c r="D1932" s="27"/>
      <c r="E1932" s="38"/>
      <c r="F1932" s="27"/>
      <c r="G1932" s="27"/>
      <c r="H1932" s="99"/>
      <c r="M1932" s="27"/>
      <c r="N1932" s="48"/>
    </row>
    <row r="1933" spans="1:14" s="7" customFormat="1" x14ac:dyDescent="0.35">
      <c r="A1933" s="113"/>
      <c r="B1933" s="27"/>
      <c r="C1933" s="48"/>
      <c r="D1933" s="27"/>
      <c r="E1933" s="38"/>
      <c r="F1933" s="27"/>
      <c r="G1933" s="27"/>
      <c r="H1933" s="99"/>
      <c r="M1933" s="27"/>
      <c r="N1933" s="48"/>
    </row>
    <row r="1934" spans="1:14" s="7" customFormat="1" x14ac:dyDescent="0.35">
      <c r="A1934" s="113"/>
      <c r="B1934" s="27"/>
      <c r="C1934" s="48"/>
      <c r="D1934" s="27"/>
      <c r="E1934" s="38"/>
      <c r="F1934" s="27"/>
      <c r="G1934" s="27"/>
      <c r="H1934" s="99"/>
      <c r="M1934" s="27"/>
      <c r="N1934" s="48"/>
    </row>
    <row r="1935" spans="1:14" s="7" customFormat="1" x14ac:dyDescent="0.35">
      <c r="A1935" s="113"/>
      <c r="B1935" s="27"/>
      <c r="C1935" s="48"/>
      <c r="D1935" s="27"/>
      <c r="E1935" s="38"/>
      <c r="F1935" s="27"/>
      <c r="G1935" s="27"/>
      <c r="H1935" s="99"/>
      <c r="M1935" s="27"/>
      <c r="N1935" s="48"/>
    </row>
    <row r="1936" spans="1:14" s="7" customFormat="1" x14ac:dyDescent="0.35">
      <c r="A1936" s="113"/>
      <c r="B1936" s="27"/>
      <c r="C1936" s="48"/>
      <c r="D1936" s="27"/>
      <c r="E1936" s="38"/>
      <c r="F1936" s="27"/>
      <c r="G1936" s="27"/>
      <c r="H1936" s="99"/>
      <c r="M1936" s="27"/>
      <c r="N1936" s="48"/>
    </row>
    <row r="1937" spans="1:14" s="7" customFormat="1" x14ac:dyDescent="0.35">
      <c r="A1937" s="113"/>
      <c r="B1937" s="27"/>
      <c r="C1937" s="48"/>
      <c r="D1937" s="27"/>
      <c r="E1937" s="38"/>
      <c r="F1937" s="27"/>
      <c r="G1937" s="27"/>
      <c r="H1937" s="99"/>
      <c r="M1937" s="27"/>
      <c r="N1937" s="48"/>
    </row>
    <row r="1938" spans="1:14" s="7" customFormat="1" x14ac:dyDescent="0.35">
      <c r="A1938" s="113"/>
      <c r="B1938" s="27"/>
      <c r="C1938" s="48"/>
      <c r="D1938" s="27"/>
      <c r="E1938" s="38"/>
      <c r="F1938" s="27"/>
      <c r="G1938" s="27"/>
      <c r="H1938" s="99"/>
      <c r="M1938" s="27"/>
      <c r="N1938" s="48"/>
    </row>
    <row r="1939" spans="1:14" s="7" customFormat="1" x14ac:dyDescent="0.35">
      <c r="A1939" s="113"/>
      <c r="B1939" s="27"/>
      <c r="C1939" s="48"/>
      <c r="D1939" s="27"/>
      <c r="E1939" s="38"/>
      <c r="F1939" s="27"/>
      <c r="G1939" s="27"/>
      <c r="H1939" s="99"/>
      <c r="M1939" s="27"/>
      <c r="N1939" s="48"/>
    </row>
    <row r="1940" spans="1:14" s="7" customFormat="1" x14ac:dyDescent="0.35">
      <c r="A1940" s="113"/>
      <c r="B1940" s="27"/>
      <c r="C1940" s="48"/>
      <c r="D1940" s="27"/>
      <c r="E1940" s="38"/>
      <c r="F1940" s="27"/>
      <c r="G1940" s="27"/>
      <c r="H1940" s="99"/>
      <c r="M1940" s="27"/>
      <c r="N1940" s="48"/>
    </row>
    <row r="1941" spans="1:14" s="7" customFormat="1" x14ac:dyDescent="0.35">
      <c r="A1941" s="113"/>
      <c r="B1941" s="27"/>
      <c r="C1941" s="48"/>
      <c r="D1941" s="27"/>
      <c r="E1941" s="38"/>
      <c r="F1941" s="27"/>
      <c r="G1941" s="27"/>
      <c r="H1941" s="99"/>
      <c r="M1941" s="27"/>
      <c r="N1941" s="48"/>
    </row>
    <row r="1942" spans="1:14" s="7" customFormat="1" x14ac:dyDescent="0.35">
      <c r="A1942" s="113"/>
      <c r="B1942" s="27"/>
      <c r="C1942" s="48"/>
      <c r="D1942" s="27"/>
      <c r="E1942" s="38"/>
      <c r="F1942" s="27"/>
      <c r="G1942" s="27"/>
      <c r="H1942" s="99"/>
      <c r="M1942" s="27"/>
      <c r="N1942" s="48"/>
    </row>
    <row r="1943" spans="1:14" s="7" customFormat="1" x14ac:dyDescent="0.35">
      <c r="A1943" s="113"/>
      <c r="B1943" s="27"/>
      <c r="C1943" s="48"/>
      <c r="D1943" s="27"/>
      <c r="E1943" s="38"/>
      <c r="F1943" s="27"/>
      <c r="G1943" s="27"/>
      <c r="H1943" s="99"/>
      <c r="M1943" s="27"/>
      <c r="N1943" s="48"/>
    </row>
    <row r="1944" spans="1:14" s="7" customFormat="1" x14ac:dyDescent="0.35">
      <c r="A1944" s="113"/>
      <c r="B1944" s="27"/>
      <c r="C1944" s="48"/>
      <c r="D1944" s="27"/>
      <c r="E1944" s="38"/>
      <c r="F1944" s="27"/>
      <c r="G1944" s="27"/>
      <c r="H1944" s="99"/>
      <c r="M1944" s="27"/>
      <c r="N1944" s="48"/>
    </row>
    <row r="1945" spans="1:14" s="7" customFormat="1" x14ac:dyDescent="0.35">
      <c r="A1945" s="113"/>
      <c r="B1945" s="27"/>
      <c r="C1945" s="48"/>
      <c r="D1945" s="27"/>
      <c r="E1945" s="38"/>
      <c r="F1945" s="27"/>
      <c r="G1945" s="27"/>
      <c r="H1945" s="99"/>
      <c r="M1945" s="27"/>
      <c r="N1945" s="48"/>
    </row>
    <row r="1946" spans="1:14" s="7" customFormat="1" x14ac:dyDescent="0.35">
      <c r="A1946" s="113"/>
      <c r="B1946" s="27"/>
      <c r="C1946" s="48"/>
      <c r="D1946" s="27"/>
      <c r="E1946" s="38"/>
      <c r="F1946" s="27"/>
      <c r="G1946" s="27"/>
      <c r="H1946" s="99"/>
      <c r="M1946" s="27"/>
      <c r="N1946" s="48"/>
    </row>
    <row r="1947" spans="1:14" s="7" customFormat="1" x14ac:dyDescent="0.35">
      <c r="A1947" s="113"/>
      <c r="B1947" s="27"/>
      <c r="C1947" s="48"/>
      <c r="D1947" s="27"/>
      <c r="E1947" s="38"/>
      <c r="F1947" s="27"/>
      <c r="G1947" s="27"/>
      <c r="H1947" s="99"/>
      <c r="M1947" s="27"/>
      <c r="N1947" s="48"/>
    </row>
    <row r="1948" spans="1:14" s="7" customFormat="1" x14ac:dyDescent="0.35">
      <c r="A1948" s="113"/>
      <c r="B1948" s="27"/>
      <c r="C1948" s="48"/>
      <c r="D1948" s="27"/>
      <c r="E1948" s="38"/>
      <c r="F1948" s="27"/>
      <c r="G1948" s="27"/>
      <c r="H1948" s="99"/>
      <c r="M1948" s="27"/>
      <c r="N1948" s="48"/>
    </row>
    <row r="1949" spans="1:14" s="7" customFormat="1" x14ac:dyDescent="0.35">
      <c r="A1949" s="113"/>
      <c r="B1949" s="27"/>
      <c r="C1949" s="48"/>
      <c r="D1949" s="27"/>
      <c r="E1949" s="38"/>
      <c r="F1949" s="27"/>
      <c r="G1949" s="27"/>
      <c r="H1949" s="99"/>
      <c r="M1949" s="27"/>
      <c r="N1949" s="48"/>
    </row>
    <row r="1950" spans="1:14" s="7" customFormat="1" x14ac:dyDescent="0.35">
      <c r="A1950" s="113"/>
      <c r="B1950" s="27"/>
      <c r="C1950" s="48"/>
      <c r="D1950" s="27"/>
      <c r="E1950" s="38"/>
      <c r="F1950" s="27"/>
      <c r="G1950" s="27"/>
      <c r="H1950" s="99"/>
      <c r="M1950" s="27"/>
      <c r="N1950" s="48"/>
    </row>
    <row r="1951" spans="1:14" s="7" customFormat="1" x14ac:dyDescent="0.35">
      <c r="A1951" s="113"/>
      <c r="B1951" s="27"/>
      <c r="C1951" s="48"/>
      <c r="D1951" s="27"/>
      <c r="E1951" s="38"/>
      <c r="F1951" s="27"/>
      <c r="G1951" s="27"/>
      <c r="H1951" s="99"/>
      <c r="M1951" s="27"/>
      <c r="N1951" s="48"/>
    </row>
    <row r="1952" spans="1:14" s="7" customFormat="1" x14ac:dyDescent="0.35">
      <c r="A1952" s="113"/>
      <c r="B1952" s="27"/>
      <c r="C1952" s="48"/>
      <c r="D1952" s="27"/>
      <c r="E1952" s="38"/>
      <c r="F1952" s="27"/>
      <c r="G1952" s="27"/>
      <c r="H1952" s="99"/>
      <c r="M1952" s="27"/>
      <c r="N1952" s="48"/>
    </row>
    <row r="1953" spans="1:14" s="7" customFormat="1" x14ac:dyDescent="0.35">
      <c r="A1953" s="113"/>
      <c r="B1953" s="27"/>
      <c r="C1953" s="48"/>
      <c r="D1953" s="27"/>
      <c r="E1953" s="38"/>
      <c r="F1953" s="27"/>
      <c r="G1953" s="27"/>
      <c r="H1953" s="99"/>
      <c r="M1953" s="27"/>
      <c r="N1953" s="48"/>
    </row>
    <row r="1954" spans="1:14" s="7" customFormat="1" x14ac:dyDescent="0.35">
      <c r="A1954" s="113"/>
      <c r="B1954" s="27"/>
      <c r="C1954" s="48"/>
      <c r="D1954" s="27"/>
      <c r="E1954" s="38"/>
      <c r="F1954" s="27"/>
      <c r="G1954" s="27"/>
      <c r="H1954" s="99"/>
      <c r="M1954" s="27"/>
      <c r="N1954" s="48"/>
    </row>
    <row r="1955" spans="1:14" s="7" customFormat="1" x14ac:dyDescent="0.35">
      <c r="A1955" s="113"/>
      <c r="B1955" s="27"/>
      <c r="C1955" s="48"/>
      <c r="D1955" s="27"/>
      <c r="E1955" s="38"/>
      <c r="F1955" s="27"/>
      <c r="G1955" s="27"/>
      <c r="H1955" s="99"/>
      <c r="M1955" s="27"/>
      <c r="N1955" s="48"/>
    </row>
    <row r="1956" spans="1:14" s="7" customFormat="1" x14ac:dyDescent="0.35">
      <c r="A1956" s="113"/>
      <c r="B1956" s="27"/>
      <c r="C1956" s="48"/>
      <c r="D1956" s="27"/>
      <c r="E1956" s="38"/>
      <c r="F1956" s="27"/>
      <c r="G1956" s="27"/>
      <c r="H1956" s="99"/>
      <c r="M1956" s="27"/>
      <c r="N1956" s="48"/>
    </row>
    <row r="1957" spans="1:14" s="7" customFormat="1" x14ac:dyDescent="0.35">
      <c r="A1957" s="113"/>
      <c r="B1957" s="27"/>
      <c r="C1957" s="48"/>
      <c r="D1957" s="27"/>
      <c r="E1957" s="38"/>
      <c r="F1957" s="27"/>
      <c r="G1957" s="27"/>
      <c r="H1957" s="99"/>
      <c r="M1957" s="27"/>
      <c r="N1957" s="48"/>
    </row>
    <row r="1958" spans="1:14" s="7" customFormat="1" x14ac:dyDescent="0.35">
      <c r="A1958" s="113"/>
      <c r="B1958" s="27"/>
      <c r="C1958" s="48"/>
      <c r="D1958" s="27"/>
      <c r="E1958" s="38"/>
      <c r="F1958" s="27"/>
      <c r="G1958" s="27"/>
      <c r="H1958" s="99"/>
      <c r="M1958" s="27"/>
      <c r="N1958" s="48"/>
    </row>
    <row r="1959" spans="1:14" s="7" customFormat="1" x14ac:dyDescent="0.35">
      <c r="A1959" s="113"/>
      <c r="B1959" s="27"/>
      <c r="C1959" s="48"/>
      <c r="D1959" s="27"/>
      <c r="E1959" s="38"/>
      <c r="F1959" s="27"/>
      <c r="G1959" s="27"/>
      <c r="H1959" s="99"/>
      <c r="M1959" s="27"/>
      <c r="N1959" s="48"/>
    </row>
    <row r="1960" spans="1:14" s="7" customFormat="1" x14ac:dyDescent="0.35">
      <c r="A1960" s="113"/>
      <c r="B1960" s="27"/>
      <c r="C1960" s="48"/>
      <c r="D1960" s="27"/>
      <c r="E1960" s="38"/>
      <c r="F1960" s="27"/>
      <c r="G1960" s="27"/>
      <c r="H1960" s="99"/>
      <c r="M1960" s="27"/>
      <c r="N1960" s="48"/>
    </row>
    <row r="1961" spans="1:14" s="7" customFormat="1" x14ac:dyDescent="0.35">
      <c r="A1961" s="113"/>
      <c r="B1961" s="27"/>
      <c r="C1961" s="48"/>
      <c r="D1961" s="27"/>
      <c r="E1961" s="38"/>
      <c r="F1961" s="27"/>
      <c r="G1961" s="27"/>
      <c r="H1961" s="99"/>
      <c r="M1961" s="27"/>
      <c r="N1961" s="48"/>
    </row>
    <row r="1962" spans="1:14" s="7" customFormat="1" x14ac:dyDescent="0.35">
      <c r="A1962" s="113"/>
      <c r="B1962" s="27"/>
      <c r="C1962" s="48"/>
      <c r="D1962" s="27"/>
      <c r="E1962" s="38"/>
      <c r="F1962" s="27"/>
      <c r="G1962" s="27"/>
      <c r="H1962" s="99"/>
      <c r="M1962" s="27"/>
      <c r="N1962" s="48"/>
    </row>
    <row r="1963" spans="1:14" s="7" customFormat="1" x14ac:dyDescent="0.35">
      <c r="A1963" s="113"/>
      <c r="B1963" s="27"/>
      <c r="C1963" s="48"/>
      <c r="D1963" s="27"/>
      <c r="E1963" s="38"/>
      <c r="F1963" s="27"/>
      <c r="G1963" s="27"/>
      <c r="H1963" s="99"/>
      <c r="M1963" s="27"/>
      <c r="N1963" s="48"/>
    </row>
    <row r="1964" spans="1:14" s="7" customFormat="1" x14ac:dyDescent="0.35">
      <c r="A1964" s="113"/>
      <c r="B1964" s="27"/>
      <c r="C1964" s="48"/>
      <c r="D1964" s="27"/>
      <c r="E1964" s="38"/>
      <c r="F1964" s="27"/>
      <c r="G1964" s="27"/>
      <c r="H1964" s="99"/>
      <c r="M1964" s="27"/>
      <c r="N1964" s="48"/>
    </row>
    <row r="1965" spans="1:14" s="7" customFormat="1" x14ac:dyDescent="0.35">
      <c r="A1965" s="113"/>
      <c r="B1965" s="27"/>
      <c r="C1965" s="48"/>
      <c r="D1965" s="27"/>
      <c r="E1965" s="38"/>
      <c r="F1965" s="27"/>
      <c r="G1965" s="27"/>
      <c r="H1965" s="99"/>
      <c r="M1965" s="27"/>
      <c r="N1965" s="48"/>
    </row>
    <row r="1966" spans="1:14" s="7" customFormat="1" x14ac:dyDescent="0.35">
      <c r="A1966" s="113"/>
      <c r="B1966" s="27"/>
      <c r="C1966" s="48"/>
      <c r="D1966" s="27"/>
      <c r="E1966" s="38"/>
      <c r="F1966" s="27"/>
      <c r="G1966" s="27"/>
      <c r="H1966" s="99"/>
      <c r="M1966" s="27"/>
      <c r="N1966" s="48"/>
    </row>
    <row r="1967" spans="1:14" s="7" customFormat="1" x14ac:dyDescent="0.35">
      <c r="A1967" s="113"/>
      <c r="B1967" s="27"/>
      <c r="C1967" s="48"/>
      <c r="D1967" s="27"/>
      <c r="E1967" s="38"/>
      <c r="F1967" s="27"/>
      <c r="G1967" s="27"/>
      <c r="H1967" s="99"/>
      <c r="M1967" s="27"/>
      <c r="N1967" s="48"/>
    </row>
    <row r="1968" spans="1:14" s="7" customFormat="1" x14ac:dyDescent="0.35">
      <c r="A1968" s="113"/>
      <c r="B1968" s="27"/>
      <c r="C1968" s="48"/>
      <c r="D1968" s="27"/>
      <c r="E1968" s="38"/>
      <c r="F1968" s="27"/>
      <c r="G1968" s="27"/>
      <c r="H1968" s="99"/>
      <c r="M1968" s="27"/>
      <c r="N1968" s="48"/>
    </row>
    <row r="1969" spans="1:14" s="7" customFormat="1" x14ac:dyDescent="0.35">
      <c r="A1969" s="113"/>
      <c r="B1969" s="27"/>
      <c r="C1969" s="48"/>
      <c r="D1969" s="27"/>
      <c r="E1969" s="38"/>
      <c r="F1969" s="27"/>
      <c r="G1969" s="27"/>
      <c r="H1969" s="99"/>
      <c r="M1969" s="27"/>
      <c r="N1969" s="48"/>
    </row>
    <row r="1970" spans="1:14" s="7" customFormat="1" x14ac:dyDescent="0.35">
      <c r="A1970" s="113"/>
      <c r="B1970" s="27"/>
      <c r="C1970" s="48"/>
      <c r="D1970" s="27"/>
      <c r="E1970" s="38"/>
      <c r="F1970" s="27"/>
      <c r="G1970" s="27"/>
      <c r="H1970" s="99"/>
      <c r="M1970" s="27"/>
      <c r="N1970" s="48"/>
    </row>
    <row r="1971" spans="1:14" s="7" customFormat="1" x14ac:dyDescent="0.35">
      <c r="A1971" s="113"/>
      <c r="B1971" s="27"/>
      <c r="C1971" s="48"/>
      <c r="D1971" s="27"/>
      <c r="E1971" s="38"/>
      <c r="F1971" s="27"/>
      <c r="G1971" s="27"/>
      <c r="H1971" s="99"/>
      <c r="M1971" s="27"/>
      <c r="N1971" s="48"/>
    </row>
    <row r="1972" spans="1:14" s="7" customFormat="1" x14ac:dyDescent="0.35">
      <c r="A1972" s="113"/>
      <c r="B1972" s="27"/>
      <c r="C1972" s="48"/>
      <c r="D1972" s="27"/>
      <c r="E1972" s="38"/>
      <c r="F1972" s="27"/>
      <c r="G1972" s="27"/>
      <c r="H1972" s="99"/>
      <c r="M1972" s="27"/>
      <c r="N1972" s="48"/>
    </row>
    <row r="1973" spans="1:14" s="7" customFormat="1" x14ac:dyDescent="0.35">
      <c r="A1973" s="113"/>
      <c r="B1973" s="27"/>
      <c r="C1973" s="48"/>
      <c r="D1973" s="27"/>
      <c r="E1973" s="38"/>
      <c r="F1973" s="27"/>
      <c r="G1973" s="27"/>
      <c r="H1973" s="99"/>
      <c r="M1973" s="27"/>
      <c r="N1973" s="48"/>
    </row>
    <row r="1974" spans="1:14" s="7" customFormat="1" x14ac:dyDescent="0.35">
      <c r="A1974" s="113"/>
      <c r="B1974" s="27"/>
      <c r="C1974" s="48"/>
      <c r="D1974" s="27"/>
      <c r="E1974" s="38"/>
      <c r="F1974" s="27"/>
      <c r="G1974" s="27"/>
      <c r="H1974" s="99"/>
      <c r="M1974" s="27"/>
      <c r="N1974" s="48"/>
    </row>
    <row r="1975" spans="1:14" s="7" customFormat="1" x14ac:dyDescent="0.35">
      <c r="A1975" s="113"/>
      <c r="B1975" s="27"/>
      <c r="C1975" s="48"/>
      <c r="D1975" s="27"/>
      <c r="E1975" s="38"/>
      <c r="F1975" s="27"/>
      <c r="G1975" s="27"/>
      <c r="H1975" s="99"/>
      <c r="M1975" s="27"/>
      <c r="N1975" s="48"/>
    </row>
    <row r="1976" spans="1:14" s="7" customFormat="1" x14ac:dyDescent="0.35">
      <c r="A1976" s="113"/>
      <c r="B1976" s="27"/>
      <c r="C1976" s="48"/>
      <c r="D1976" s="27"/>
      <c r="E1976" s="38"/>
      <c r="F1976" s="27"/>
      <c r="G1976" s="27"/>
      <c r="H1976" s="99"/>
      <c r="M1976" s="27"/>
      <c r="N1976" s="48"/>
    </row>
    <row r="1977" spans="1:14" s="7" customFormat="1" x14ac:dyDescent="0.35">
      <c r="A1977" s="113"/>
      <c r="B1977" s="27"/>
      <c r="C1977" s="48"/>
      <c r="D1977" s="27"/>
      <c r="E1977" s="38"/>
      <c r="F1977" s="27"/>
      <c r="G1977" s="27"/>
      <c r="H1977" s="99"/>
      <c r="M1977" s="27"/>
      <c r="N1977" s="48"/>
    </row>
    <row r="1978" spans="1:14" s="7" customFormat="1" x14ac:dyDescent="0.35">
      <c r="A1978" s="113"/>
      <c r="B1978" s="27"/>
      <c r="C1978" s="48"/>
      <c r="D1978" s="27"/>
      <c r="E1978" s="38"/>
      <c r="F1978" s="27"/>
      <c r="G1978" s="27"/>
      <c r="H1978" s="99"/>
      <c r="M1978" s="27"/>
      <c r="N1978" s="48"/>
    </row>
    <row r="1979" spans="1:14" s="7" customFormat="1" x14ac:dyDescent="0.35">
      <c r="A1979" s="113"/>
      <c r="B1979" s="27"/>
      <c r="C1979" s="48"/>
      <c r="D1979" s="27"/>
      <c r="E1979" s="38"/>
      <c r="F1979" s="27"/>
      <c r="G1979" s="27"/>
      <c r="H1979" s="99"/>
      <c r="M1979" s="27"/>
      <c r="N1979" s="48"/>
    </row>
    <row r="1980" spans="1:14" s="7" customFormat="1" x14ac:dyDescent="0.35">
      <c r="A1980" s="113"/>
      <c r="B1980" s="27"/>
      <c r="C1980" s="48"/>
      <c r="D1980" s="27"/>
      <c r="E1980" s="38"/>
      <c r="F1980" s="27"/>
      <c r="G1980" s="27"/>
      <c r="H1980" s="99"/>
      <c r="M1980" s="27"/>
      <c r="N1980" s="48"/>
    </row>
    <row r="1981" spans="1:14" s="7" customFormat="1" x14ac:dyDescent="0.35">
      <c r="A1981" s="113"/>
      <c r="B1981" s="27"/>
      <c r="C1981" s="48"/>
      <c r="D1981" s="27"/>
      <c r="E1981" s="38"/>
      <c r="F1981" s="27"/>
      <c r="G1981" s="27"/>
      <c r="H1981" s="99"/>
      <c r="M1981" s="27"/>
      <c r="N1981" s="48"/>
    </row>
    <row r="1982" spans="1:14" s="7" customFormat="1" x14ac:dyDescent="0.35">
      <c r="A1982" s="113"/>
      <c r="B1982" s="27"/>
      <c r="C1982" s="48"/>
      <c r="D1982" s="27"/>
      <c r="E1982" s="38"/>
      <c r="F1982" s="27"/>
      <c r="G1982" s="27"/>
      <c r="H1982" s="99"/>
      <c r="M1982" s="27"/>
      <c r="N1982" s="48"/>
    </row>
    <row r="1983" spans="1:14" s="7" customFormat="1" x14ac:dyDescent="0.35">
      <c r="A1983" s="113"/>
      <c r="B1983" s="27"/>
      <c r="C1983" s="48"/>
      <c r="D1983" s="27"/>
      <c r="E1983" s="38"/>
      <c r="F1983" s="27"/>
      <c r="G1983" s="27"/>
      <c r="H1983" s="99"/>
      <c r="M1983" s="27"/>
      <c r="N1983" s="48"/>
    </row>
    <row r="1984" spans="1:14" s="7" customFormat="1" x14ac:dyDescent="0.35">
      <c r="A1984" s="113"/>
      <c r="B1984" s="27"/>
      <c r="C1984" s="48"/>
      <c r="D1984" s="27"/>
      <c r="E1984" s="38"/>
      <c r="F1984" s="27"/>
      <c r="G1984" s="27"/>
      <c r="H1984" s="99"/>
      <c r="M1984" s="27"/>
      <c r="N1984" s="48"/>
    </row>
    <row r="1985" spans="1:14" s="7" customFormat="1" x14ac:dyDescent="0.35">
      <c r="A1985" s="113"/>
      <c r="B1985" s="27"/>
      <c r="C1985" s="48"/>
      <c r="D1985" s="27"/>
      <c r="E1985" s="38"/>
      <c r="F1985" s="27"/>
      <c r="G1985" s="27"/>
      <c r="H1985" s="99"/>
      <c r="M1985" s="27"/>
      <c r="N1985" s="48"/>
    </row>
    <row r="1986" spans="1:14" s="7" customFormat="1" x14ac:dyDescent="0.35">
      <c r="A1986" s="113"/>
      <c r="B1986" s="27"/>
      <c r="C1986" s="48"/>
      <c r="D1986" s="27"/>
      <c r="E1986" s="38"/>
      <c r="F1986" s="27"/>
      <c r="G1986" s="27"/>
      <c r="H1986" s="99"/>
      <c r="M1986" s="27"/>
      <c r="N1986" s="48"/>
    </row>
    <row r="1987" spans="1:14" s="7" customFormat="1" x14ac:dyDescent="0.35">
      <c r="A1987" s="113"/>
      <c r="B1987" s="27"/>
      <c r="C1987" s="48"/>
      <c r="D1987" s="27"/>
      <c r="E1987" s="38"/>
      <c r="F1987" s="27"/>
      <c r="G1987" s="27"/>
      <c r="H1987" s="99"/>
      <c r="M1987" s="27"/>
      <c r="N1987" s="48"/>
    </row>
    <row r="1988" spans="1:14" s="7" customFormat="1" x14ac:dyDescent="0.35">
      <c r="A1988" s="113"/>
      <c r="B1988" s="27"/>
      <c r="C1988" s="48"/>
      <c r="D1988" s="27"/>
      <c r="E1988" s="38"/>
      <c r="F1988" s="27"/>
      <c r="G1988" s="27"/>
      <c r="H1988" s="99"/>
      <c r="M1988" s="27"/>
      <c r="N1988" s="48"/>
    </row>
    <row r="1989" spans="1:14" s="7" customFormat="1" x14ac:dyDescent="0.35">
      <c r="A1989" s="113"/>
      <c r="B1989" s="27"/>
      <c r="C1989" s="48"/>
      <c r="D1989" s="27"/>
      <c r="E1989" s="38"/>
      <c r="F1989" s="27"/>
      <c r="G1989" s="27"/>
      <c r="H1989" s="99"/>
      <c r="M1989" s="27"/>
      <c r="N1989" s="48"/>
    </row>
    <row r="1990" spans="1:14" s="7" customFormat="1" x14ac:dyDescent="0.35">
      <c r="A1990" s="113"/>
      <c r="B1990" s="27"/>
      <c r="C1990" s="48"/>
      <c r="D1990" s="27"/>
      <c r="E1990" s="38"/>
      <c r="F1990" s="27"/>
      <c r="G1990" s="27"/>
      <c r="H1990" s="99"/>
      <c r="M1990" s="27"/>
      <c r="N1990" s="48"/>
    </row>
    <row r="1991" spans="1:14" s="7" customFormat="1" x14ac:dyDescent="0.35">
      <c r="A1991" s="113"/>
      <c r="B1991" s="27"/>
      <c r="C1991" s="48"/>
      <c r="D1991" s="27"/>
      <c r="E1991" s="38"/>
      <c r="F1991" s="27"/>
      <c r="G1991" s="27"/>
      <c r="H1991" s="99"/>
      <c r="M1991" s="27"/>
      <c r="N1991" s="48"/>
    </row>
    <row r="1992" spans="1:14" s="7" customFormat="1" x14ac:dyDescent="0.35">
      <c r="A1992" s="113"/>
      <c r="B1992" s="27"/>
      <c r="C1992" s="48"/>
      <c r="D1992" s="27"/>
      <c r="E1992" s="38"/>
      <c r="F1992" s="27"/>
      <c r="G1992" s="27"/>
      <c r="H1992" s="99"/>
      <c r="M1992" s="27"/>
      <c r="N1992" s="48"/>
    </row>
    <row r="1993" spans="1:14" s="7" customFormat="1" x14ac:dyDescent="0.35">
      <c r="A1993" s="113"/>
      <c r="B1993" s="27"/>
      <c r="C1993" s="48"/>
      <c r="D1993" s="27"/>
      <c r="E1993" s="38"/>
      <c r="F1993" s="27"/>
      <c r="G1993" s="27"/>
      <c r="H1993" s="99"/>
      <c r="M1993" s="27"/>
      <c r="N1993" s="48"/>
    </row>
    <row r="1994" spans="1:14" s="7" customFormat="1" x14ac:dyDescent="0.35">
      <c r="A1994" s="113"/>
      <c r="B1994" s="27"/>
      <c r="C1994" s="48"/>
      <c r="D1994" s="27"/>
      <c r="E1994" s="38"/>
      <c r="F1994" s="27"/>
      <c r="G1994" s="27"/>
      <c r="H1994" s="99"/>
      <c r="M1994" s="27"/>
      <c r="N1994" s="48"/>
    </row>
    <row r="1995" spans="1:14" s="7" customFormat="1" x14ac:dyDescent="0.35">
      <c r="A1995" s="113"/>
      <c r="B1995" s="27"/>
      <c r="C1995" s="48"/>
      <c r="D1995" s="27"/>
      <c r="E1995" s="38"/>
      <c r="F1995" s="27"/>
      <c r="G1995" s="27"/>
      <c r="H1995" s="99"/>
      <c r="M1995" s="27"/>
      <c r="N1995" s="48"/>
    </row>
    <row r="1996" spans="1:14" s="7" customFormat="1" x14ac:dyDescent="0.35">
      <c r="A1996" s="113"/>
      <c r="B1996" s="27"/>
      <c r="C1996" s="48"/>
      <c r="D1996" s="27"/>
      <c r="E1996" s="38"/>
      <c r="F1996" s="27"/>
      <c r="G1996" s="27"/>
      <c r="H1996" s="99"/>
      <c r="M1996" s="27"/>
      <c r="N1996" s="48"/>
    </row>
    <row r="1997" spans="1:14" s="7" customFormat="1" x14ac:dyDescent="0.35">
      <c r="A1997" s="113"/>
      <c r="B1997" s="27"/>
      <c r="C1997" s="48"/>
      <c r="D1997" s="27"/>
      <c r="E1997" s="38"/>
      <c r="F1997" s="27"/>
      <c r="G1997" s="27"/>
      <c r="H1997" s="99"/>
      <c r="M1997" s="27"/>
      <c r="N1997" s="48"/>
    </row>
    <row r="1998" spans="1:14" s="7" customFormat="1" x14ac:dyDescent="0.35">
      <c r="A1998" s="113"/>
      <c r="B1998" s="27"/>
      <c r="C1998" s="48"/>
      <c r="D1998" s="27"/>
      <c r="E1998" s="38"/>
      <c r="F1998" s="27"/>
      <c r="G1998" s="27"/>
      <c r="H1998" s="99"/>
      <c r="M1998" s="27"/>
      <c r="N1998" s="48"/>
    </row>
    <row r="1999" spans="1:14" s="7" customFormat="1" x14ac:dyDescent="0.35">
      <c r="A1999" s="113"/>
      <c r="B1999" s="27"/>
      <c r="C1999" s="48"/>
      <c r="D1999" s="27"/>
      <c r="E1999" s="38"/>
      <c r="F1999" s="27"/>
      <c r="G1999" s="27"/>
      <c r="H1999" s="99"/>
      <c r="M1999" s="27"/>
      <c r="N1999" s="48"/>
    </row>
    <row r="2000" spans="1:14" s="7" customFormat="1" x14ac:dyDescent="0.35">
      <c r="A2000" s="113"/>
      <c r="B2000" s="27"/>
      <c r="C2000" s="48"/>
      <c r="D2000" s="27"/>
      <c r="E2000" s="38"/>
      <c r="F2000" s="27"/>
      <c r="G2000" s="27"/>
      <c r="H2000" s="99"/>
      <c r="M2000" s="27"/>
      <c r="N2000" s="48"/>
    </row>
    <row r="2001" spans="1:14" s="7" customFormat="1" x14ac:dyDescent="0.35">
      <c r="A2001" s="113"/>
      <c r="B2001" s="27"/>
      <c r="C2001" s="48"/>
      <c r="D2001" s="27"/>
      <c r="E2001" s="38"/>
      <c r="F2001" s="27"/>
      <c r="G2001" s="27"/>
      <c r="H2001" s="99"/>
      <c r="M2001" s="27"/>
      <c r="N2001" s="48"/>
    </row>
    <row r="2002" spans="1:14" s="7" customFormat="1" x14ac:dyDescent="0.35">
      <c r="A2002" s="113"/>
      <c r="B2002" s="27"/>
      <c r="C2002" s="48"/>
      <c r="D2002" s="27"/>
      <c r="E2002" s="38"/>
      <c r="F2002" s="27"/>
      <c r="G2002" s="27"/>
      <c r="H2002" s="99"/>
      <c r="M2002" s="27"/>
      <c r="N2002" s="48"/>
    </row>
    <row r="2003" spans="1:14" s="7" customFormat="1" x14ac:dyDescent="0.35">
      <c r="A2003" s="113"/>
      <c r="B2003" s="27"/>
      <c r="C2003" s="48"/>
      <c r="D2003" s="27"/>
      <c r="E2003" s="38"/>
      <c r="F2003" s="27"/>
      <c r="G2003" s="27"/>
      <c r="H2003" s="99"/>
      <c r="M2003" s="27"/>
      <c r="N2003" s="48"/>
    </row>
    <row r="2004" spans="1:14" s="7" customFormat="1" x14ac:dyDescent="0.35">
      <c r="A2004" s="113"/>
      <c r="B2004" s="27"/>
      <c r="C2004" s="48"/>
      <c r="D2004" s="27"/>
      <c r="E2004" s="38"/>
      <c r="F2004" s="27"/>
      <c r="G2004" s="27"/>
      <c r="H2004" s="99"/>
      <c r="M2004" s="27"/>
      <c r="N2004" s="48"/>
    </row>
    <row r="2005" spans="1:14" s="7" customFormat="1" x14ac:dyDescent="0.35">
      <c r="A2005" s="113"/>
      <c r="B2005" s="27"/>
      <c r="C2005" s="48"/>
      <c r="D2005" s="27"/>
      <c r="E2005" s="38"/>
      <c r="F2005" s="27"/>
      <c r="G2005" s="27"/>
      <c r="H2005" s="99"/>
      <c r="M2005" s="27"/>
      <c r="N2005" s="48"/>
    </row>
    <row r="2006" spans="1:14" s="7" customFormat="1" x14ac:dyDescent="0.35">
      <c r="A2006" s="113"/>
      <c r="B2006" s="27"/>
      <c r="C2006" s="48"/>
      <c r="D2006" s="27"/>
      <c r="E2006" s="38"/>
      <c r="F2006" s="27"/>
      <c r="G2006" s="27"/>
      <c r="H2006" s="99"/>
      <c r="M2006" s="27"/>
      <c r="N2006" s="48"/>
    </row>
    <row r="2007" spans="1:14" s="7" customFormat="1" x14ac:dyDescent="0.35">
      <c r="A2007" s="113"/>
      <c r="B2007" s="27"/>
      <c r="C2007" s="48"/>
      <c r="D2007" s="27"/>
      <c r="E2007" s="38"/>
      <c r="F2007" s="27"/>
      <c r="G2007" s="27"/>
      <c r="H2007" s="99"/>
      <c r="M2007" s="27"/>
      <c r="N2007" s="48"/>
    </row>
    <row r="2008" spans="1:14" s="7" customFormat="1" x14ac:dyDescent="0.35">
      <c r="A2008" s="113"/>
      <c r="B2008" s="27"/>
      <c r="C2008" s="48"/>
      <c r="D2008" s="27"/>
      <c r="E2008" s="38"/>
      <c r="F2008" s="27"/>
      <c r="G2008" s="27"/>
      <c r="H2008" s="99"/>
      <c r="M2008" s="27"/>
      <c r="N2008" s="48"/>
    </row>
    <row r="2009" spans="1:14" s="7" customFormat="1" x14ac:dyDescent="0.35">
      <c r="A2009" s="113"/>
      <c r="B2009" s="27"/>
      <c r="C2009" s="48"/>
      <c r="D2009" s="27"/>
      <c r="E2009" s="38"/>
      <c r="F2009" s="27"/>
      <c r="G2009" s="27"/>
      <c r="H2009" s="99"/>
      <c r="M2009" s="27"/>
      <c r="N2009" s="48"/>
    </row>
    <row r="2010" spans="1:14" s="7" customFormat="1" x14ac:dyDescent="0.35">
      <c r="A2010" s="113"/>
      <c r="B2010" s="27"/>
      <c r="C2010" s="48"/>
      <c r="D2010" s="27"/>
      <c r="E2010" s="38"/>
      <c r="F2010" s="27"/>
      <c r="G2010" s="27"/>
      <c r="H2010" s="99"/>
      <c r="M2010" s="27"/>
      <c r="N2010" s="48"/>
    </row>
    <row r="2011" spans="1:14" s="7" customFormat="1" x14ac:dyDescent="0.35">
      <c r="A2011" s="113"/>
      <c r="B2011" s="27"/>
      <c r="C2011" s="48"/>
      <c r="D2011" s="27"/>
      <c r="E2011" s="38"/>
      <c r="F2011" s="27"/>
      <c r="G2011" s="27"/>
      <c r="H2011" s="99"/>
      <c r="M2011" s="27"/>
      <c r="N2011" s="48"/>
    </row>
    <row r="2012" spans="1:14" s="7" customFormat="1" x14ac:dyDescent="0.35">
      <c r="A2012" s="113"/>
      <c r="B2012" s="27"/>
      <c r="C2012" s="48"/>
      <c r="D2012" s="27"/>
      <c r="E2012" s="38"/>
      <c r="F2012" s="27"/>
      <c r="G2012" s="27"/>
      <c r="H2012" s="99"/>
      <c r="M2012" s="27"/>
      <c r="N2012" s="48"/>
    </row>
    <row r="2013" spans="1:14" s="7" customFormat="1" x14ac:dyDescent="0.35">
      <c r="A2013" s="113"/>
      <c r="B2013" s="27"/>
      <c r="C2013" s="48"/>
      <c r="D2013" s="27"/>
      <c r="E2013" s="38"/>
      <c r="F2013" s="27"/>
      <c r="G2013" s="27"/>
      <c r="H2013" s="99"/>
      <c r="M2013" s="27"/>
      <c r="N2013" s="48"/>
    </row>
    <row r="2014" spans="1:14" s="7" customFormat="1" x14ac:dyDescent="0.35">
      <c r="A2014" s="113"/>
      <c r="B2014" s="27"/>
      <c r="C2014" s="48"/>
      <c r="D2014" s="27"/>
      <c r="E2014" s="38"/>
      <c r="F2014" s="27"/>
      <c r="G2014" s="27"/>
      <c r="H2014" s="99"/>
      <c r="M2014" s="27"/>
      <c r="N2014" s="48"/>
    </row>
    <row r="2015" spans="1:14" s="7" customFormat="1" x14ac:dyDescent="0.35">
      <c r="A2015" s="113"/>
      <c r="B2015" s="27"/>
      <c r="C2015" s="48"/>
      <c r="D2015" s="27"/>
      <c r="E2015" s="38"/>
      <c r="F2015" s="27"/>
      <c r="G2015" s="27"/>
      <c r="H2015" s="99"/>
      <c r="M2015" s="27"/>
      <c r="N2015" s="48"/>
    </row>
    <row r="2016" spans="1:14" s="7" customFormat="1" x14ac:dyDescent="0.35">
      <c r="A2016" s="113"/>
      <c r="B2016" s="27"/>
      <c r="C2016" s="48"/>
      <c r="D2016" s="27"/>
      <c r="E2016" s="38"/>
      <c r="F2016" s="27"/>
      <c r="G2016" s="27"/>
      <c r="H2016" s="99"/>
      <c r="M2016" s="27"/>
      <c r="N2016" s="48"/>
    </row>
    <row r="2017" spans="1:14" s="7" customFormat="1" x14ac:dyDescent="0.35">
      <c r="A2017" s="113"/>
      <c r="B2017" s="27"/>
      <c r="C2017" s="48"/>
      <c r="D2017" s="27"/>
      <c r="E2017" s="38"/>
      <c r="F2017" s="27"/>
      <c r="G2017" s="27"/>
      <c r="H2017" s="99"/>
      <c r="M2017" s="27"/>
      <c r="N2017" s="48"/>
    </row>
    <row r="2018" spans="1:14" s="7" customFormat="1" x14ac:dyDescent="0.35">
      <c r="A2018" s="113"/>
      <c r="B2018" s="27"/>
      <c r="C2018" s="48"/>
      <c r="D2018" s="27"/>
      <c r="E2018" s="38"/>
      <c r="F2018" s="27"/>
      <c r="G2018" s="27"/>
      <c r="H2018" s="99"/>
      <c r="M2018" s="27"/>
      <c r="N2018" s="48"/>
    </row>
    <row r="2019" spans="1:14" s="7" customFormat="1" x14ac:dyDescent="0.35">
      <c r="A2019" s="113"/>
      <c r="B2019" s="27"/>
      <c r="C2019" s="48"/>
      <c r="D2019" s="27"/>
      <c r="E2019" s="38"/>
      <c r="F2019" s="27"/>
      <c r="G2019" s="27"/>
      <c r="H2019" s="99"/>
      <c r="M2019" s="27"/>
      <c r="N2019" s="48"/>
    </row>
    <row r="2020" spans="1:14" s="7" customFormat="1" x14ac:dyDescent="0.35">
      <c r="A2020" s="113"/>
      <c r="B2020" s="27"/>
      <c r="C2020" s="48"/>
      <c r="D2020" s="27"/>
      <c r="E2020" s="38"/>
      <c r="F2020" s="27"/>
      <c r="G2020" s="27"/>
      <c r="H2020" s="99"/>
      <c r="M2020" s="27"/>
      <c r="N2020" s="48"/>
    </row>
    <row r="2021" spans="1:14" s="7" customFormat="1" x14ac:dyDescent="0.35">
      <c r="A2021" s="113"/>
      <c r="B2021" s="27"/>
      <c r="C2021" s="48"/>
      <c r="D2021" s="27"/>
      <c r="E2021" s="38"/>
      <c r="F2021" s="27"/>
      <c r="G2021" s="27"/>
      <c r="H2021" s="99"/>
      <c r="M2021" s="27"/>
      <c r="N2021" s="48"/>
    </row>
    <row r="2022" spans="1:14" s="7" customFormat="1" x14ac:dyDescent="0.35">
      <c r="A2022" s="113"/>
      <c r="B2022" s="27"/>
      <c r="C2022" s="48"/>
      <c r="D2022" s="27"/>
      <c r="E2022" s="38"/>
      <c r="F2022" s="27"/>
      <c r="G2022" s="27"/>
      <c r="H2022" s="99"/>
      <c r="M2022" s="27"/>
      <c r="N2022" s="48"/>
    </row>
    <row r="2023" spans="1:14" s="7" customFormat="1" x14ac:dyDescent="0.35">
      <c r="A2023" s="113"/>
      <c r="B2023" s="27"/>
      <c r="C2023" s="48"/>
      <c r="D2023" s="27"/>
      <c r="E2023" s="38"/>
      <c r="F2023" s="27"/>
      <c r="G2023" s="27"/>
      <c r="H2023" s="99"/>
      <c r="M2023" s="27"/>
      <c r="N2023" s="48"/>
    </row>
    <row r="2024" spans="1:14" s="7" customFormat="1" x14ac:dyDescent="0.35">
      <c r="A2024" s="113"/>
      <c r="B2024" s="27"/>
      <c r="C2024" s="48"/>
      <c r="D2024" s="27"/>
      <c r="E2024" s="38"/>
      <c r="F2024" s="27"/>
      <c r="G2024" s="27"/>
      <c r="H2024" s="99"/>
      <c r="M2024" s="27"/>
      <c r="N2024" s="48"/>
    </row>
    <row r="2025" spans="1:14" s="7" customFormat="1" x14ac:dyDescent="0.35">
      <c r="A2025" s="113"/>
      <c r="B2025" s="27"/>
      <c r="C2025" s="48"/>
      <c r="D2025" s="27"/>
      <c r="E2025" s="38"/>
      <c r="F2025" s="27"/>
      <c r="G2025" s="27"/>
      <c r="H2025" s="99"/>
      <c r="M2025" s="27"/>
      <c r="N2025" s="48"/>
    </row>
    <row r="2026" spans="1:14" s="7" customFormat="1" x14ac:dyDescent="0.35">
      <c r="A2026" s="113"/>
      <c r="B2026" s="27"/>
      <c r="C2026" s="48"/>
      <c r="D2026" s="27"/>
      <c r="E2026" s="38"/>
      <c r="F2026" s="27"/>
      <c r="G2026" s="27"/>
      <c r="H2026" s="99"/>
      <c r="M2026" s="27"/>
      <c r="N2026" s="48"/>
    </row>
    <row r="2027" spans="1:14" s="7" customFormat="1" x14ac:dyDescent="0.35">
      <c r="A2027" s="113"/>
      <c r="B2027" s="27"/>
      <c r="C2027" s="48"/>
      <c r="D2027" s="27"/>
      <c r="E2027" s="38"/>
      <c r="F2027" s="27"/>
      <c r="G2027" s="27"/>
      <c r="H2027" s="99"/>
      <c r="M2027" s="27"/>
      <c r="N2027" s="48"/>
    </row>
    <row r="2028" spans="1:14" s="7" customFormat="1" x14ac:dyDescent="0.35">
      <c r="A2028" s="113"/>
      <c r="B2028" s="27"/>
      <c r="C2028" s="48"/>
      <c r="D2028" s="27"/>
      <c r="E2028" s="38"/>
      <c r="F2028" s="27"/>
      <c r="G2028" s="27"/>
      <c r="H2028" s="99"/>
      <c r="M2028" s="27"/>
      <c r="N2028" s="48"/>
    </row>
    <row r="2029" spans="1:14" s="7" customFormat="1" x14ac:dyDescent="0.35">
      <c r="A2029" s="113"/>
      <c r="B2029" s="27"/>
      <c r="C2029" s="48"/>
      <c r="D2029" s="27"/>
      <c r="E2029" s="38"/>
      <c r="F2029" s="27"/>
      <c r="G2029" s="27"/>
      <c r="H2029" s="99"/>
      <c r="M2029" s="27"/>
      <c r="N2029" s="48"/>
    </row>
    <row r="2030" spans="1:14" s="7" customFormat="1" x14ac:dyDescent="0.35">
      <c r="A2030" s="113"/>
      <c r="B2030" s="27"/>
      <c r="C2030" s="48"/>
      <c r="D2030" s="27"/>
      <c r="E2030" s="38"/>
      <c r="F2030" s="27"/>
      <c r="G2030" s="27"/>
      <c r="H2030" s="99"/>
      <c r="M2030" s="27"/>
      <c r="N2030" s="48"/>
    </row>
    <row r="2031" spans="1:14" s="7" customFormat="1" x14ac:dyDescent="0.35">
      <c r="A2031" s="113"/>
      <c r="B2031" s="27"/>
      <c r="C2031" s="48"/>
      <c r="D2031" s="27"/>
      <c r="E2031" s="38"/>
      <c r="F2031" s="27"/>
      <c r="G2031" s="27"/>
      <c r="H2031" s="99"/>
      <c r="M2031" s="27"/>
      <c r="N2031" s="48"/>
    </row>
    <row r="2032" spans="1:14" s="7" customFormat="1" x14ac:dyDescent="0.35">
      <c r="A2032" s="113"/>
      <c r="B2032" s="27"/>
      <c r="C2032" s="48"/>
      <c r="D2032" s="27"/>
      <c r="E2032" s="38"/>
      <c r="F2032" s="27"/>
      <c r="G2032" s="27"/>
      <c r="H2032" s="99"/>
      <c r="M2032" s="27"/>
      <c r="N2032" s="48"/>
    </row>
    <row r="2033" spans="1:14" s="7" customFormat="1" x14ac:dyDescent="0.35">
      <c r="A2033" s="113"/>
      <c r="B2033" s="27"/>
      <c r="C2033" s="48"/>
      <c r="D2033" s="27"/>
      <c r="E2033" s="38"/>
      <c r="F2033" s="27"/>
      <c r="G2033" s="27"/>
      <c r="H2033" s="99"/>
      <c r="M2033" s="27"/>
      <c r="N2033" s="48"/>
    </row>
    <row r="2034" spans="1:14" s="7" customFormat="1" x14ac:dyDescent="0.35">
      <c r="A2034" s="113"/>
      <c r="B2034" s="27"/>
      <c r="C2034" s="48"/>
      <c r="D2034" s="27"/>
      <c r="E2034" s="38"/>
      <c r="F2034" s="27"/>
      <c r="G2034" s="27"/>
      <c r="H2034" s="99"/>
      <c r="M2034" s="27"/>
      <c r="N2034" s="48"/>
    </row>
    <row r="2035" spans="1:14" s="7" customFormat="1" x14ac:dyDescent="0.35">
      <c r="A2035" s="113"/>
      <c r="B2035" s="27"/>
      <c r="C2035" s="48"/>
      <c r="D2035" s="27"/>
      <c r="E2035" s="38"/>
      <c r="F2035" s="27"/>
      <c r="G2035" s="27"/>
      <c r="H2035" s="99"/>
      <c r="M2035" s="27"/>
      <c r="N2035" s="48"/>
    </row>
    <row r="2036" spans="1:14" s="7" customFormat="1" x14ac:dyDescent="0.35">
      <c r="A2036" s="113"/>
      <c r="B2036" s="27"/>
      <c r="C2036" s="48"/>
      <c r="D2036" s="27"/>
      <c r="E2036" s="38"/>
      <c r="F2036" s="27"/>
      <c r="G2036" s="27"/>
      <c r="H2036" s="99"/>
      <c r="M2036" s="27"/>
      <c r="N2036" s="48"/>
    </row>
    <row r="2037" spans="1:14" s="7" customFormat="1" x14ac:dyDescent="0.35">
      <c r="A2037" s="113"/>
      <c r="B2037" s="27"/>
      <c r="C2037" s="48"/>
      <c r="D2037" s="27"/>
      <c r="E2037" s="38"/>
      <c r="F2037" s="27"/>
      <c r="G2037" s="27"/>
      <c r="H2037" s="99"/>
      <c r="M2037" s="27"/>
      <c r="N2037" s="48"/>
    </row>
    <row r="2038" spans="1:14" s="7" customFormat="1" x14ac:dyDescent="0.35">
      <c r="A2038" s="113"/>
      <c r="B2038" s="27"/>
      <c r="C2038" s="48"/>
      <c r="D2038" s="27"/>
      <c r="E2038" s="38"/>
      <c r="F2038" s="27"/>
      <c r="G2038" s="27"/>
      <c r="H2038" s="99"/>
      <c r="M2038" s="27"/>
      <c r="N2038" s="48"/>
    </row>
    <row r="2039" spans="1:14" s="7" customFormat="1" x14ac:dyDescent="0.35">
      <c r="A2039" s="113"/>
      <c r="B2039" s="27"/>
      <c r="C2039" s="48"/>
      <c r="D2039" s="27"/>
      <c r="E2039" s="38"/>
      <c r="F2039" s="27"/>
      <c r="G2039" s="27"/>
      <c r="H2039" s="99"/>
      <c r="M2039" s="27"/>
      <c r="N2039" s="48"/>
    </row>
    <row r="2040" spans="1:14" s="7" customFormat="1" x14ac:dyDescent="0.35">
      <c r="A2040" s="113"/>
      <c r="B2040" s="27"/>
      <c r="C2040" s="48"/>
      <c r="D2040" s="27"/>
      <c r="E2040" s="38"/>
      <c r="F2040" s="27"/>
      <c r="G2040" s="27"/>
      <c r="H2040" s="99"/>
      <c r="M2040" s="27"/>
      <c r="N2040" s="48"/>
    </row>
    <row r="2041" spans="1:14" s="7" customFormat="1" x14ac:dyDescent="0.35">
      <c r="A2041" s="113"/>
      <c r="B2041" s="27"/>
      <c r="C2041" s="48"/>
      <c r="D2041" s="27"/>
      <c r="E2041" s="38"/>
      <c r="F2041" s="27"/>
      <c r="G2041" s="27"/>
      <c r="H2041" s="99"/>
      <c r="M2041" s="27"/>
      <c r="N2041" s="48"/>
    </row>
    <row r="2042" spans="1:14" s="7" customFormat="1" x14ac:dyDescent="0.35">
      <c r="A2042" s="113"/>
      <c r="B2042" s="27"/>
      <c r="C2042" s="48"/>
      <c r="D2042" s="27"/>
      <c r="E2042" s="38"/>
      <c r="F2042" s="27"/>
      <c r="G2042" s="27"/>
      <c r="H2042" s="99"/>
      <c r="M2042" s="27"/>
      <c r="N2042" s="48"/>
    </row>
    <row r="2043" spans="1:14" s="7" customFormat="1" x14ac:dyDescent="0.35">
      <c r="A2043" s="113"/>
      <c r="B2043" s="27"/>
      <c r="C2043" s="48"/>
      <c r="D2043" s="27"/>
      <c r="E2043" s="38"/>
      <c r="F2043" s="27"/>
      <c r="G2043" s="27"/>
      <c r="H2043" s="99"/>
      <c r="M2043" s="27"/>
      <c r="N2043" s="48"/>
    </row>
    <row r="2044" spans="1:14" s="7" customFormat="1" x14ac:dyDescent="0.35">
      <c r="A2044" s="113"/>
      <c r="B2044" s="27"/>
      <c r="C2044" s="48"/>
      <c r="D2044" s="27"/>
      <c r="E2044" s="38"/>
      <c r="F2044" s="27"/>
      <c r="G2044" s="27"/>
      <c r="H2044" s="99"/>
      <c r="M2044" s="27"/>
      <c r="N2044" s="48"/>
    </row>
    <row r="2045" spans="1:14" s="7" customFormat="1" x14ac:dyDescent="0.35">
      <c r="A2045" s="113"/>
      <c r="B2045" s="27"/>
      <c r="C2045" s="48"/>
      <c r="D2045" s="27"/>
      <c r="E2045" s="38"/>
      <c r="F2045" s="27"/>
      <c r="G2045" s="27"/>
      <c r="H2045" s="99"/>
      <c r="M2045" s="27"/>
      <c r="N2045" s="48"/>
    </row>
    <row r="2046" spans="1:14" s="7" customFormat="1" x14ac:dyDescent="0.35">
      <c r="A2046" s="113"/>
      <c r="B2046" s="27"/>
      <c r="C2046" s="48"/>
      <c r="D2046" s="27"/>
      <c r="E2046" s="38"/>
      <c r="F2046" s="27"/>
      <c r="G2046" s="27"/>
      <c r="H2046" s="99"/>
      <c r="M2046" s="27"/>
      <c r="N2046" s="48"/>
    </row>
    <row r="2047" spans="1:14" s="7" customFormat="1" x14ac:dyDescent="0.35">
      <c r="A2047" s="113"/>
      <c r="B2047" s="27"/>
      <c r="C2047" s="48"/>
      <c r="D2047" s="27"/>
      <c r="E2047" s="38"/>
      <c r="F2047" s="27"/>
      <c r="G2047" s="27"/>
      <c r="H2047" s="99"/>
      <c r="M2047" s="27"/>
      <c r="N2047" s="48"/>
    </row>
    <row r="2048" spans="1:14" s="7" customFormat="1" x14ac:dyDescent="0.35">
      <c r="A2048" s="113"/>
      <c r="B2048" s="27"/>
      <c r="C2048" s="48"/>
      <c r="D2048" s="27"/>
      <c r="E2048" s="38"/>
      <c r="F2048" s="27"/>
      <c r="G2048" s="27"/>
      <c r="H2048" s="99"/>
      <c r="M2048" s="27"/>
      <c r="N2048" s="48"/>
    </row>
    <row r="2049" spans="1:14" s="7" customFormat="1" x14ac:dyDescent="0.35">
      <c r="A2049" s="113"/>
      <c r="B2049" s="27"/>
      <c r="C2049" s="48"/>
      <c r="D2049" s="27"/>
      <c r="E2049" s="38"/>
      <c r="F2049" s="27"/>
      <c r="G2049" s="27"/>
      <c r="H2049" s="99"/>
      <c r="M2049" s="27"/>
      <c r="N2049" s="48"/>
    </row>
    <row r="2050" spans="1:14" s="7" customFormat="1" x14ac:dyDescent="0.35">
      <c r="A2050" s="113"/>
      <c r="B2050" s="27"/>
      <c r="C2050" s="48"/>
      <c r="D2050" s="27"/>
      <c r="E2050" s="38"/>
      <c r="F2050" s="27"/>
      <c r="G2050" s="27"/>
      <c r="H2050" s="99"/>
      <c r="M2050" s="27"/>
      <c r="N2050" s="48"/>
    </row>
    <row r="2051" spans="1:14" s="7" customFormat="1" x14ac:dyDescent="0.35">
      <c r="A2051" s="113"/>
      <c r="B2051" s="27"/>
      <c r="C2051" s="48"/>
      <c r="D2051" s="27"/>
      <c r="E2051" s="38"/>
      <c r="F2051" s="27"/>
      <c r="G2051" s="27"/>
      <c r="H2051" s="99"/>
      <c r="M2051" s="27"/>
      <c r="N2051" s="48"/>
    </row>
    <row r="2052" spans="1:14" s="7" customFormat="1" x14ac:dyDescent="0.35">
      <c r="A2052" s="113"/>
      <c r="B2052" s="27"/>
      <c r="C2052" s="48"/>
      <c r="D2052" s="27"/>
      <c r="E2052" s="38"/>
      <c r="F2052" s="27"/>
      <c r="G2052" s="27"/>
      <c r="H2052" s="99"/>
      <c r="M2052" s="27"/>
      <c r="N2052" s="48"/>
    </row>
    <row r="2053" spans="1:14" s="7" customFormat="1" x14ac:dyDescent="0.35">
      <c r="A2053" s="113"/>
      <c r="B2053" s="27"/>
      <c r="C2053" s="48"/>
      <c r="D2053" s="27"/>
      <c r="E2053" s="38"/>
      <c r="F2053" s="27"/>
      <c r="G2053" s="27"/>
      <c r="H2053" s="99"/>
      <c r="M2053" s="27"/>
      <c r="N2053" s="48"/>
    </row>
    <row r="2054" spans="1:14" s="7" customFormat="1" x14ac:dyDescent="0.35">
      <c r="A2054" s="113"/>
      <c r="B2054" s="27"/>
      <c r="C2054" s="48"/>
      <c r="D2054" s="27"/>
      <c r="E2054" s="38"/>
      <c r="F2054" s="27"/>
      <c r="G2054" s="27"/>
      <c r="H2054" s="99"/>
      <c r="M2054" s="27"/>
      <c r="N2054" s="48"/>
    </row>
    <row r="2055" spans="1:14" s="7" customFormat="1" x14ac:dyDescent="0.35">
      <c r="A2055" s="113"/>
      <c r="B2055" s="27"/>
      <c r="C2055" s="48"/>
      <c r="D2055" s="27"/>
      <c r="E2055" s="38"/>
      <c r="F2055" s="27"/>
      <c r="G2055" s="27"/>
      <c r="H2055" s="99"/>
      <c r="M2055" s="27"/>
      <c r="N2055" s="48"/>
    </row>
    <row r="2056" spans="1:14" s="7" customFormat="1" x14ac:dyDescent="0.35">
      <c r="A2056" s="113"/>
      <c r="B2056" s="27"/>
      <c r="C2056" s="48"/>
      <c r="D2056" s="27"/>
      <c r="E2056" s="38"/>
      <c r="F2056" s="27"/>
      <c r="G2056" s="27"/>
      <c r="H2056" s="99"/>
      <c r="M2056" s="27"/>
      <c r="N2056" s="48"/>
    </row>
    <row r="2057" spans="1:14" s="7" customFormat="1" x14ac:dyDescent="0.35">
      <c r="A2057" s="113"/>
      <c r="B2057" s="27"/>
      <c r="C2057" s="48"/>
      <c r="D2057" s="27"/>
      <c r="E2057" s="38"/>
      <c r="F2057" s="27"/>
      <c r="G2057" s="27"/>
      <c r="H2057" s="99"/>
      <c r="M2057" s="27"/>
      <c r="N2057" s="48"/>
    </row>
    <row r="2058" spans="1:14" s="7" customFormat="1" x14ac:dyDescent="0.35">
      <c r="A2058" s="113"/>
      <c r="B2058" s="27"/>
      <c r="C2058" s="48"/>
      <c r="D2058" s="27"/>
      <c r="E2058" s="38"/>
      <c r="F2058" s="27"/>
      <c r="G2058" s="27"/>
      <c r="H2058" s="99"/>
      <c r="M2058" s="27"/>
      <c r="N2058" s="48"/>
    </row>
    <row r="2059" spans="1:14" s="7" customFormat="1" x14ac:dyDescent="0.35">
      <c r="A2059" s="113"/>
      <c r="B2059" s="27"/>
      <c r="C2059" s="48"/>
      <c r="D2059" s="27"/>
      <c r="E2059" s="38"/>
      <c r="F2059" s="27"/>
      <c r="G2059" s="27"/>
      <c r="H2059" s="99"/>
      <c r="M2059" s="27"/>
      <c r="N2059" s="48"/>
    </row>
    <row r="2060" spans="1:14" s="7" customFormat="1" x14ac:dyDescent="0.35">
      <c r="A2060" s="113"/>
      <c r="B2060" s="27"/>
      <c r="C2060" s="48"/>
      <c r="D2060" s="27"/>
      <c r="E2060" s="38"/>
      <c r="F2060" s="27"/>
      <c r="G2060" s="27"/>
      <c r="H2060" s="99"/>
      <c r="M2060" s="27"/>
      <c r="N2060" s="48"/>
    </row>
    <row r="2061" spans="1:14" s="7" customFormat="1" x14ac:dyDescent="0.35">
      <c r="A2061" s="113"/>
      <c r="B2061" s="27"/>
      <c r="C2061" s="48"/>
      <c r="D2061" s="27"/>
      <c r="E2061" s="38"/>
      <c r="F2061" s="27"/>
      <c r="G2061" s="27"/>
      <c r="H2061" s="99"/>
      <c r="M2061" s="27"/>
      <c r="N2061" s="48"/>
    </row>
    <row r="2062" spans="1:14" s="7" customFormat="1" x14ac:dyDescent="0.35">
      <c r="A2062" s="113"/>
      <c r="B2062" s="27"/>
      <c r="C2062" s="48"/>
      <c r="D2062" s="27"/>
      <c r="E2062" s="38"/>
      <c r="F2062" s="27"/>
      <c r="G2062" s="27"/>
      <c r="H2062" s="99"/>
      <c r="M2062" s="27"/>
      <c r="N2062" s="48"/>
    </row>
    <row r="2063" spans="1:14" s="7" customFormat="1" x14ac:dyDescent="0.35">
      <c r="A2063" s="113"/>
      <c r="B2063" s="27"/>
      <c r="C2063" s="48"/>
      <c r="D2063" s="27"/>
      <c r="E2063" s="38"/>
      <c r="F2063" s="27"/>
      <c r="G2063" s="27"/>
      <c r="H2063" s="99"/>
      <c r="M2063" s="27"/>
      <c r="N2063" s="48"/>
    </row>
    <row r="2064" spans="1:14" s="7" customFormat="1" x14ac:dyDescent="0.35">
      <c r="A2064" s="113"/>
      <c r="B2064" s="27"/>
      <c r="C2064" s="48"/>
      <c r="D2064" s="27"/>
      <c r="E2064" s="38"/>
      <c r="F2064" s="27"/>
      <c r="G2064" s="27"/>
      <c r="H2064" s="99"/>
      <c r="M2064" s="27"/>
      <c r="N2064" s="48"/>
    </row>
    <row r="2065" spans="1:14" s="7" customFormat="1" x14ac:dyDescent="0.35">
      <c r="A2065" s="113"/>
      <c r="B2065" s="27"/>
      <c r="C2065" s="48"/>
      <c r="D2065" s="27"/>
      <c r="E2065" s="38"/>
      <c r="F2065" s="27"/>
      <c r="G2065" s="27"/>
      <c r="H2065" s="99"/>
      <c r="M2065" s="27"/>
      <c r="N2065" s="48"/>
    </row>
    <row r="2066" spans="1:14" s="7" customFormat="1" x14ac:dyDescent="0.35">
      <c r="A2066" s="113"/>
      <c r="B2066" s="27"/>
      <c r="C2066" s="48"/>
      <c r="D2066" s="27"/>
      <c r="E2066" s="38"/>
      <c r="F2066" s="27"/>
      <c r="G2066" s="27"/>
      <c r="H2066" s="99"/>
      <c r="M2066" s="27"/>
      <c r="N2066" s="48"/>
    </row>
    <row r="2067" spans="1:14" s="7" customFormat="1" x14ac:dyDescent="0.35">
      <c r="A2067" s="113"/>
      <c r="B2067" s="27"/>
      <c r="C2067" s="48"/>
      <c r="D2067" s="27"/>
      <c r="E2067" s="38"/>
      <c r="F2067" s="27"/>
      <c r="G2067" s="27"/>
      <c r="H2067" s="99"/>
      <c r="M2067" s="27"/>
      <c r="N2067" s="48"/>
    </row>
    <row r="2068" spans="1:14" s="7" customFormat="1" x14ac:dyDescent="0.35">
      <c r="A2068" s="113"/>
      <c r="B2068" s="27"/>
      <c r="C2068" s="48"/>
      <c r="D2068" s="27"/>
      <c r="E2068" s="38"/>
      <c r="F2068" s="27"/>
      <c r="G2068" s="27"/>
      <c r="H2068" s="99"/>
      <c r="M2068" s="27"/>
      <c r="N2068" s="48"/>
    </row>
    <row r="2069" spans="1:14" s="7" customFormat="1" x14ac:dyDescent="0.35">
      <c r="A2069" s="113"/>
      <c r="B2069" s="27"/>
      <c r="C2069" s="48"/>
      <c r="D2069" s="27"/>
      <c r="E2069" s="38"/>
      <c r="F2069" s="27"/>
      <c r="G2069" s="27"/>
      <c r="H2069" s="99"/>
      <c r="M2069" s="27"/>
      <c r="N2069" s="48"/>
    </row>
    <row r="2070" spans="1:14" s="7" customFormat="1" x14ac:dyDescent="0.35">
      <c r="A2070" s="113"/>
      <c r="B2070" s="27"/>
      <c r="C2070" s="48"/>
      <c r="D2070" s="27"/>
      <c r="E2070" s="38"/>
      <c r="F2070" s="27"/>
      <c r="G2070" s="27"/>
      <c r="H2070" s="99"/>
      <c r="M2070" s="27"/>
      <c r="N2070" s="48"/>
    </row>
    <row r="2071" spans="1:14" s="7" customFormat="1" x14ac:dyDescent="0.35">
      <c r="A2071" s="113"/>
      <c r="B2071" s="27"/>
      <c r="C2071" s="48"/>
      <c r="D2071" s="27"/>
      <c r="E2071" s="38"/>
      <c r="F2071" s="27"/>
      <c r="G2071" s="27"/>
      <c r="H2071" s="99"/>
      <c r="M2071" s="27"/>
      <c r="N2071" s="48"/>
    </row>
    <row r="2072" spans="1:14" s="7" customFormat="1" x14ac:dyDescent="0.35">
      <c r="A2072" s="113"/>
      <c r="B2072" s="27"/>
      <c r="C2072" s="48"/>
      <c r="D2072" s="27"/>
      <c r="E2072" s="38"/>
      <c r="F2072" s="27"/>
      <c r="G2072" s="27"/>
      <c r="H2072" s="99"/>
      <c r="M2072" s="27"/>
      <c r="N2072" s="48"/>
    </row>
    <row r="2073" spans="1:14" s="7" customFormat="1" x14ac:dyDescent="0.35">
      <c r="A2073" s="113"/>
      <c r="B2073" s="27"/>
      <c r="C2073" s="48"/>
      <c r="D2073" s="27"/>
      <c r="E2073" s="38"/>
      <c r="F2073" s="27"/>
      <c r="G2073" s="27"/>
      <c r="H2073" s="99"/>
      <c r="M2073" s="27"/>
      <c r="N2073" s="48"/>
    </row>
    <row r="2074" spans="1:14" s="7" customFormat="1" x14ac:dyDescent="0.35">
      <c r="A2074" s="113"/>
      <c r="B2074" s="27"/>
      <c r="C2074" s="48"/>
      <c r="D2074" s="27"/>
      <c r="E2074" s="38"/>
      <c r="F2074" s="27"/>
      <c r="G2074" s="27"/>
      <c r="H2074" s="99"/>
      <c r="M2074" s="27"/>
      <c r="N2074" s="48"/>
    </row>
    <row r="2075" spans="1:14" s="7" customFormat="1" x14ac:dyDescent="0.35">
      <c r="A2075" s="113"/>
      <c r="B2075" s="27"/>
      <c r="C2075" s="48"/>
      <c r="D2075" s="27"/>
      <c r="E2075" s="38"/>
      <c r="F2075" s="27"/>
      <c r="G2075" s="27"/>
      <c r="H2075" s="99"/>
      <c r="M2075" s="27"/>
      <c r="N2075" s="48"/>
    </row>
    <row r="2076" spans="1:14" s="7" customFormat="1" x14ac:dyDescent="0.35">
      <c r="A2076" s="113"/>
      <c r="B2076" s="27"/>
      <c r="C2076" s="48"/>
      <c r="D2076" s="27"/>
      <c r="E2076" s="38"/>
      <c r="F2076" s="27"/>
      <c r="G2076" s="27"/>
      <c r="H2076" s="99"/>
      <c r="M2076" s="27"/>
      <c r="N2076" s="48"/>
    </row>
    <row r="2077" spans="1:14" s="7" customFormat="1" x14ac:dyDescent="0.35">
      <c r="A2077" s="113"/>
      <c r="B2077" s="27"/>
      <c r="C2077" s="48"/>
      <c r="D2077" s="27"/>
      <c r="E2077" s="38"/>
      <c r="F2077" s="27"/>
      <c r="G2077" s="27"/>
      <c r="H2077" s="99"/>
      <c r="M2077" s="27"/>
      <c r="N2077" s="48"/>
    </row>
    <row r="2078" spans="1:14" s="7" customFormat="1" x14ac:dyDescent="0.35">
      <c r="A2078" s="113"/>
      <c r="B2078" s="27"/>
      <c r="C2078" s="48"/>
      <c r="D2078" s="27"/>
      <c r="E2078" s="38"/>
      <c r="F2078" s="27"/>
      <c r="G2078" s="27"/>
      <c r="H2078" s="99"/>
      <c r="M2078" s="27"/>
      <c r="N2078" s="48"/>
    </row>
    <row r="2079" spans="1:14" s="7" customFormat="1" x14ac:dyDescent="0.35">
      <c r="A2079" s="113"/>
      <c r="B2079" s="27"/>
      <c r="C2079" s="48"/>
      <c r="D2079" s="27"/>
      <c r="E2079" s="38"/>
      <c r="F2079" s="27"/>
      <c r="G2079" s="27"/>
      <c r="H2079" s="99"/>
      <c r="M2079" s="27"/>
      <c r="N2079" s="48"/>
    </row>
    <row r="2080" spans="1:14" s="7" customFormat="1" x14ac:dyDescent="0.35">
      <c r="A2080" s="113"/>
      <c r="B2080" s="27"/>
      <c r="C2080" s="48"/>
      <c r="D2080" s="27"/>
      <c r="E2080" s="38"/>
      <c r="F2080" s="27"/>
      <c r="G2080" s="27"/>
      <c r="H2080" s="99"/>
      <c r="M2080" s="27"/>
      <c r="N2080" s="48"/>
    </row>
    <row r="2081" spans="1:14" s="7" customFormat="1" x14ac:dyDescent="0.35">
      <c r="A2081" s="113"/>
      <c r="B2081" s="27"/>
      <c r="C2081" s="48"/>
      <c r="D2081" s="27"/>
      <c r="E2081" s="38"/>
      <c r="F2081" s="27"/>
      <c r="G2081" s="27"/>
      <c r="H2081" s="99"/>
      <c r="M2081" s="27"/>
      <c r="N2081" s="48"/>
    </row>
    <row r="2082" spans="1:14" s="7" customFormat="1" x14ac:dyDescent="0.35">
      <c r="A2082" s="113"/>
      <c r="B2082" s="27"/>
      <c r="C2082" s="48"/>
      <c r="D2082" s="27"/>
      <c r="E2082" s="38"/>
      <c r="F2082" s="27"/>
      <c r="G2082" s="27"/>
      <c r="H2082" s="99"/>
      <c r="M2082" s="27"/>
      <c r="N2082" s="48"/>
    </row>
    <row r="2083" spans="1:14" s="7" customFormat="1" x14ac:dyDescent="0.35">
      <c r="A2083" s="113"/>
      <c r="B2083" s="27"/>
      <c r="C2083" s="48"/>
      <c r="D2083" s="27"/>
      <c r="E2083" s="38"/>
      <c r="F2083" s="27"/>
      <c r="G2083" s="27"/>
      <c r="H2083" s="99"/>
      <c r="M2083" s="27"/>
      <c r="N2083" s="48"/>
    </row>
    <row r="2084" spans="1:14" s="7" customFormat="1" x14ac:dyDescent="0.35">
      <c r="A2084" s="113"/>
      <c r="B2084" s="27"/>
      <c r="C2084" s="48"/>
      <c r="D2084" s="27"/>
      <c r="E2084" s="38"/>
      <c r="F2084" s="27"/>
      <c r="G2084" s="27"/>
      <c r="H2084" s="99"/>
      <c r="M2084" s="27"/>
      <c r="N2084" s="48"/>
    </row>
    <row r="2085" spans="1:14" s="7" customFormat="1" x14ac:dyDescent="0.35">
      <c r="A2085" s="113"/>
      <c r="B2085" s="27"/>
      <c r="C2085" s="48"/>
      <c r="D2085" s="27"/>
      <c r="E2085" s="38"/>
      <c r="F2085" s="27"/>
      <c r="G2085" s="27"/>
      <c r="H2085" s="99"/>
      <c r="M2085" s="27"/>
      <c r="N2085" s="48"/>
    </row>
    <row r="2086" spans="1:14" s="7" customFormat="1" x14ac:dyDescent="0.35">
      <c r="A2086" s="113"/>
      <c r="B2086" s="27"/>
      <c r="C2086" s="48"/>
      <c r="D2086" s="27"/>
      <c r="E2086" s="38"/>
      <c r="F2086" s="27"/>
      <c r="G2086" s="27"/>
      <c r="H2086" s="99"/>
      <c r="M2086" s="27"/>
      <c r="N2086" s="48"/>
    </row>
    <row r="2087" spans="1:14" s="7" customFormat="1" x14ac:dyDescent="0.35">
      <c r="A2087" s="113"/>
      <c r="B2087" s="27"/>
      <c r="C2087" s="48"/>
      <c r="D2087" s="27"/>
      <c r="E2087" s="38"/>
      <c r="F2087" s="27"/>
      <c r="G2087" s="27"/>
      <c r="H2087" s="99"/>
      <c r="M2087" s="27"/>
      <c r="N2087" s="48"/>
    </row>
    <row r="2088" spans="1:14" s="7" customFormat="1" x14ac:dyDescent="0.35">
      <c r="A2088" s="113"/>
      <c r="B2088" s="27"/>
      <c r="C2088" s="48"/>
      <c r="D2088" s="27"/>
      <c r="E2088" s="38"/>
      <c r="F2088" s="27"/>
      <c r="G2088" s="27"/>
      <c r="H2088" s="99"/>
      <c r="M2088" s="27"/>
      <c r="N2088" s="48"/>
    </row>
    <row r="2089" spans="1:14" s="7" customFormat="1" x14ac:dyDescent="0.35">
      <c r="A2089" s="113"/>
      <c r="B2089" s="27"/>
      <c r="C2089" s="48"/>
      <c r="D2089" s="27"/>
      <c r="E2089" s="38"/>
      <c r="F2089" s="27"/>
      <c r="G2089" s="27"/>
      <c r="H2089" s="99"/>
      <c r="M2089" s="27"/>
      <c r="N2089" s="48"/>
    </row>
    <row r="2090" spans="1:14" s="7" customFormat="1" x14ac:dyDescent="0.35">
      <c r="A2090" s="113"/>
      <c r="B2090" s="27"/>
      <c r="C2090" s="48"/>
      <c r="D2090" s="27"/>
      <c r="E2090" s="38"/>
      <c r="F2090" s="27"/>
      <c r="G2090" s="27"/>
      <c r="H2090" s="99"/>
      <c r="M2090" s="27"/>
      <c r="N2090" s="48"/>
    </row>
    <row r="2091" spans="1:14" s="7" customFormat="1" x14ac:dyDescent="0.35">
      <c r="A2091" s="113"/>
      <c r="B2091" s="27"/>
      <c r="C2091" s="48"/>
      <c r="D2091" s="27"/>
      <c r="E2091" s="38"/>
      <c r="F2091" s="27"/>
      <c r="G2091" s="27"/>
      <c r="H2091" s="99"/>
      <c r="M2091" s="27"/>
      <c r="N2091" s="48"/>
    </row>
    <row r="2092" spans="1:14" s="7" customFormat="1" x14ac:dyDescent="0.35">
      <c r="A2092" s="113"/>
      <c r="B2092" s="27"/>
      <c r="C2092" s="48"/>
      <c r="D2092" s="27"/>
      <c r="E2092" s="38"/>
      <c r="F2092" s="27"/>
      <c r="G2092" s="27"/>
      <c r="H2092" s="99"/>
      <c r="M2092" s="27"/>
      <c r="N2092" s="48"/>
    </row>
    <row r="2093" spans="1:14" s="7" customFormat="1" x14ac:dyDescent="0.35">
      <c r="A2093" s="113"/>
      <c r="B2093" s="27"/>
      <c r="C2093" s="48"/>
      <c r="D2093" s="27"/>
      <c r="E2093" s="38"/>
      <c r="F2093" s="27"/>
      <c r="G2093" s="27"/>
      <c r="H2093" s="99"/>
      <c r="M2093" s="27"/>
      <c r="N2093" s="48"/>
    </row>
    <row r="2094" spans="1:14" s="7" customFormat="1" x14ac:dyDescent="0.35">
      <c r="A2094" s="113"/>
      <c r="B2094" s="27"/>
      <c r="C2094" s="48"/>
      <c r="D2094" s="27"/>
      <c r="E2094" s="38"/>
      <c r="F2094" s="27"/>
      <c r="G2094" s="27"/>
      <c r="H2094" s="99"/>
      <c r="M2094" s="27"/>
      <c r="N2094" s="48"/>
    </row>
    <row r="2095" spans="1:14" s="7" customFormat="1" x14ac:dyDescent="0.35">
      <c r="A2095" s="113"/>
      <c r="B2095" s="27"/>
      <c r="C2095" s="48"/>
      <c r="D2095" s="27"/>
      <c r="E2095" s="38"/>
      <c r="F2095" s="27"/>
      <c r="G2095" s="27"/>
      <c r="H2095" s="99"/>
      <c r="M2095" s="27"/>
      <c r="N2095" s="48"/>
    </row>
    <row r="2096" spans="1:14" s="7" customFormat="1" x14ac:dyDescent="0.35">
      <c r="A2096" s="113"/>
      <c r="B2096" s="27"/>
      <c r="C2096" s="48"/>
      <c r="D2096" s="27"/>
      <c r="E2096" s="38"/>
      <c r="F2096" s="27"/>
      <c r="G2096" s="27"/>
      <c r="H2096" s="99"/>
      <c r="M2096" s="27"/>
      <c r="N2096" s="48"/>
    </row>
    <row r="2097" spans="1:14" s="7" customFormat="1" x14ac:dyDescent="0.35">
      <c r="A2097" s="113"/>
      <c r="B2097" s="27"/>
      <c r="C2097" s="48"/>
      <c r="D2097" s="27"/>
      <c r="E2097" s="38"/>
      <c r="F2097" s="27"/>
      <c r="G2097" s="27"/>
      <c r="H2097" s="99"/>
      <c r="M2097" s="27"/>
      <c r="N2097" s="48"/>
    </row>
    <row r="2098" spans="1:14" s="7" customFormat="1" x14ac:dyDescent="0.35">
      <c r="A2098" s="113"/>
      <c r="B2098" s="27"/>
      <c r="C2098" s="48"/>
      <c r="D2098" s="27"/>
      <c r="E2098" s="38"/>
      <c r="F2098" s="27"/>
      <c r="G2098" s="27"/>
      <c r="H2098" s="99"/>
      <c r="M2098" s="27"/>
      <c r="N2098" s="48"/>
    </row>
    <row r="2099" spans="1:14" s="7" customFormat="1" x14ac:dyDescent="0.35">
      <c r="A2099" s="113"/>
      <c r="B2099" s="27"/>
      <c r="C2099" s="48"/>
      <c r="D2099" s="27"/>
      <c r="E2099" s="38"/>
      <c r="F2099" s="27"/>
      <c r="G2099" s="27"/>
      <c r="H2099" s="99"/>
      <c r="M2099" s="27"/>
      <c r="N2099" s="48"/>
    </row>
    <row r="2100" spans="1:14" s="7" customFormat="1" x14ac:dyDescent="0.35">
      <c r="A2100" s="113"/>
      <c r="B2100" s="27"/>
      <c r="C2100" s="48"/>
      <c r="D2100" s="27"/>
      <c r="E2100" s="38"/>
      <c r="F2100" s="27"/>
      <c r="G2100" s="27"/>
      <c r="H2100" s="99"/>
      <c r="M2100" s="27"/>
      <c r="N2100" s="48"/>
    </row>
    <row r="2101" spans="1:14" s="7" customFormat="1" x14ac:dyDescent="0.35">
      <c r="A2101" s="113"/>
      <c r="B2101" s="27"/>
      <c r="C2101" s="48"/>
      <c r="D2101" s="27"/>
      <c r="E2101" s="38"/>
      <c r="F2101" s="27"/>
      <c r="G2101" s="27"/>
      <c r="H2101" s="99"/>
      <c r="M2101" s="27"/>
      <c r="N2101" s="48"/>
    </row>
    <row r="2102" spans="1:14" s="7" customFormat="1" x14ac:dyDescent="0.35">
      <c r="A2102" s="113"/>
      <c r="B2102" s="27"/>
      <c r="C2102" s="48"/>
      <c r="D2102" s="27"/>
      <c r="E2102" s="38"/>
      <c r="F2102" s="27"/>
      <c r="G2102" s="27"/>
      <c r="H2102" s="99"/>
      <c r="M2102" s="27"/>
      <c r="N2102" s="48"/>
    </row>
    <row r="2103" spans="1:14" s="7" customFormat="1" x14ac:dyDescent="0.35">
      <c r="A2103" s="113"/>
      <c r="B2103" s="27"/>
      <c r="C2103" s="48"/>
      <c r="D2103" s="27"/>
      <c r="E2103" s="38"/>
      <c r="F2103" s="27"/>
      <c r="G2103" s="27"/>
      <c r="H2103" s="99"/>
      <c r="M2103" s="27"/>
      <c r="N2103" s="48"/>
    </row>
    <row r="2104" spans="1:14" s="7" customFormat="1" x14ac:dyDescent="0.35">
      <c r="A2104" s="113"/>
      <c r="B2104" s="27"/>
      <c r="C2104" s="48"/>
      <c r="D2104" s="27"/>
      <c r="E2104" s="38"/>
      <c r="F2104" s="27"/>
      <c r="G2104" s="27"/>
      <c r="H2104" s="99"/>
      <c r="M2104" s="27"/>
      <c r="N2104" s="48"/>
    </row>
    <row r="2105" spans="1:14" s="7" customFormat="1" x14ac:dyDescent="0.35">
      <c r="A2105" s="113"/>
      <c r="B2105" s="27"/>
      <c r="C2105" s="48"/>
      <c r="D2105" s="27"/>
      <c r="E2105" s="38"/>
      <c r="F2105" s="27"/>
      <c r="G2105" s="27"/>
      <c r="H2105" s="99"/>
      <c r="M2105" s="27"/>
      <c r="N2105" s="48"/>
    </row>
    <row r="2106" spans="1:14" s="7" customFormat="1" x14ac:dyDescent="0.35">
      <c r="A2106" s="113"/>
      <c r="B2106" s="27"/>
      <c r="C2106" s="48"/>
      <c r="D2106" s="27"/>
      <c r="E2106" s="38"/>
      <c r="F2106" s="27"/>
      <c r="G2106" s="27"/>
      <c r="H2106" s="99"/>
      <c r="M2106" s="27"/>
      <c r="N2106" s="48"/>
    </row>
    <row r="2107" spans="1:14" s="7" customFormat="1" x14ac:dyDescent="0.35">
      <c r="A2107" s="113"/>
      <c r="B2107" s="27"/>
      <c r="C2107" s="48"/>
      <c r="D2107" s="27"/>
      <c r="E2107" s="38"/>
      <c r="F2107" s="27"/>
      <c r="G2107" s="27"/>
      <c r="H2107" s="99"/>
      <c r="M2107" s="27"/>
      <c r="N2107" s="48"/>
    </row>
    <row r="2108" spans="1:14" s="7" customFormat="1" x14ac:dyDescent="0.35">
      <c r="A2108" s="113"/>
      <c r="B2108" s="27"/>
      <c r="C2108" s="48"/>
      <c r="D2108" s="27"/>
      <c r="E2108" s="38"/>
      <c r="F2108" s="27"/>
      <c r="G2108" s="27"/>
      <c r="H2108" s="99"/>
      <c r="M2108" s="27"/>
      <c r="N2108" s="48"/>
    </row>
    <row r="2109" spans="1:14" s="7" customFormat="1" x14ac:dyDescent="0.35">
      <c r="A2109" s="113"/>
      <c r="B2109" s="27"/>
      <c r="C2109" s="48"/>
      <c r="D2109" s="27"/>
      <c r="E2109" s="38"/>
      <c r="F2109" s="27"/>
      <c r="G2109" s="27"/>
      <c r="H2109" s="99"/>
      <c r="M2109" s="27"/>
      <c r="N2109" s="48"/>
    </row>
    <row r="2110" spans="1:14" s="7" customFormat="1" x14ac:dyDescent="0.35">
      <c r="A2110" s="113"/>
      <c r="B2110" s="27"/>
      <c r="C2110" s="48"/>
      <c r="D2110" s="27"/>
      <c r="E2110" s="38"/>
      <c r="F2110" s="27"/>
      <c r="G2110" s="27"/>
      <c r="H2110" s="99"/>
      <c r="M2110" s="27"/>
      <c r="N2110" s="48"/>
    </row>
    <row r="2111" spans="1:14" s="7" customFormat="1" x14ac:dyDescent="0.35">
      <c r="A2111" s="113"/>
      <c r="B2111" s="27"/>
      <c r="C2111" s="48"/>
      <c r="D2111" s="27"/>
      <c r="E2111" s="38"/>
      <c r="F2111" s="27"/>
      <c r="G2111" s="27"/>
      <c r="H2111" s="99"/>
      <c r="M2111" s="27"/>
      <c r="N2111" s="48"/>
    </row>
    <row r="2112" spans="1:14" s="7" customFormat="1" x14ac:dyDescent="0.35">
      <c r="A2112" s="113"/>
      <c r="B2112" s="27"/>
      <c r="C2112" s="48"/>
      <c r="D2112" s="27"/>
      <c r="E2112" s="38"/>
      <c r="F2112" s="27"/>
      <c r="G2112" s="27"/>
      <c r="H2112" s="99"/>
      <c r="M2112" s="27"/>
      <c r="N2112" s="48"/>
    </row>
    <row r="2113" spans="1:14" s="7" customFormat="1" x14ac:dyDescent="0.35">
      <c r="A2113" s="113"/>
      <c r="B2113" s="27"/>
      <c r="C2113" s="48"/>
      <c r="D2113" s="27"/>
      <c r="E2113" s="38"/>
      <c r="F2113" s="27"/>
      <c r="G2113" s="27"/>
      <c r="H2113" s="99"/>
      <c r="M2113" s="27"/>
      <c r="N2113" s="48"/>
    </row>
    <row r="2114" spans="1:14" s="7" customFormat="1" x14ac:dyDescent="0.35">
      <c r="A2114" s="113"/>
      <c r="B2114" s="27"/>
      <c r="C2114" s="48"/>
      <c r="D2114" s="27"/>
      <c r="E2114" s="38"/>
      <c r="F2114" s="27"/>
      <c r="G2114" s="27"/>
      <c r="H2114" s="99"/>
      <c r="M2114" s="27"/>
      <c r="N2114" s="48"/>
    </row>
    <row r="2115" spans="1:14" s="7" customFormat="1" x14ac:dyDescent="0.35">
      <c r="A2115" s="113"/>
      <c r="B2115" s="27"/>
      <c r="C2115" s="48"/>
      <c r="D2115" s="27"/>
      <c r="E2115" s="38"/>
      <c r="F2115" s="27"/>
      <c r="G2115" s="27"/>
      <c r="H2115" s="99"/>
      <c r="M2115" s="27"/>
      <c r="N2115" s="48"/>
    </row>
    <row r="2116" spans="1:14" s="7" customFormat="1" x14ac:dyDescent="0.35">
      <c r="A2116" s="113"/>
      <c r="B2116" s="27"/>
      <c r="C2116" s="48"/>
      <c r="D2116" s="27"/>
      <c r="E2116" s="38"/>
      <c r="F2116" s="27"/>
      <c r="G2116" s="27"/>
      <c r="H2116" s="99"/>
      <c r="M2116" s="27"/>
      <c r="N2116" s="48"/>
    </row>
    <row r="2117" spans="1:14" s="7" customFormat="1" x14ac:dyDescent="0.35">
      <c r="A2117" s="113"/>
      <c r="B2117" s="27"/>
      <c r="C2117" s="48"/>
      <c r="D2117" s="27"/>
      <c r="E2117" s="38"/>
      <c r="F2117" s="27"/>
      <c r="G2117" s="27"/>
      <c r="H2117" s="99"/>
      <c r="M2117" s="27"/>
      <c r="N2117" s="48"/>
    </row>
    <row r="2118" spans="1:14" s="7" customFormat="1" x14ac:dyDescent="0.35">
      <c r="A2118" s="113"/>
      <c r="B2118" s="27"/>
      <c r="C2118" s="48"/>
      <c r="D2118" s="27"/>
      <c r="E2118" s="38"/>
      <c r="F2118" s="27"/>
      <c r="G2118" s="27"/>
      <c r="H2118" s="99"/>
      <c r="M2118" s="27"/>
      <c r="N2118" s="48"/>
    </row>
    <row r="2119" spans="1:14" s="7" customFormat="1" x14ac:dyDescent="0.35">
      <c r="A2119" s="113"/>
      <c r="B2119" s="27"/>
      <c r="C2119" s="48"/>
      <c r="D2119" s="27"/>
      <c r="E2119" s="38"/>
      <c r="F2119" s="27"/>
      <c r="G2119" s="27"/>
      <c r="H2119" s="99"/>
      <c r="M2119" s="27"/>
      <c r="N2119" s="48"/>
    </row>
    <row r="2120" spans="1:14" s="7" customFormat="1" x14ac:dyDescent="0.35">
      <c r="A2120" s="113"/>
      <c r="B2120" s="27"/>
      <c r="C2120" s="48"/>
      <c r="D2120" s="27"/>
      <c r="E2120" s="38"/>
      <c r="F2120" s="27"/>
      <c r="G2120" s="27"/>
      <c r="H2120" s="99"/>
      <c r="M2120" s="27"/>
      <c r="N2120" s="48"/>
    </row>
    <row r="2121" spans="1:14" s="7" customFormat="1" x14ac:dyDescent="0.35">
      <c r="A2121" s="113"/>
      <c r="B2121" s="27"/>
      <c r="C2121" s="48"/>
      <c r="D2121" s="27"/>
      <c r="E2121" s="38"/>
      <c r="F2121" s="27"/>
      <c r="G2121" s="27"/>
      <c r="H2121" s="99"/>
      <c r="M2121" s="27"/>
      <c r="N2121" s="48"/>
    </row>
    <row r="2122" spans="1:14" s="7" customFormat="1" x14ac:dyDescent="0.35">
      <c r="A2122" s="113"/>
      <c r="B2122" s="27"/>
      <c r="C2122" s="48"/>
      <c r="D2122" s="27"/>
      <c r="E2122" s="38"/>
      <c r="F2122" s="27"/>
      <c r="G2122" s="27"/>
      <c r="H2122" s="99"/>
      <c r="M2122" s="27"/>
      <c r="N2122" s="48"/>
    </row>
    <row r="2123" spans="1:14" s="7" customFormat="1" x14ac:dyDescent="0.35">
      <c r="A2123" s="113"/>
      <c r="B2123" s="27"/>
      <c r="C2123" s="48"/>
      <c r="D2123" s="27"/>
      <c r="E2123" s="38"/>
      <c r="F2123" s="27"/>
      <c r="G2123" s="27"/>
      <c r="H2123" s="99"/>
      <c r="M2123" s="27"/>
      <c r="N2123" s="48"/>
    </row>
    <row r="2124" spans="1:14" s="7" customFormat="1" x14ac:dyDescent="0.35">
      <c r="A2124" s="113"/>
      <c r="B2124" s="27"/>
      <c r="C2124" s="48"/>
      <c r="D2124" s="27"/>
      <c r="E2124" s="38"/>
      <c r="F2124" s="27"/>
      <c r="G2124" s="27"/>
      <c r="H2124" s="99"/>
      <c r="M2124" s="27"/>
      <c r="N2124" s="48"/>
    </row>
    <row r="2125" spans="1:14" s="7" customFormat="1" x14ac:dyDescent="0.35">
      <c r="A2125" s="113"/>
      <c r="B2125" s="27"/>
      <c r="C2125" s="48"/>
      <c r="D2125" s="27"/>
      <c r="E2125" s="38"/>
      <c r="F2125" s="27"/>
      <c r="G2125" s="27"/>
      <c r="H2125" s="99"/>
      <c r="M2125" s="27"/>
      <c r="N2125" s="48"/>
    </row>
    <row r="2126" spans="1:14" s="7" customFormat="1" x14ac:dyDescent="0.35">
      <c r="A2126" s="113"/>
      <c r="B2126" s="27"/>
      <c r="C2126" s="48"/>
      <c r="D2126" s="27"/>
      <c r="E2126" s="38"/>
      <c r="F2126" s="27"/>
      <c r="G2126" s="27"/>
      <c r="H2126" s="99"/>
      <c r="M2126" s="27"/>
      <c r="N2126" s="48"/>
    </row>
    <row r="2127" spans="1:14" s="7" customFormat="1" x14ac:dyDescent="0.35">
      <c r="A2127" s="113"/>
      <c r="B2127" s="27"/>
      <c r="C2127" s="48"/>
      <c r="D2127" s="27"/>
      <c r="E2127" s="38"/>
      <c r="F2127" s="27"/>
      <c r="G2127" s="27"/>
      <c r="H2127" s="99"/>
      <c r="M2127" s="27"/>
      <c r="N2127" s="48"/>
    </row>
    <row r="2128" spans="1:14" s="7" customFormat="1" x14ac:dyDescent="0.35">
      <c r="A2128" s="113"/>
      <c r="B2128" s="27"/>
      <c r="C2128" s="48"/>
      <c r="D2128" s="27"/>
      <c r="E2128" s="38"/>
      <c r="F2128" s="27"/>
      <c r="G2128" s="27"/>
      <c r="H2128" s="99"/>
      <c r="M2128" s="27"/>
      <c r="N2128" s="48"/>
    </row>
    <row r="2129" spans="1:14" s="7" customFormat="1" x14ac:dyDescent="0.35">
      <c r="A2129" s="113"/>
      <c r="B2129" s="27"/>
      <c r="C2129" s="48"/>
      <c r="D2129" s="27"/>
      <c r="E2129" s="38"/>
      <c r="F2129" s="27"/>
      <c r="G2129" s="27"/>
      <c r="H2129" s="99"/>
      <c r="M2129" s="27"/>
      <c r="N2129" s="48"/>
    </row>
    <row r="2130" spans="1:14" s="7" customFormat="1" x14ac:dyDescent="0.35">
      <c r="A2130" s="113"/>
      <c r="B2130" s="27"/>
      <c r="C2130" s="48"/>
      <c r="D2130" s="27"/>
      <c r="E2130" s="38"/>
      <c r="F2130" s="27"/>
      <c r="G2130" s="27"/>
      <c r="H2130" s="99"/>
      <c r="M2130" s="27"/>
      <c r="N2130" s="48"/>
    </row>
    <row r="2131" spans="1:14" s="7" customFormat="1" x14ac:dyDescent="0.35">
      <c r="A2131" s="113"/>
      <c r="B2131" s="27"/>
      <c r="C2131" s="48"/>
      <c r="D2131" s="27"/>
      <c r="E2131" s="38"/>
      <c r="F2131" s="27"/>
      <c r="G2131" s="27"/>
      <c r="H2131" s="99"/>
      <c r="M2131" s="27"/>
      <c r="N2131" s="48"/>
    </row>
    <row r="2132" spans="1:14" s="7" customFormat="1" x14ac:dyDescent="0.35">
      <c r="A2132" s="113"/>
      <c r="B2132" s="27"/>
      <c r="C2132" s="48"/>
      <c r="D2132" s="27"/>
      <c r="E2132" s="38"/>
      <c r="F2132" s="27"/>
      <c r="G2132" s="27"/>
      <c r="H2132" s="99"/>
      <c r="M2132" s="27"/>
      <c r="N2132" s="48"/>
    </row>
    <row r="2133" spans="1:14" s="7" customFormat="1" x14ac:dyDescent="0.35">
      <c r="A2133" s="113"/>
      <c r="B2133" s="27"/>
      <c r="C2133" s="48"/>
      <c r="D2133" s="27"/>
      <c r="E2133" s="38"/>
      <c r="F2133" s="27"/>
      <c r="G2133" s="27"/>
      <c r="H2133" s="99"/>
      <c r="M2133" s="27"/>
      <c r="N2133" s="48"/>
    </row>
    <row r="2134" spans="1:14" s="7" customFormat="1" x14ac:dyDescent="0.35">
      <c r="A2134" s="113"/>
      <c r="B2134" s="27"/>
      <c r="C2134" s="48"/>
      <c r="D2134" s="27"/>
      <c r="E2134" s="38"/>
      <c r="F2134" s="27"/>
      <c r="G2134" s="27"/>
      <c r="H2134" s="99"/>
      <c r="M2134" s="27"/>
      <c r="N2134" s="48"/>
    </row>
    <row r="2135" spans="1:14" s="7" customFormat="1" x14ac:dyDescent="0.35">
      <c r="A2135" s="113"/>
      <c r="B2135" s="27"/>
      <c r="C2135" s="48"/>
      <c r="D2135" s="27"/>
      <c r="E2135" s="38"/>
      <c r="F2135" s="27"/>
      <c r="G2135" s="27"/>
      <c r="H2135" s="99"/>
      <c r="M2135" s="27"/>
      <c r="N2135" s="48"/>
    </row>
    <row r="2136" spans="1:14" s="7" customFormat="1" x14ac:dyDescent="0.35">
      <c r="A2136" s="113"/>
      <c r="B2136" s="27"/>
      <c r="C2136" s="48"/>
      <c r="D2136" s="27"/>
      <c r="E2136" s="38"/>
      <c r="F2136" s="27"/>
      <c r="G2136" s="27"/>
      <c r="H2136" s="99"/>
      <c r="M2136" s="27"/>
      <c r="N2136" s="48"/>
    </row>
    <row r="2137" spans="1:14" s="7" customFormat="1" x14ac:dyDescent="0.35">
      <c r="A2137" s="113"/>
      <c r="B2137" s="27"/>
      <c r="C2137" s="48"/>
      <c r="D2137" s="27"/>
      <c r="E2137" s="38"/>
      <c r="F2137" s="27"/>
      <c r="G2137" s="27"/>
      <c r="H2137" s="99"/>
      <c r="M2137" s="27"/>
      <c r="N2137" s="48"/>
    </row>
    <row r="2138" spans="1:14" s="7" customFormat="1" x14ac:dyDescent="0.35">
      <c r="A2138" s="113"/>
      <c r="B2138" s="27"/>
      <c r="C2138" s="48"/>
      <c r="D2138" s="27"/>
      <c r="E2138" s="38"/>
      <c r="F2138" s="27"/>
      <c r="G2138" s="27"/>
      <c r="H2138" s="99"/>
      <c r="M2138" s="27"/>
      <c r="N2138" s="48"/>
    </row>
    <row r="2139" spans="1:14" s="7" customFormat="1" x14ac:dyDescent="0.35">
      <c r="A2139" s="113"/>
      <c r="B2139" s="27"/>
      <c r="C2139" s="48"/>
      <c r="D2139" s="27"/>
      <c r="E2139" s="38"/>
      <c r="F2139" s="27"/>
      <c r="G2139" s="27"/>
      <c r="H2139" s="99"/>
      <c r="M2139" s="27"/>
      <c r="N2139" s="48"/>
    </row>
    <row r="2140" spans="1:14" s="7" customFormat="1" x14ac:dyDescent="0.35">
      <c r="A2140" s="113"/>
      <c r="B2140" s="27"/>
      <c r="C2140" s="48"/>
      <c r="D2140" s="27"/>
      <c r="E2140" s="38"/>
      <c r="F2140" s="27"/>
      <c r="G2140" s="27"/>
      <c r="H2140" s="99"/>
      <c r="M2140" s="27"/>
      <c r="N2140" s="48"/>
    </row>
    <row r="2141" spans="1:14" s="7" customFormat="1" x14ac:dyDescent="0.35">
      <c r="A2141" s="113"/>
      <c r="B2141" s="27"/>
      <c r="C2141" s="48"/>
      <c r="D2141" s="27"/>
      <c r="E2141" s="38"/>
      <c r="F2141" s="27"/>
      <c r="G2141" s="27"/>
      <c r="H2141" s="99"/>
      <c r="M2141" s="27"/>
      <c r="N2141" s="48"/>
    </row>
    <row r="2142" spans="1:14" s="7" customFormat="1" x14ac:dyDescent="0.35">
      <c r="A2142" s="113"/>
      <c r="B2142" s="27"/>
      <c r="C2142" s="48"/>
      <c r="D2142" s="27"/>
      <c r="E2142" s="38"/>
      <c r="F2142" s="27"/>
      <c r="G2142" s="27"/>
      <c r="H2142" s="99"/>
      <c r="M2142" s="27"/>
      <c r="N2142" s="48"/>
    </row>
    <row r="2143" spans="1:14" s="7" customFormat="1" x14ac:dyDescent="0.35">
      <c r="A2143" s="113"/>
      <c r="B2143" s="27"/>
      <c r="C2143" s="48"/>
      <c r="D2143" s="27"/>
      <c r="E2143" s="38"/>
      <c r="F2143" s="27"/>
      <c r="G2143" s="27"/>
      <c r="H2143" s="99"/>
      <c r="M2143" s="27"/>
      <c r="N2143" s="48"/>
    </row>
    <row r="2144" spans="1:14" s="7" customFormat="1" x14ac:dyDescent="0.35">
      <c r="A2144" s="113"/>
      <c r="B2144" s="27"/>
      <c r="C2144" s="48"/>
      <c r="D2144" s="27"/>
      <c r="E2144" s="38"/>
      <c r="F2144" s="27"/>
      <c r="G2144" s="27"/>
      <c r="H2144" s="99"/>
      <c r="M2144" s="27"/>
      <c r="N2144" s="48"/>
    </row>
    <row r="2145" spans="1:14" s="7" customFormat="1" x14ac:dyDescent="0.35">
      <c r="A2145" s="113"/>
      <c r="B2145" s="27"/>
      <c r="C2145" s="48"/>
      <c r="D2145" s="27"/>
      <c r="E2145" s="38"/>
      <c r="F2145" s="27"/>
      <c r="G2145" s="27"/>
      <c r="H2145" s="99"/>
      <c r="M2145" s="27"/>
      <c r="N2145" s="48"/>
    </row>
    <row r="2146" spans="1:14" s="7" customFormat="1" x14ac:dyDescent="0.35">
      <c r="A2146" s="113"/>
      <c r="B2146" s="27"/>
      <c r="C2146" s="48"/>
      <c r="D2146" s="27"/>
      <c r="E2146" s="38"/>
      <c r="F2146" s="27"/>
      <c r="G2146" s="27"/>
      <c r="H2146" s="99"/>
      <c r="M2146" s="27"/>
      <c r="N2146" s="48"/>
    </row>
    <row r="2147" spans="1:14" s="7" customFormat="1" x14ac:dyDescent="0.35">
      <c r="A2147" s="113"/>
      <c r="B2147" s="27"/>
      <c r="C2147" s="48"/>
      <c r="D2147" s="27"/>
      <c r="E2147" s="38"/>
      <c r="F2147" s="27"/>
      <c r="G2147" s="27"/>
      <c r="H2147" s="99"/>
      <c r="M2147" s="27"/>
      <c r="N2147" s="48"/>
    </row>
    <row r="2148" spans="1:14" s="7" customFormat="1" x14ac:dyDescent="0.35">
      <c r="A2148" s="113"/>
      <c r="B2148" s="27"/>
      <c r="C2148" s="48"/>
      <c r="D2148" s="27"/>
      <c r="E2148" s="38"/>
      <c r="F2148" s="27"/>
      <c r="G2148" s="27"/>
      <c r="H2148" s="99"/>
      <c r="M2148" s="27"/>
      <c r="N2148" s="48"/>
    </row>
    <row r="2149" spans="1:14" s="7" customFormat="1" x14ac:dyDescent="0.35">
      <c r="A2149" s="113"/>
      <c r="B2149" s="27"/>
      <c r="C2149" s="48"/>
      <c r="D2149" s="27"/>
      <c r="E2149" s="38"/>
      <c r="F2149" s="27"/>
      <c r="G2149" s="27"/>
      <c r="H2149" s="99"/>
      <c r="M2149" s="27"/>
      <c r="N2149" s="48"/>
    </row>
    <row r="2150" spans="1:14" s="7" customFormat="1" x14ac:dyDescent="0.35">
      <c r="A2150" s="113"/>
      <c r="B2150" s="27"/>
      <c r="C2150" s="48"/>
      <c r="D2150" s="27"/>
      <c r="E2150" s="38"/>
      <c r="F2150" s="27"/>
      <c r="G2150" s="27"/>
      <c r="H2150" s="99"/>
      <c r="M2150" s="27"/>
      <c r="N2150" s="48"/>
    </row>
    <row r="2151" spans="1:14" s="7" customFormat="1" x14ac:dyDescent="0.35">
      <c r="A2151" s="113"/>
      <c r="B2151" s="27"/>
      <c r="C2151" s="48"/>
      <c r="D2151" s="27"/>
      <c r="E2151" s="38"/>
      <c r="F2151" s="27"/>
      <c r="G2151" s="27"/>
      <c r="H2151" s="99"/>
      <c r="M2151" s="27"/>
      <c r="N2151" s="48"/>
    </row>
    <row r="2152" spans="1:14" s="7" customFormat="1" x14ac:dyDescent="0.35">
      <c r="A2152" s="113"/>
      <c r="B2152" s="27"/>
      <c r="C2152" s="48"/>
      <c r="D2152" s="27"/>
      <c r="E2152" s="38"/>
      <c r="F2152" s="27"/>
      <c r="G2152" s="27"/>
      <c r="H2152" s="99"/>
      <c r="M2152" s="27"/>
      <c r="N2152" s="48"/>
    </row>
    <row r="2153" spans="1:14" s="7" customFormat="1" x14ac:dyDescent="0.35">
      <c r="A2153" s="113"/>
      <c r="B2153" s="27"/>
      <c r="C2153" s="48"/>
      <c r="D2153" s="27"/>
      <c r="E2153" s="38"/>
      <c r="F2153" s="27"/>
      <c r="G2153" s="27"/>
      <c r="H2153" s="99"/>
      <c r="M2153" s="27"/>
      <c r="N2153" s="48"/>
    </row>
    <row r="2154" spans="1:14" s="7" customFormat="1" x14ac:dyDescent="0.35">
      <c r="A2154" s="113"/>
      <c r="B2154" s="27"/>
      <c r="C2154" s="48"/>
      <c r="D2154" s="27"/>
      <c r="E2154" s="38"/>
      <c r="F2154" s="27"/>
      <c r="G2154" s="27"/>
      <c r="H2154" s="99"/>
      <c r="M2154" s="27"/>
      <c r="N2154" s="48"/>
    </row>
    <row r="2155" spans="1:14" s="7" customFormat="1" x14ac:dyDescent="0.35">
      <c r="A2155" s="113"/>
      <c r="B2155" s="27"/>
      <c r="C2155" s="48"/>
      <c r="D2155" s="27"/>
      <c r="E2155" s="38"/>
      <c r="F2155" s="27"/>
      <c r="G2155" s="27"/>
      <c r="H2155" s="99"/>
      <c r="M2155" s="27"/>
      <c r="N2155" s="48"/>
    </row>
    <row r="2156" spans="1:14" s="7" customFormat="1" x14ac:dyDescent="0.35">
      <c r="A2156" s="113"/>
      <c r="B2156" s="27"/>
      <c r="C2156" s="48"/>
      <c r="D2156" s="27"/>
      <c r="E2156" s="38"/>
      <c r="F2156" s="27"/>
      <c r="G2156" s="27"/>
      <c r="H2156" s="99"/>
      <c r="M2156" s="27"/>
      <c r="N2156" s="48"/>
    </row>
    <row r="2157" spans="1:14" s="7" customFormat="1" x14ac:dyDescent="0.35">
      <c r="A2157" s="113"/>
      <c r="B2157" s="27"/>
      <c r="C2157" s="48"/>
      <c r="D2157" s="27"/>
      <c r="E2157" s="38"/>
      <c r="F2157" s="27"/>
      <c r="G2157" s="27"/>
      <c r="H2157" s="99"/>
      <c r="M2157" s="27"/>
      <c r="N2157" s="48"/>
    </row>
    <row r="2158" spans="1:14" s="7" customFormat="1" x14ac:dyDescent="0.35">
      <c r="A2158" s="113"/>
      <c r="B2158" s="27"/>
      <c r="C2158" s="48"/>
      <c r="D2158" s="27"/>
      <c r="E2158" s="38"/>
      <c r="F2158" s="27"/>
      <c r="G2158" s="27"/>
      <c r="H2158" s="99"/>
      <c r="M2158" s="27"/>
      <c r="N2158" s="48"/>
    </row>
    <row r="2159" spans="1:14" s="7" customFormat="1" x14ac:dyDescent="0.35">
      <c r="A2159" s="113"/>
      <c r="B2159" s="27"/>
      <c r="C2159" s="48"/>
      <c r="D2159" s="27"/>
      <c r="E2159" s="38"/>
      <c r="F2159" s="27"/>
      <c r="G2159" s="27"/>
      <c r="H2159" s="99"/>
      <c r="M2159" s="27"/>
      <c r="N2159" s="48"/>
    </row>
    <row r="2160" spans="1:14" s="7" customFormat="1" x14ac:dyDescent="0.35">
      <c r="A2160" s="113"/>
      <c r="B2160" s="27"/>
      <c r="C2160" s="48"/>
      <c r="D2160" s="27"/>
      <c r="E2160" s="38"/>
      <c r="F2160" s="27"/>
      <c r="G2160" s="27"/>
      <c r="H2160" s="99"/>
      <c r="M2160" s="27"/>
      <c r="N2160" s="48"/>
    </row>
    <row r="2161" spans="1:14" s="7" customFormat="1" x14ac:dyDescent="0.35">
      <c r="A2161" s="113"/>
      <c r="B2161" s="27"/>
      <c r="C2161" s="48"/>
      <c r="D2161" s="27"/>
      <c r="E2161" s="38"/>
      <c r="F2161" s="27"/>
      <c r="G2161" s="27"/>
      <c r="H2161" s="99"/>
      <c r="M2161" s="27"/>
      <c r="N2161" s="48"/>
    </row>
    <row r="2162" spans="1:14" s="7" customFormat="1" x14ac:dyDescent="0.35">
      <c r="A2162" s="113"/>
      <c r="B2162" s="27"/>
      <c r="C2162" s="48"/>
      <c r="D2162" s="27"/>
      <c r="E2162" s="38"/>
      <c r="F2162" s="27"/>
      <c r="G2162" s="27"/>
      <c r="H2162" s="99"/>
      <c r="M2162" s="27"/>
      <c r="N2162" s="48"/>
    </row>
    <row r="2163" spans="1:14" s="7" customFormat="1" x14ac:dyDescent="0.35">
      <c r="A2163" s="113"/>
      <c r="B2163" s="27"/>
      <c r="C2163" s="48"/>
      <c r="D2163" s="27"/>
      <c r="E2163" s="38"/>
      <c r="F2163" s="27"/>
      <c r="G2163" s="27"/>
      <c r="H2163" s="99"/>
      <c r="M2163" s="27"/>
      <c r="N2163" s="48"/>
    </row>
    <row r="2164" spans="1:14" s="7" customFormat="1" x14ac:dyDescent="0.35">
      <c r="A2164" s="113"/>
      <c r="B2164" s="27"/>
      <c r="C2164" s="48"/>
      <c r="D2164" s="27"/>
      <c r="E2164" s="38"/>
      <c r="F2164" s="27"/>
      <c r="G2164" s="27"/>
      <c r="H2164" s="99"/>
      <c r="M2164" s="27"/>
      <c r="N2164" s="48"/>
    </row>
    <row r="2165" spans="1:14" s="7" customFormat="1" x14ac:dyDescent="0.35">
      <c r="A2165" s="113"/>
      <c r="B2165" s="27"/>
      <c r="C2165" s="48"/>
      <c r="D2165" s="27"/>
      <c r="E2165" s="38"/>
      <c r="F2165" s="27"/>
      <c r="G2165" s="27"/>
      <c r="H2165" s="99"/>
      <c r="M2165" s="27"/>
      <c r="N2165" s="48"/>
    </row>
    <row r="2166" spans="1:14" s="7" customFormat="1" x14ac:dyDescent="0.35">
      <c r="A2166" s="113"/>
      <c r="B2166" s="27"/>
      <c r="C2166" s="48"/>
      <c r="D2166" s="27"/>
      <c r="E2166" s="38"/>
      <c r="F2166" s="27"/>
      <c r="G2166" s="27"/>
      <c r="H2166" s="99"/>
      <c r="M2166" s="27"/>
      <c r="N2166" s="48"/>
    </row>
    <row r="2167" spans="1:14" s="7" customFormat="1" x14ac:dyDescent="0.35">
      <c r="A2167" s="113"/>
      <c r="B2167" s="27"/>
      <c r="C2167" s="48"/>
      <c r="D2167" s="27"/>
      <c r="E2167" s="38"/>
      <c r="F2167" s="27"/>
      <c r="G2167" s="27"/>
      <c r="H2167" s="99"/>
      <c r="M2167" s="27"/>
      <c r="N2167" s="48"/>
    </row>
    <row r="2168" spans="1:14" s="7" customFormat="1" x14ac:dyDescent="0.35">
      <c r="A2168" s="113"/>
      <c r="B2168" s="27"/>
      <c r="C2168" s="48"/>
      <c r="D2168" s="27"/>
      <c r="E2168" s="38"/>
      <c r="F2168" s="27"/>
      <c r="G2168" s="27"/>
      <c r="H2168" s="99"/>
      <c r="M2168" s="27"/>
      <c r="N2168" s="48"/>
    </row>
    <row r="2169" spans="1:14" s="7" customFormat="1" x14ac:dyDescent="0.35">
      <c r="A2169" s="113"/>
      <c r="B2169" s="27"/>
      <c r="C2169" s="48"/>
      <c r="D2169" s="27"/>
      <c r="E2169" s="38"/>
      <c r="F2169" s="27"/>
      <c r="G2169" s="27"/>
      <c r="H2169" s="99"/>
      <c r="M2169" s="27"/>
      <c r="N2169" s="48"/>
    </row>
    <row r="2170" spans="1:14" s="7" customFormat="1" x14ac:dyDescent="0.35">
      <c r="A2170" s="113"/>
      <c r="B2170" s="27"/>
      <c r="C2170" s="48"/>
      <c r="D2170" s="27"/>
      <c r="E2170" s="38"/>
      <c r="F2170" s="27"/>
      <c r="G2170" s="27"/>
      <c r="H2170" s="99"/>
      <c r="M2170" s="27"/>
      <c r="N2170" s="48"/>
    </row>
    <row r="2171" spans="1:14" s="7" customFormat="1" x14ac:dyDescent="0.35">
      <c r="A2171" s="113"/>
      <c r="B2171" s="27"/>
      <c r="C2171" s="48"/>
      <c r="D2171" s="27"/>
      <c r="E2171" s="38"/>
      <c r="F2171" s="27"/>
      <c r="G2171" s="27"/>
      <c r="H2171" s="99"/>
      <c r="M2171" s="27"/>
      <c r="N2171" s="48"/>
    </row>
    <row r="2172" spans="1:14" s="7" customFormat="1" x14ac:dyDescent="0.35">
      <c r="A2172" s="113"/>
      <c r="B2172" s="27"/>
      <c r="C2172" s="48"/>
      <c r="D2172" s="27"/>
      <c r="E2172" s="38"/>
      <c r="F2172" s="27"/>
      <c r="G2172" s="27"/>
      <c r="H2172" s="99"/>
      <c r="M2172" s="27"/>
      <c r="N2172" s="48"/>
    </row>
    <row r="2173" spans="1:14" s="7" customFormat="1" x14ac:dyDescent="0.35">
      <c r="A2173" s="113"/>
      <c r="B2173" s="27"/>
      <c r="C2173" s="48"/>
      <c r="D2173" s="27"/>
      <c r="E2173" s="38"/>
      <c r="F2173" s="27"/>
      <c r="G2173" s="27"/>
      <c r="H2173" s="99"/>
      <c r="M2173" s="27"/>
      <c r="N2173" s="48"/>
    </row>
    <row r="2174" spans="1:14" s="7" customFormat="1" x14ac:dyDescent="0.35">
      <c r="A2174" s="113"/>
      <c r="B2174" s="27"/>
      <c r="C2174" s="48"/>
      <c r="D2174" s="27"/>
      <c r="E2174" s="38"/>
      <c r="F2174" s="27"/>
      <c r="G2174" s="27"/>
      <c r="H2174" s="99"/>
      <c r="M2174" s="27"/>
      <c r="N2174" s="48"/>
    </row>
    <row r="2175" spans="1:14" s="7" customFormat="1" x14ac:dyDescent="0.35">
      <c r="A2175" s="113"/>
      <c r="B2175" s="27"/>
      <c r="C2175" s="48"/>
      <c r="D2175" s="27"/>
      <c r="E2175" s="38"/>
      <c r="F2175" s="27"/>
      <c r="G2175" s="27"/>
      <c r="H2175" s="99"/>
      <c r="M2175" s="27"/>
      <c r="N2175" s="48"/>
    </row>
    <row r="2176" spans="1:14" s="7" customFormat="1" x14ac:dyDescent="0.35">
      <c r="A2176" s="113"/>
      <c r="B2176" s="27"/>
      <c r="C2176" s="48"/>
      <c r="D2176" s="27"/>
      <c r="E2176" s="38"/>
      <c r="F2176" s="27"/>
      <c r="G2176" s="27"/>
      <c r="H2176" s="99"/>
      <c r="M2176" s="27"/>
      <c r="N2176" s="48"/>
    </row>
    <row r="2177" spans="1:14" s="7" customFormat="1" x14ac:dyDescent="0.35">
      <c r="A2177" s="113"/>
      <c r="B2177" s="27"/>
      <c r="C2177" s="48"/>
      <c r="D2177" s="27"/>
      <c r="E2177" s="38"/>
      <c r="F2177" s="27"/>
      <c r="G2177" s="27"/>
      <c r="H2177" s="99"/>
      <c r="M2177" s="27"/>
      <c r="N2177" s="48"/>
    </row>
    <row r="2178" spans="1:14" s="7" customFormat="1" x14ac:dyDescent="0.35">
      <c r="A2178" s="113"/>
      <c r="B2178" s="27"/>
      <c r="C2178" s="48"/>
      <c r="D2178" s="27"/>
      <c r="E2178" s="38"/>
      <c r="F2178" s="27"/>
      <c r="G2178" s="27"/>
      <c r="H2178" s="99"/>
      <c r="M2178" s="27"/>
      <c r="N2178" s="48"/>
    </row>
    <row r="2179" spans="1:14" s="7" customFormat="1" x14ac:dyDescent="0.35">
      <c r="A2179" s="113"/>
      <c r="B2179" s="27"/>
      <c r="C2179" s="48"/>
      <c r="D2179" s="27"/>
      <c r="E2179" s="38"/>
      <c r="F2179" s="27"/>
      <c r="G2179" s="27"/>
      <c r="H2179" s="99"/>
      <c r="M2179" s="27"/>
      <c r="N2179" s="48"/>
    </row>
    <row r="2180" spans="1:14" s="7" customFormat="1" x14ac:dyDescent="0.35">
      <c r="A2180" s="113"/>
      <c r="B2180" s="27"/>
      <c r="C2180" s="48"/>
      <c r="D2180" s="27"/>
      <c r="E2180" s="38"/>
      <c r="F2180" s="27"/>
      <c r="G2180" s="27"/>
      <c r="H2180" s="99"/>
      <c r="M2180" s="27"/>
      <c r="N2180" s="48"/>
    </row>
    <row r="2181" spans="1:14" s="7" customFormat="1" x14ac:dyDescent="0.35">
      <c r="A2181" s="113"/>
      <c r="B2181" s="27"/>
      <c r="C2181" s="48"/>
      <c r="D2181" s="27"/>
      <c r="E2181" s="38"/>
      <c r="F2181" s="27"/>
      <c r="G2181" s="27"/>
      <c r="H2181" s="99"/>
      <c r="M2181" s="27"/>
      <c r="N2181" s="48"/>
    </row>
    <row r="2182" spans="1:14" s="7" customFormat="1" x14ac:dyDescent="0.35">
      <c r="A2182" s="113"/>
      <c r="B2182" s="27"/>
      <c r="C2182" s="48"/>
      <c r="D2182" s="27"/>
      <c r="E2182" s="38"/>
      <c r="F2182" s="27"/>
      <c r="G2182" s="27"/>
      <c r="H2182" s="99"/>
      <c r="M2182" s="27"/>
      <c r="N2182" s="48"/>
    </row>
    <row r="2183" spans="1:14" s="7" customFormat="1" x14ac:dyDescent="0.35">
      <c r="A2183" s="113"/>
      <c r="B2183" s="27"/>
      <c r="C2183" s="48"/>
      <c r="D2183" s="27"/>
      <c r="E2183" s="38"/>
      <c r="F2183" s="27"/>
      <c r="G2183" s="27"/>
      <c r="H2183" s="99"/>
      <c r="M2183" s="27"/>
      <c r="N2183" s="48"/>
    </row>
    <row r="2184" spans="1:14" s="7" customFormat="1" x14ac:dyDescent="0.35">
      <c r="A2184" s="113"/>
      <c r="B2184" s="27"/>
      <c r="C2184" s="48"/>
      <c r="D2184" s="27"/>
      <c r="E2184" s="38"/>
      <c r="F2184" s="27"/>
      <c r="G2184" s="27"/>
      <c r="H2184" s="99"/>
      <c r="M2184" s="27"/>
      <c r="N2184" s="48"/>
    </row>
    <row r="2185" spans="1:14" s="7" customFormat="1" x14ac:dyDescent="0.35">
      <c r="A2185" s="113"/>
      <c r="B2185" s="27"/>
      <c r="C2185" s="48"/>
      <c r="D2185" s="27"/>
      <c r="E2185" s="38"/>
      <c r="F2185" s="27"/>
      <c r="G2185" s="27"/>
      <c r="H2185" s="99"/>
      <c r="M2185" s="27"/>
      <c r="N2185" s="48"/>
    </row>
    <row r="2186" spans="1:14" s="7" customFormat="1" x14ac:dyDescent="0.35">
      <c r="A2186" s="113"/>
      <c r="B2186" s="27"/>
      <c r="C2186" s="48"/>
      <c r="D2186" s="27"/>
      <c r="E2186" s="38"/>
      <c r="F2186" s="27"/>
      <c r="G2186" s="27"/>
      <c r="H2186" s="99"/>
      <c r="M2186" s="27"/>
      <c r="N2186" s="48"/>
    </row>
    <row r="2187" spans="1:14" s="7" customFormat="1" x14ac:dyDescent="0.35">
      <c r="A2187" s="113"/>
      <c r="B2187" s="27"/>
      <c r="C2187" s="48"/>
      <c r="D2187" s="27"/>
      <c r="E2187" s="38"/>
      <c r="F2187" s="27"/>
      <c r="G2187" s="27"/>
      <c r="H2187" s="99"/>
      <c r="M2187" s="27"/>
      <c r="N2187" s="48"/>
    </row>
    <row r="2188" spans="1:14" s="7" customFormat="1" x14ac:dyDescent="0.35">
      <c r="A2188" s="113"/>
      <c r="B2188" s="27"/>
      <c r="C2188" s="48"/>
      <c r="D2188" s="27"/>
      <c r="E2188" s="38"/>
      <c r="F2188" s="27"/>
      <c r="G2188" s="27"/>
      <c r="H2188" s="99"/>
      <c r="M2188" s="27"/>
      <c r="N2188" s="48"/>
    </row>
    <row r="2189" spans="1:14" s="7" customFormat="1" x14ac:dyDescent="0.35">
      <c r="A2189" s="113"/>
      <c r="B2189" s="27"/>
      <c r="C2189" s="48"/>
      <c r="D2189" s="27"/>
      <c r="E2189" s="38"/>
      <c r="F2189" s="27"/>
      <c r="G2189" s="27"/>
      <c r="H2189" s="99"/>
      <c r="M2189" s="27"/>
      <c r="N2189" s="48"/>
    </row>
    <row r="2190" spans="1:14" s="7" customFormat="1" x14ac:dyDescent="0.35">
      <c r="A2190" s="113"/>
      <c r="B2190" s="27"/>
      <c r="C2190" s="48"/>
      <c r="D2190" s="27"/>
      <c r="E2190" s="38"/>
      <c r="F2190" s="27"/>
      <c r="G2190" s="27"/>
      <c r="H2190" s="99"/>
      <c r="M2190" s="27"/>
      <c r="N2190" s="48"/>
    </row>
    <row r="2191" spans="1:14" s="7" customFormat="1" x14ac:dyDescent="0.35">
      <c r="A2191" s="113"/>
      <c r="B2191" s="27"/>
      <c r="C2191" s="48"/>
      <c r="D2191" s="27"/>
      <c r="E2191" s="38"/>
      <c r="F2191" s="27"/>
      <c r="G2191" s="27"/>
      <c r="H2191" s="99"/>
      <c r="M2191" s="27"/>
      <c r="N2191" s="48"/>
    </row>
    <row r="2192" spans="1:14" s="7" customFormat="1" x14ac:dyDescent="0.35">
      <c r="A2192" s="113"/>
      <c r="B2192" s="27"/>
      <c r="C2192" s="48"/>
      <c r="D2192" s="27"/>
      <c r="E2192" s="38"/>
      <c r="F2192" s="27"/>
      <c r="G2192" s="27"/>
      <c r="H2192" s="99"/>
      <c r="M2192" s="27"/>
      <c r="N2192" s="48"/>
    </row>
    <row r="2193" spans="1:14" s="7" customFormat="1" x14ac:dyDescent="0.35">
      <c r="A2193" s="113"/>
      <c r="B2193" s="27"/>
      <c r="C2193" s="48"/>
      <c r="D2193" s="27"/>
      <c r="E2193" s="38"/>
      <c r="F2193" s="27"/>
      <c r="G2193" s="27"/>
      <c r="H2193" s="99"/>
      <c r="M2193" s="27"/>
      <c r="N2193" s="48"/>
    </row>
    <row r="2194" spans="1:14" s="7" customFormat="1" x14ac:dyDescent="0.35">
      <c r="A2194" s="113"/>
      <c r="B2194" s="27"/>
      <c r="C2194" s="48"/>
      <c r="D2194" s="27"/>
      <c r="E2194" s="38"/>
      <c r="F2194" s="27"/>
      <c r="G2194" s="27"/>
      <c r="H2194" s="99"/>
      <c r="M2194" s="27"/>
      <c r="N2194" s="48"/>
    </row>
    <row r="2195" spans="1:14" s="7" customFormat="1" x14ac:dyDescent="0.35">
      <c r="A2195" s="113"/>
      <c r="B2195" s="27"/>
      <c r="C2195" s="48"/>
      <c r="D2195" s="27"/>
      <c r="E2195" s="38"/>
      <c r="F2195" s="27"/>
      <c r="G2195" s="27"/>
      <c r="H2195" s="99"/>
      <c r="M2195" s="27"/>
      <c r="N2195" s="48"/>
    </row>
    <row r="2196" spans="1:14" s="7" customFormat="1" x14ac:dyDescent="0.35">
      <c r="A2196" s="113"/>
      <c r="B2196" s="27"/>
      <c r="C2196" s="48"/>
      <c r="D2196" s="27"/>
      <c r="E2196" s="38"/>
      <c r="F2196" s="27"/>
      <c r="G2196" s="27"/>
      <c r="H2196" s="99"/>
      <c r="M2196" s="27"/>
      <c r="N2196" s="48"/>
    </row>
    <row r="2197" spans="1:14" s="7" customFormat="1" x14ac:dyDescent="0.35">
      <c r="A2197" s="113"/>
      <c r="B2197" s="27"/>
      <c r="C2197" s="48"/>
      <c r="D2197" s="27"/>
      <c r="E2197" s="38"/>
      <c r="F2197" s="27"/>
      <c r="G2197" s="27"/>
      <c r="H2197" s="99"/>
      <c r="M2197" s="27"/>
      <c r="N2197" s="48"/>
    </row>
    <row r="2198" spans="1:14" s="7" customFormat="1" x14ac:dyDescent="0.35">
      <c r="A2198" s="113"/>
      <c r="B2198" s="27"/>
      <c r="C2198" s="48"/>
      <c r="D2198" s="27"/>
      <c r="E2198" s="38"/>
      <c r="F2198" s="27"/>
      <c r="G2198" s="27"/>
      <c r="H2198" s="99"/>
      <c r="M2198" s="27"/>
      <c r="N2198" s="48"/>
    </row>
    <row r="2199" spans="1:14" s="7" customFormat="1" x14ac:dyDescent="0.35">
      <c r="A2199" s="113"/>
      <c r="B2199" s="27"/>
      <c r="C2199" s="48"/>
      <c r="D2199" s="27"/>
      <c r="E2199" s="38"/>
      <c r="F2199" s="27"/>
      <c r="G2199" s="27"/>
      <c r="H2199" s="99"/>
      <c r="M2199" s="27"/>
      <c r="N2199" s="48"/>
    </row>
    <row r="2200" spans="1:14" s="7" customFormat="1" x14ac:dyDescent="0.35">
      <c r="A2200" s="113"/>
      <c r="B2200" s="27"/>
      <c r="C2200" s="48"/>
      <c r="D2200" s="27"/>
      <c r="E2200" s="38"/>
      <c r="F2200" s="27"/>
      <c r="G2200" s="27"/>
      <c r="H2200" s="99"/>
      <c r="M2200" s="27"/>
      <c r="N2200" s="48"/>
    </row>
    <row r="2201" spans="1:14" s="7" customFormat="1" x14ac:dyDescent="0.35">
      <c r="A2201" s="113"/>
      <c r="B2201" s="27"/>
      <c r="C2201" s="48"/>
      <c r="D2201" s="27"/>
      <c r="E2201" s="38"/>
      <c r="F2201" s="27"/>
      <c r="G2201" s="27"/>
      <c r="H2201" s="99"/>
      <c r="M2201" s="27"/>
      <c r="N2201" s="48"/>
    </row>
    <row r="2202" spans="1:14" s="7" customFormat="1" x14ac:dyDescent="0.35">
      <c r="A2202" s="113"/>
      <c r="B2202" s="27"/>
      <c r="C2202" s="48"/>
      <c r="D2202" s="27"/>
      <c r="E2202" s="38"/>
      <c r="F2202" s="27"/>
      <c r="G2202" s="27"/>
      <c r="H2202" s="99"/>
      <c r="M2202" s="27"/>
      <c r="N2202" s="48"/>
    </row>
    <row r="2203" spans="1:14" s="7" customFormat="1" x14ac:dyDescent="0.35">
      <c r="A2203" s="113"/>
      <c r="B2203" s="27"/>
      <c r="C2203" s="48"/>
      <c r="D2203" s="27"/>
      <c r="E2203" s="38"/>
      <c r="F2203" s="27"/>
      <c r="G2203" s="27"/>
      <c r="H2203" s="99"/>
      <c r="M2203" s="27"/>
      <c r="N2203" s="48"/>
    </row>
    <row r="2204" spans="1:14" s="7" customFormat="1" x14ac:dyDescent="0.35">
      <c r="A2204" s="113"/>
      <c r="B2204" s="27"/>
      <c r="C2204" s="48"/>
      <c r="D2204" s="27"/>
      <c r="E2204" s="38"/>
      <c r="F2204" s="27"/>
      <c r="G2204" s="27"/>
      <c r="H2204" s="99"/>
      <c r="M2204" s="27"/>
      <c r="N2204" s="48"/>
    </row>
    <row r="2205" spans="1:14" s="7" customFormat="1" x14ac:dyDescent="0.35">
      <c r="A2205" s="113"/>
      <c r="B2205" s="27"/>
      <c r="C2205" s="48"/>
      <c r="D2205" s="27"/>
      <c r="E2205" s="38"/>
      <c r="F2205" s="27"/>
      <c r="G2205" s="27"/>
      <c r="H2205" s="99"/>
      <c r="M2205" s="27"/>
      <c r="N2205" s="48"/>
    </row>
    <row r="2206" spans="1:14" s="7" customFormat="1" x14ac:dyDescent="0.35">
      <c r="A2206" s="113"/>
      <c r="B2206" s="27"/>
      <c r="C2206" s="48"/>
      <c r="D2206" s="27"/>
      <c r="E2206" s="38"/>
      <c r="F2206" s="27"/>
      <c r="G2206" s="27"/>
      <c r="H2206" s="99"/>
      <c r="M2206" s="27"/>
      <c r="N2206" s="48"/>
    </row>
    <row r="2207" spans="1:14" s="7" customFormat="1" x14ac:dyDescent="0.35">
      <c r="A2207" s="113"/>
      <c r="B2207" s="27"/>
      <c r="C2207" s="48"/>
      <c r="D2207" s="27"/>
      <c r="E2207" s="38"/>
      <c r="F2207" s="27"/>
      <c r="G2207" s="27"/>
      <c r="H2207" s="99"/>
      <c r="M2207" s="27"/>
      <c r="N2207" s="48"/>
    </row>
    <row r="2208" spans="1:14" s="7" customFormat="1" x14ac:dyDescent="0.35">
      <c r="A2208" s="113"/>
      <c r="B2208" s="27"/>
      <c r="C2208" s="48"/>
      <c r="D2208" s="27"/>
      <c r="E2208" s="38"/>
      <c r="F2208" s="27"/>
      <c r="G2208" s="27"/>
      <c r="H2208" s="99"/>
      <c r="M2208" s="27"/>
      <c r="N2208" s="48"/>
    </row>
    <row r="2209" spans="1:14" s="7" customFormat="1" x14ac:dyDescent="0.35">
      <c r="A2209" s="113"/>
      <c r="B2209" s="27"/>
      <c r="C2209" s="48"/>
      <c r="D2209" s="27"/>
      <c r="E2209" s="38"/>
      <c r="F2209" s="27"/>
      <c r="G2209" s="27"/>
      <c r="H2209" s="99"/>
      <c r="M2209" s="27"/>
      <c r="N2209" s="48"/>
    </row>
    <row r="2210" spans="1:14" s="7" customFormat="1" x14ac:dyDescent="0.35">
      <c r="A2210" s="113"/>
      <c r="B2210" s="27"/>
      <c r="C2210" s="48"/>
      <c r="D2210" s="27"/>
      <c r="E2210" s="38"/>
      <c r="F2210" s="27"/>
      <c r="G2210" s="27"/>
      <c r="H2210" s="99"/>
      <c r="M2210" s="27"/>
      <c r="N2210" s="48"/>
    </row>
    <row r="2211" spans="1:14" s="7" customFormat="1" x14ac:dyDescent="0.35">
      <c r="A2211" s="113"/>
      <c r="B2211" s="27"/>
      <c r="C2211" s="48"/>
      <c r="D2211" s="27"/>
      <c r="E2211" s="38"/>
      <c r="F2211" s="27"/>
      <c r="G2211" s="27"/>
      <c r="H2211" s="99"/>
      <c r="M2211" s="27"/>
      <c r="N2211" s="48"/>
    </row>
    <row r="2212" spans="1:14" s="7" customFormat="1" x14ac:dyDescent="0.35">
      <c r="A2212" s="113"/>
      <c r="B2212" s="27"/>
      <c r="C2212" s="48"/>
      <c r="D2212" s="27"/>
      <c r="E2212" s="38"/>
      <c r="F2212" s="27"/>
      <c r="G2212" s="27"/>
      <c r="H2212" s="99"/>
      <c r="M2212" s="27"/>
      <c r="N2212" s="48"/>
    </row>
    <row r="2213" spans="1:14" s="7" customFormat="1" x14ac:dyDescent="0.35">
      <c r="A2213" s="113"/>
      <c r="B2213" s="27"/>
      <c r="C2213" s="48"/>
      <c r="D2213" s="27"/>
      <c r="E2213" s="38"/>
      <c r="F2213" s="27"/>
      <c r="G2213" s="27"/>
      <c r="H2213" s="99"/>
      <c r="M2213" s="27"/>
      <c r="N2213" s="48"/>
    </row>
    <row r="2214" spans="1:14" s="7" customFormat="1" x14ac:dyDescent="0.35">
      <c r="A2214" s="113"/>
      <c r="B2214" s="27"/>
      <c r="C2214" s="48"/>
      <c r="D2214" s="27"/>
      <c r="E2214" s="38"/>
      <c r="F2214" s="27"/>
      <c r="G2214" s="27"/>
      <c r="H2214" s="99"/>
      <c r="M2214" s="27"/>
      <c r="N2214" s="48"/>
    </row>
    <row r="2215" spans="1:14" s="7" customFormat="1" x14ac:dyDescent="0.35">
      <c r="A2215" s="113"/>
      <c r="B2215" s="27"/>
      <c r="C2215" s="48"/>
      <c r="D2215" s="27"/>
      <c r="E2215" s="38"/>
      <c r="F2215" s="27"/>
      <c r="G2215" s="27"/>
      <c r="H2215" s="99"/>
      <c r="M2215" s="27"/>
      <c r="N2215" s="48"/>
    </row>
    <row r="2216" spans="1:14" s="7" customFormat="1" x14ac:dyDescent="0.35">
      <c r="A2216" s="113"/>
      <c r="B2216" s="27"/>
      <c r="C2216" s="48"/>
      <c r="D2216" s="27"/>
      <c r="E2216" s="38"/>
      <c r="F2216" s="27"/>
      <c r="G2216" s="27"/>
      <c r="H2216" s="99"/>
      <c r="M2216" s="27"/>
      <c r="N2216" s="48"/>
    </row>
    <row r="2217" spans="1:14" s="7" customFormat="1" x14ac:dyDescent="0.35">
      <c r="A2217" s="113"/>
      <c r="B2217" s="27"/>
      <c r="C2217" s="48"/>
      <c r="D2217" s="27"/>
      <c r="E2217" s="38"/>
      <c r="F2217" s="27"/>
      <c r="G2217" s="27"/>
      <c r="H2217" s="99"/>
      <c r="M2217" s="27"/>
      <c r="N2217" s="48"/>
    </row>
    <row r="2218" spans="1:14" s="7" customFormat="1" x14ac:dyDescent="0.35">
      <c r="A2218" s="113"/>
      <c r="B2218" s="27"/>
      <c r="C2218" s="48"/>
      <c r="D2218" s="27"/>
      <c r="E2218" s="38"/>
      <c r="F2218" s="27"/>
      <c r="G2218" s="27"/>
      <c r="H2218" s="99"/>
      <c r="M2218" s="27"/>
      <c r="N2218" s="48"/>
    </row>
    <row r="2219" spans="1:14" s="7" customFormat="1" x14ac:dyDescent="0.35">
      <c r="A2219" s="113"/>
      <c r="B2219" s="27"/>
      <c r="C2219" s="48"/>
      <c r="D2219" s="27"/>
      <c r="E2219" s="38"/>
      <c r="F2219" s="27"/>
      <c r="G2219" s="27"/>
      <c r="H2219" s="99"/>
      <c r="M2219" s="27"/>
      <c r="N2219" s="48"/>
    </row>
    <row r="2220" spans="1:14" s="7" customFormat="1" x14ac:dyDescent="0.35">
      <c r="A2220" s="113"/>
      <c r="B2220" s="27"/>
      <c r="C2220" s="48"/>
      <c r="D2220" s="27"/>
      <c r="E2220" s="38"/>
      <c r="F2220" s="27"/>
      <c r="G2220" s="27"/>
      <c r="H2220" s="99"/>
      <c r="M2220" s="27"/>
      <c r="N2220" s="48"/>
    </row>
    <row r="2221" spans="1:14" s="7" customFormat="1" x14ac:dyDescent="0.35">
      <c r="A2221" s="113"/>
      <c r="B2221" s="27"/>
      <c r="C2221" s="48"/>
      <c r="D2221" s="27"/>
      <c r="E2221" s="38"/>
      <c r="F2221" s="27"/>
      <c r="G2221" s="27"/>
      <c r="H2221" s="99"/>
      <c r="M2221" s="27"/>
      <c r="N2221" s="48"/>
    </row>
    <row r="2222" spans="1:14" s="7" customFormat="1" x14ac:dyDescent="0.35">
      <c r="A2222" s="113"/>
      <c r="B2222" s="27"/>
      <c r="C2222" s="48"/>
      <c r="D2222" s="27"/>
      <c r="E2222" s="38"/>
      <c r="F2222" s="27"/>
      <c r="G2222" s="27"/>
      <c r="H2222" s="99"/>
      <c r="M2222" s="27"/>
      <c r="N2222" s="48"/>
    </row>
    <row r="2223" spans="1:14" s="7" customFormat="1" x14ac:dyDescent="0.35">
      <c r="A2223" s="113"/>
      <c r="B2223" s="27"/>
      <c r="C2223" s="48"/>
      <c r="D2223" s="27"/>
      <c r="E2223" s="38"/>
      <c r="F2223" s="27"/>
      <c r="G2223" s="27"/>
      <c r="H2223" s="99"/>
      <c r="M2223" s="27"/>
      <c r="N2223" s="48"/>
    </row>
    <row r="2224" spans="1:14" s="7" customFormat="1" x14ac:dyDescent="0.35">
      <c r="A2224" s="113"/>
      <c r="B2224" s="27"/>
      <c r="C2224" s="48"/>
      <c r="D2224" s="27"/>
      <c r="E2224" s="38"/>
      <c r="F2224" s="27"/>
      <c r="G2224" s="27"/>
      <c r="H2224" s="99"/>
      <c r="M2224" s="27"/>
      <c r="N2224" s="48"/>
    </row>
    <row r="2225" spans="1:14" s="7" customFormat="1" x14ac:dyDescent="0.35">
      <c r="A2225" s="113"/>
      <c r="B2225" s="27"/>
      <c r="C2225" s="48"/>
      <c r="D2225" s="27"/>
      <c r="E2225" s="38"/>
      <c r="F2225" s="27"/>
      <c r="G2225" s="27"/>
      <c r="H2225" s="99"/>
      <c r="M2225" s="27"/>
      <c r="N2225" s="48"/>
    </row>
    <row r="2226" spans="1:14" s="7" customFormat="1" x14ac:dyDescent="0.35">
      <c r="A2226" s="113"/>
      <c r="B2226" s="27"/>
      <c r="C2226" s="48"/>
      <c r="D2226" s="27"/>
      <c r="E2226" s="38"/>
      <c r="F2226" s="27"/>
      <c r="G2226" s="27"/>
      <c r="H2226" s="99"/>
      <c r="M2226" s="27"/>
      <c r="N2226" s="48"/>
    </row>
    <row r="2227" spans="1:14" s="7" customFormat="1" x14ac:dyDescent="0.35">
      <c r="A2227" s="113"/>
      <c r="B2227" s="27"/>
      <c r="C2227" s="48"/>
      <c r="D2227" s="27"/>
      <c r="E2227" s="38"/>
      <c r="F2227" s="27"/>
      <c r="G2227" s="27"/>
      <c r="H2227" s="99"/>
      <c r="M2227" s="27"/>
      <c r="N2227" s="48"/>
    </row>
    <row r="2228" spans="1:14" s="7" customFormat="1" x14ac:dyDescent="0.35">
      <c r="A2228" s="113"/>
      <c r="B2228" s="27"/>
      <c r="C2228" s="48"/>
      <c r="D2228" s="27"/>
      <c r="E2228" s="38"/>
      <c r="F2228" s="27"/>
      <c r="G2228" s="27"/>
      <c r="H2228" s="99"/>
      <c r="M2228" s="27"/>
      <c r="N2228" s="48"/>
    </row>
    <row r="2229" spans="1:14" s="7" customFormat="1" x14ac:dyDescent="0.35">
      <c r="A2229" s="113"/>
      <c r="B2229" s="27"/>
      <c r="C2229" s="48"/>
      <c r="D2229" s="27"/>
      <c r="E2229" s="38"/>
      <c r="F2229" s="27"/>
      <c r="G2229" s="27"/>
      <c r="H2229" s="99"/>
      <c r="M2229" s="27"/>
      <c r="N2229" s="48"/>
    </row>
    <row r="2230" spans="1:14" s="7" customFormat="1" x14ac:dyDescent="0.35">
      <c r="A2230" s="113"/>
      <c r="B2230" s="27"/>
      <c r="C2230" s="48"/>
      <c r="D2230" s="27"/>
      <c r="E2230" s="38"/>
      <c r="F2230" s="27"/>
      <c r="G2230" s="27"/>
      <c r="H2230" s="99"/>
      <c r="M2230" s="27"/>
      <c r="N2230" s="48"/>
    </row>
    <row r="2231" spans="1:14" s="7" customFormat="1" x14ac:dyDescent="0.35">
      <c r="A2231" s="113"/>
      <c r="B2231" s="27"/>
      <c r="C2231" s="48"/>
      <c r="D2231" s="27"/>
      <c r="E2231" s="38"/>
      <c r="F2231" s="27"/>
      <c r="G2231" s="27"/>
      <c r="H2231" s="99"/>
      <c r="M2231" s="27"/>
      <c r="N2231" s="48"/>
    </row>
    <row r="2232" spans="1:14" s="7" customFormat="1" x14ac:dyDescent="0.35">
      <c r="A2232" s="113"/>
      <c r="B2232" s="27"/>
      <c r="C2232" s="48"/>
      <c r="D2232" s="27"/>
      <c r="E2232" s="38"/>
      <c r="F2232" s="27"/>
      <c r="G2232" s="27"/>
      <c r="H2232" s="99"/>
      <c r="M2232" s="27"/>
      <c r="N2232" s="48"/>
    </row>
    <row r="2233" spans="1:14" s="7" customFormat="1" x14ac:dyDescent="0.35">
      <c r="A2233" s="113"/>
      <c r="B2233" s="27"/>
      <c r="C2233" s="48"/>
      <c r="D2233" s="27"/>
      <c r="E2233" s="38"/>
      <c r="F2233" s="27"/>
      <c r="G2233" s="27"/>
      <c r="H2233" s="99"/>
      <c r="M2233" s="27"/>
      <c r="N2233" s="48"/>
    </row>
    <row r="2234" spans="1:14" s="7" customFormat="1" x14ac:dyDescent="0.35">
      <c r="A2234" s="113"/>
      <c r="B2234" s="27"/>
      <c r="C2234" s="48"/>
      <c r="D2234" s="27"/>
      <c r="E2234" s="38"/>
      <c r="F2234" s="27"/>
      <c r="G2234" s="27"/>
      <c r="H2234" s="99"/>
      <c r="M2234" s="27"/>
      <c r="N2234" s="48"/>
    </row>
    <row r="2235" spans="1:14" s="7" customFormat="1" x14ac:dyDescent="0.35">
      <c r="A2235" s="113"/>
      <c r="B2235" s="27"/>
      <c r="C2235" s="48"/>
      <c r="D2235" s="27"/>
      <c r="E2235" s="38"/>
      <c r="F2235" s="27"/>
      <c r="G2235" s="27"/>
      <c r="H2235" s="99"/>
      <c r="M2235" s="27"/>
      <c r="N2235" s="48"/>
    </row>
    <row r="2236" spans="1:14" s="7" customFormat="1" x14ac:dyDescent="0.35">
      <c r="A2236" s="113"/>
      <c r="B2236" s="27"/>
      <c r="C2236" s="48"/>
      <c r="D2236" s="27"/>
      <c r="E2236" s="38"/>
      <c r="F2236" s="27"/>
      <c r="G2236" s="27"/>
      <c r="H2236" s="99"/>
      <c r="M2236" s="27"/>
      <c r="N2236" s="48"/>
    </row>
    <row r="2237" spans="1:14" s="7" customFormat="1" x14ac:dyDescent="0.35">
      <c r="A2237" s="113"/>
      <c r="B2237" s="27"/>
      <c r="C2237" s="48"/>
      <c r="D2237" s="27"/>
      <c r="E2237" s="38"/>
      <c r="F2237" s="27"/>
      <c r="G2237" s="27"/>
      <c r="H2237" s="99"/>
      <c r="M2237" s="27"/>
      <c r="N2237" s="48"/>
    </row>
    <row r="2238" spans="1:14" s="7" customFormat="1" x14ac:dyDescent="0.35">
      <c r="A2238" s="113"/>
      <c r="B2238" s="27"/>
      <c r="C2238" s="48"/>
      <c r="D2238" s="27"/>
      <c r="E2238" s="38"/>
      <c r="F2238" s="27"/>
      <c r="G2238" s="27"/>
      <c r="H2238" s="99"/>
      <c r="M2238" s="27"/>
      <c r="N2238" s="48"/>
    </row>
    <row r="2239" spans="1:14" s="7" customFormat="1" x14ac:dyDescent="0.35">
      <c r="A2239" s="113"/>
      <c r="B2239" s="27"/>
      <c r="C2239" s="48"/>
      <c r="D2239" s="27"/>
      <c r="E2239" s="38"/>
      <c r="F2239" s="27"/>
      <c r="G2239" s="27"/>
      <c r="H2239" s="99"/>
      <c r="M2239" s="27"/>
      <c r="N2239" s="48"/>
    </row>
    <row r="2240" spans="1:14" s="7" customFormat="1" x14ac:dyDescent="0.35">
      <c r="A2240" s="113"/>
      <c r="B2240" s="27"/>
      <c r="C2240" s="48"/>
      <c r="D2240" s="27"/>
      <c r="E2240" s="38"/>
      <c r="F2240" s="27"/>
      <c r="G2240" s="27"/>
      <c r="H2240" s="99"/>
      <c r="M2240" s="27"/>
      <c r="N2240" s="48"/>
    </row>
    <row r="2241" spans="1:14" s="7" customFormat="1" x14ac:dyDescent="0.35">
      <c r="A2241" s="113"/>
      <c r="B2241" s="27"/>
      <c r="C2241" s="48"/>
      <c r="D2241" s="27"/>
      <c r="E2241" s="38"/>
      <c r="F2241" s="27"/>
      <c r="G2241" s="27"/>
      <c r="H2241" s="99"/>
      <c r="M2241" s="27"/>
      <c r="N2241" s="48"/>
    </row>
    <row r="2242" spans="1:14" s="7" customFormat="1" x14ac:dyDescent="0.35">
      <c r="A2242" s="113"/>
      <c r="B2242" s="27"/>
      <c r="C2242" s="48"/>
      <c r="D2242" s="27"/>
      <c r="E2242" s="38"/>
      <c r="F2242" s="27"/>
      <c r="G2242" s="27"/>
      <c r="H2242" s="99"/>
      <c r="M2242" s="27"/>
      <c r="N2242" s="48"/>
    </row>
    <row r="2243" spans="1:14" s="7" customFormat="1" x14ac:dyDescent="0.35">
      <c r="A2243" s="113"/>
      <c r="B2243" s="27"/>
      <c r="C2243" s="48"/>
      <c r="D2243" s="27"/>
      <c r="E2243" s="38"/>
      <c r="F2243" s="27"/>
      <c r="G2243" s="27"/>
      <c r="H2243" s="99"/>
      <c r="M2243" s="27"/>
      <c r="N2243" s="48"/>
    </row>
    <row r="2244" spans="1:14" s="7" customFormat="1" x14ac:dyDescent="0.35">
      <c r="A2244" s="113"/>
      <c r="B2244" s="27"/>
      <c r="C2244" s="48"/>
      <c r="D2244" s="27"/>
      <c r="E2244" s="38"/>
      <c r="F2244" s="27"/>
      <c r="G2244" s="27"/>
      <c r="H2244" s="99"/>
      <c r="M2244" s="27"/>
      <c r="N2244" s="48"/>
    </row>
    <row r="2245" spans="1:14" s="7" customFormat="1" x14ac:dyDescent="0.35">
      <c r="A2245" s="113"/>
      <c r="B2245" s="27"/>
      <c r="C2245" s="48"/>
      <c r="D2245" s="27"/>
      <c r="E2245" s="38"/>
      <c r="F2245" s="27"/>
      <c r="G2245" s="27"/>
      <c r="H2245" s="99"/>
      <c r="M2245" s="27"/>
      <c r="N2245" s="48"/>
    </row>
    <row r="2246" spans="1:14" s="7" customFormat="1" x14ac:dyDescent="0.35">
      <c r="A2246" s="113"/>
      <c r="B2246" s="27"/>
      <c r="C2246" s="48"/>
      <c r="D2246" s="27"/>
      <c r="E2246" s="38"/>
      <c r="F2246" s="27"/>
      <c r="G2246" s="27"/>
      <c r="H2246" s="99"/>
      <c r="M2246" s="27"/>
      <c r="N2246" s="48"/>
    </row>
    <row r="2247" spans="1:14" s="7" customFormat="1" x14ac:dyDescent="0.35">
      <c r="A2247" s="113"/>
      <c r="B2247" s="27"/>
      <c r="C2247" s="48"/>
      <c r="D2247" s="27"/>
      <c r="E2247" s="38"/>
      <c r="F2247" s="27"/>
      <c r="G2247" s="27"/>
      <c r="H2247" s="99"/>
      <c r="M2247" s="27"/>
      <c r="N2247" s="48"/>
    </row>
    <row r="2248" spans="1:14" s="7" customFormat="1" x14ac:dyDescent="0.35">
      <c r="A2248" s="113"/>
      <c r="B2248" s="27"/>
      <c r="C2248" s="48"/>
      <c r="D2248" s="27"/>
      <c r="E2248" s="38"/>
      <c r="F2248" s="27"/>
      <c r="G2248" s="27"/>
      <c r="H2248" s="99"/>
      <c r="M2248" s="27"/>
      <c r="N2248" s="48"/>
    </row>
    <row r="2249" spans="1:14" s="7" customFormat="1" x14ac:dyDescent="0.35">
      <c r="A2249" s="113"/>
      <c r="B2249" s="27"/>
      <c r="C2249" s="48"/>
      <c r="D2249" s="27"/>
      <c r="E2249" s="38"/>
      <c r="F2249" s="27"/>
      <c r="G2249" s="27"/>
      <c r="H2249" s="99"/>
      <c r="M2249" s="27"/>
      <c r="N2249" s="48"/>
    </row>
    <row r="2250" spans="1:14" s="7" customFormat="1" x14ac:dyDescent="0.35">
      <c r="A2250" s="113"/>
      <c r="B2250" s="27"/>
      <c r="C2250" s="48"/>
      <c r="D2250" s="27"/>
      <c r="E2250" s="38"/>
      <c r="F2250" s="27"/>
      <c r="G2250" s="27"/>
      <c r="H2250" s="99"/>
      <c r="M2250" s="27"/>
      <c r="N2250" s="48"/>
    </row>
    <row r="2251" spans="1:14" s="7" customFormat="1" x14ac:dyDescent="0.35">
      <c r="A2251" s="113"/>
      <c r="B2251" s="27"/>
      <c r="C2251" s="48"/>
      <c r="D2251" s="27"/>
      <c r="E2251" s="38"/>
      <c r="F2251" s="27"/>
      <c r="G2251" s="27"/>
      <c r="H2251" s="99"/>
      <c r="M2251" s="27"/>
      <c r="N2251" s="48"/>
    </row>
    <row r="2252" spans="1:14" s="7" customFormat="1" x14ac:dyDescent="0.35">
      <c r="A2252" s="113"/>
      <c r="B2252" s="27"/>
      <c r="C2252" s="48"/>
      <c r="D2252" s="27"/>
      <c r="E2252" s="38"/>
      <c r="F2252" s="27"/>
      <c r="G2252" s="27"/>
      <c r="H2252" s="99"/>
      <c r="M2252" s="27"/>
      <c r="N2252" s="48"/>
    </row>
    <row r="2253" spans="1:14" s="7" customFormat="1" x14ac:dyDescent="0.35">
      <c r="A2253" s="113"/>
      <c r="B2253" s="27"/>
      <c r="C2253" s="48"/>
      <c r="D2253" s="27"/>
      <c r="E2253" s="38"/>
      <c r="F2253" s="27"/>
      <c r="G2253" s="27"/>
      <c r="H2253" s="99"/>
      <c r="M2253" s="27"/>
      <c r="N2253" s="48"/>
    </row>
    <row r="2254" spans="1:14" s="7" customFormat="1" x14ac:dyDescent="0.35">
      <c r="A2254" s="113"/>
      <c r="B2254" s="27"/>
      <c r="C2254" s="48"/>
      <c r="D2254" s="27"/>
      <c r="E2254" s="38"/>
      <c r="F2254" s="27"/>
      <c r="G2254" s="27"/>
      <c r="H2254" s="99"/>
      <c r="M2254" s="27"/>
      <c r="N2254" s="48"/>
    </row>
    <row r="2255" spans="1:14" s="7" customFormat="1" x14ac:dyDescent="0.35">
      <c r="A2255" s="113"/>
      <c r="B2255" s="27"/>
      <c r="C2255" s="48"/>
      <c r="D2255" s="27"/>
      <c r="E2255" s="38"/>
      <c r="F2255" s="27"/>
      <c r="G2255" s="27"/>
      <c r="H2255" s="99"/>
      <c r="M2255" s="27"/>
      <c r="N2255" s="48"/>
    </row>
    <row r="2256" spans="1:14" s="7" customFormat="1" x14ac:dyDescent="0.35">
      <c r="A2256" s="113"/>
      <c r="B2256" s="27"/>
      <c r="C2256" s="48"/>
      <c r="D2256" s="27"/>
      <c r="E2256" s="38"/>
      <c r="F2256" s="27"/>
      <c r="G2256" s="27"/>
      <c r="H2256" s="99"/>
      <c r="M2256" s="27"/>
      <c r="N2256" s="48"/>
    </row>
    <row r="2257" spans="1:14" s="7" customFormat="1" x14ac:dyDescent="0.35">
      <c r="A2257" s="113"/>
      <c r="B2257" s="27"/>
      <c r="C2257" s="48"/>
      <c r="D2257" s="27"/>
      <c r="E2257" s="38"/>
      <c r="F2257" s="27"/>
      <c r="G2257" s="27"/>
      <c r="H2257" s="99"/>
      <c r="M2257" s="27"/>
      <c r="N2257" s="48"/>
    </row>
    <row r="2258" spans="1:14" s="7" customFormat="1" x14ac:dyDescent="0.35">
      <c r="A2258" s="113"/>
      <c r="B2258" s="27"/>
      <c r="C2258" s="48"/>
      <c r="D2258" s="27"/>
      <c r="E2258" s="38"/>
      <c r="F2258" s="27"/>
      <c r="G2258" s="27"/>
      <c r="H2258" s="99"/>
      <c r="M2258" s="27"/>
      <c r="N2258" s="48"/>
    </row>
    <row r="2259" spans="1:14" s="7" customFormat="1" x14ac:dyDescent="0.35">
      <c r="A2259" s="113"/>
      <c r="B2259" s="27"/>
      <c r="C2259" s="48"/>
      <c r="D2259" s="27"/>
      <c r="E2259" s="38"/>
      <c r="F2259" s="27"/>
      <c r="G2259" s="27"/>
      <c r="H2259" s="99"/>
      <c r="M2259" s="27"/>
      <c r="N2259" s="48"/>
    </row>
    <row r="2260" spans="1:14" s="7" customFormat="1" x14ac:dyDescent="0.35">
      <c r="A2260" s="113"/>
      <c r="B2260" s="27"/>
      <c r="C2260" s="48"/>
      <c r="D2260" s="27"/>
      <c r="E2260" s="38"/>
      <c r="F2260" s="27"/>
      <c r="G2260" s="27"/>
      <c r="H2260" s="99"/>
      <c r="M2260" s="27"/>
      <c r="N2260" s="48"/>
    </row>
    <row r="2261" spans="1:14" s="7" customFormat="1" x14ac:dyDescent="0.35">
      <c r="A2261" s="113"/>
      <c r="B2261" s="27"/>
      <c r="C2261" s="48"/>
      <c r="D2261" s="27"/>
      <c r="E2261" s="38"/>
      <c r="F2261" s="27"/>
      <c r="G2261" s="27"/>
      <c r="H2261" s="99"/>
      <c r="M2261" s="27"/>
      <c r="N2261" s="48"/>
    </row>
    <row r="2262" spans="1:14" s="7" customFormat="1" x14ac:dyDescent="0.35">
      <c r="A2262" s="113"/>
      <c r="B2262" s="27"/>
      <c r="C2262" s="48"/>
      <c r="D2262" s="27"/>
      <c r="E2262" s="38"/>
      <c r="F2262" s="27"/>
      <c r="G2262" s="27"/>
      <c r="H2262" s="99"/>
      <c r="M2262" s="27"/>
      <c r="N2262" s="48"/>
    </row>
    <row r="2263" spans="1:14" s="7" customFormat="1" x14ac:dyDescent="0.35">
      <c r="A2263" s="113"/>
      <c r="B2263" s="27"/>
      <c r="C2263" s="48"/>
      <c r="D2263" s="27"/>
      <c r="E2263" s="38"/>
      <c r="F2263" s="27"/>
      <c r="G2263" s="27"/>
      <c r="H2263" s="99"/>
      <c r="M2263" s="27"/>
      <c r="N2263" s="48"/>
    </row>
    <row r="2264" spans="1:14" s="7" customFormat="1" x14ac:dyDescent="0.35">
      <c r="A2264" s="113"/>
      <c r="B2264" s="27"/>
      <c r="C2264" s="48"/>
      <c r="D2264" s="27"/>
      <c r="E2264" s="38"/>
      <c r="F2264" s="27"/>
      <c r="G2264" s="27"/>
      <c r="H2264" s="99"/>
      <c r="M2264" s="27"/>
      <c r="N2264" s="48"/>
    </row>
    <row r="2265" spans="1:14" s="7" customFormat="1" x14ac:dyDescent="0.35">
      <c r="A2265" s="113"/>
      <c r="B2265" s="27"/>
      <c r="C2265" s="48"/>
      <c r="D2265" s="27"/>
      <c r="E2265" s="38"/>
      <c r="F2265" s="27"/>
      <c r="G2265" s="27"/>
      <c r="H2265" s="99"/>
      <c r="M2265" s="27"/>
      <c r="N2265" s="48"/>
    </row>
    <row r="2266" spans="1:14" s="7" customFormat="1" x14ac:dyDescent="0.35">
      <c r="A2266" s="113"/>
      <c r="B2266" s="27"/>
      <c r="C2266" s="48"/>
      <c r="D2266" s="27"/>
      <c r="E2266" s="38"/>
      <c r="F2266" s="27"/>
      <c r="G2266" s="27"/>
      <c r="H2266" s="99"/>
      <c r="M2266" s="27"/>
      <c r="N2266" s="48"/>
    </row>
    <row r="2267" spans="1:14" s="7" customFormat="1" x14ac:dyDescent="0.35">
      <c r="A2267" s="113"/>
      <c r="B2267" s="27"/>
      <c r="C2267" s="48"/>
      <c r="D2267" s="27"/>
      <c r="E2267" s="38"/>
      <c r="F2267" s="27"/>
      <c r="G2267" s="27"/>
      <c r="H2267" s="99"/>
      <c r="M2267" s="27"/>
      <c r="N2267" s="48"/>
    </row>
    <row r="2268" spans="1:14" s="7" customFormat="1" x14ac:dyDescent="0.35">
      <c r="A2268" s="113"/>
      <c r="B2268" s="27"/>
      <c r="C2268" s="48"/>
      <c r="D2268" s="27"/>
      <c r="E2268" s="38"/>
      <c r="F2268" s="27"/>
      <c r="G2268" s="27"/>
      <c r="H2268" s="99"/>
      <c r="M2268" s="27"/>
      <c r="N2268" s="48"/>
    </row>
    <row r="2269" spans="1:14" s="7" customFormat="1" x14ac:dyDescent="0.35">
      <c r="A2269" s="113"/>
      <c r="B2269" s="27"/>
      <c r="C2269" s="48"/>
      <c r="D2269" s="27"/>
      <c r="E2269" s="38"/>
      <c r="F2269" s="27"/>
      <c r="G2269" s="27"/>
      <c r="H2269" s="99"/>
      <c r="M2269" s="27"/>
      <c r="N2269" s="48"/>
    </row>
    <row r="2270" spans="1:14" s="7" customFormat="1" x14ac:dyDescent="0.35">
      <c r="A2270" s="113"/>
      <c r="B2270" s="27"/>
      <c r="C2270" s="48"/>
      <c r="D2270" s="27"/>
      <c r="E2270" s="38"/>
      <c r="F2270" s="27"/>
      <c r="G2270" s="27"/>
      <c r="H2270" s="99"/>
      <c r="M2270" s="27"/>
      <c r="N2270" s="48"/>
    </row>
    <row r="2271" spans="1:14" s="7" customFormat="1" x14ac:dyDescent="0.35">
      <c r="A2271" s="113"/>
      <c r="B2271" s="27"/>
      <c r="C2271" s="48"/>
      <c r="D2271" s="27"/>
      <c r="E2271" s="38"/>
      <c r="F2271" s="27"/>
      <c r="G2271" s="27"/>
      <c r="H2271" s="99"/>
      <c r="M2271" s="27"/>
      <c r="N2271" s="48"/>
    </row>
    <row r="2272" spans="1:14" s="7" customFormat="1" x14ac:dyDescent="0.35">
      <c r="A2272" s="113"/>
      <c r="B2272" s="27"/>
      <c r="C2272" s="48"/>
      <c r="D2272" s="27"/>
      <c r="E2272" s="38"/>
      <c r="F2272" s="27"/>
      <c r="G2272" s="27"/>
      <c r="H2272" s="99"/>
      <c r="M2272" s="27"/>
      <c r="N2272" s="48"/>
    </row>
    <row r="2273" spans="1:14" s="7" customFormat="1" x14ac:dyDescent="0.35">
      <c r="A2273" s="113"/>
      <c r="B2273" s="27"/>
      <c r="C2273" s="48"/>
      <c r="D2273" s="27"/>
      <c r="E2273" s="38"/>
      <c r="F2273" s="27"/>
      <c r="G2273" s="27"/>
      <c r="H2273" s="99"/>
      <c r="M2273" s="27"/>
      <c r="N2273" s="48"/>
    </row>
    <row r="2274" spans="1:14" s="7" customFormat="1" x14ac:dyDescent="0.35">
      <c r="A2274" s="113"/>
      <c r="B2274" s="27"/>
      <c r="C2274" s="48"/>
      <c r="D2274" s="27"/>
      <c r="E2274" s="38"/>
      <c r="F2274" s="27"/>
      <c r="G2274" s="27"/>
      <c r="H2274" s="99"/>
      <c r="M2274" s="27"/>
      <c r="N2274" s="48"/>
    </row>
    <row r="2275" spans="1:14" s="7" customFormat="1" x14ac:dyDescent="0.35">
      <c r="A2275" s="113"/>
      <c r="B2275" s="27"/>
      <c r="C2275" s="48"/>
      <c r="D2275" s="27"/>
      <c r="E2275" s="38"/>
      <c r="F2275" s="27"/>
      <c r="G2275" s="27"/>
      <c r="H2275" s="99"/>
      <c r="M2275" s="27"/>
      <c r="N2275" s="48"/>
    </row>
    <row r="2276" spans="1:14" s="7" customFormat="1" x14ac:dyDescent="0.35">
      <c r="A2276" s="113"/>
      <c r="B2276" s="27"/>
      <c r="C2276" s="48"/>
      <c r="D2276" s="27"/>
      <c r="E2276" s="38"/>
      <c r="F2276" s="27"/>
      <c r="G2276" s="27"/>
      <c r="H2276" s="99"/>
      <c r="M2276" s="27"/>
      <c r="N2276" s="48"/>
    </row>
    <row r="2277" spans="1:14" s="7" customFormat="1" x14ac:dyDescent="0.35">
      <c r="A2277" s="113"/>
      <c r="B2277" s="27"/>
      <c r="C2277" s="48"/>
      <c r="D2277" s="27"/>
      <c r="E2277" s="38"/>
      <c r="F2277" s="27"/>
      <c r="G2277" s="27"/>
      <c r="H2277" s="99"/>
      <c r="M2277" s="27"/>
      <c r="N2277" s="48"/>
    </row>
    <row r="2278" spans="1:14" s="7" customFormat="1" x14ac:dyDescent="0.35">
      <c r="A2278" s="113"/>
      <c r="B2278" s="27"/>
      <c r="C2278" s="48"/>
      <c r="D2278" s="27"/>
      <c r="E2278" s="38"/>
      <c r="F2278" s="27"/>
      <c r="G2278" s="27"/>
      <c r="H2278" s="99"/>
      <c r="M2278" s="27"/>
      <c r="N2278" s="48"/>
    </row>
    <row r="2279" spans="1:14" s="7" customFormat="1" x14ac:dyDescent="0.35">
      <c r="A2279" s="113"/>
      <c r="B2279" s="27"/>
      <c r="C2279" s="48"/>
      <c r="D2279" s="27"/>
      <c r="E2279" s="38"/>
      <c r="F2279" s="27"/>
      <c r="G2279" s="27"/>
      <c r="H2279" s="99"/>
      <c r="M2279" s="27"/>
      <c r="N2279" s="48"/>
    </row>
    <row r="2280" spans="1:14" s="7" customFormat="1" x14ac:dyDescent="0.35">
      <c r="A2280" s="113"/>
      <c r="B2280" s="27"/>
      <c r="C2280" s="48"/>
      <c r="D2280" s="27"/>
      <c r="E2280" s="38"/>
      <c r="F2280" s="27"/>
      <c r="G2280" s="27"/>
      <c r="H2280" s="99"/>
      <c r="M2280" s="27"/>
      <c r="N2280" s="48"/>
    </row>
    <row r="2281" spans="1:14" s="7" customFormat="1" x14ac:dyDescent="0.35">
      <c r="A2281" s="113"/>
      <c r="B2281" s="27"/>
      <c r="C2281" s="48"/>
      <c r="D2281" s="27"/>
      <c r="E2281" s="38"/>
      <c r="F2281" s="27"/>
      <c r="G2281" s="27"/>
      <c r="H2281" s="99"/>
      <c r="M2281" s="27"/>
      <c r="N2281" s="48"/>
    </row>
    <row r="2282" spans="1:14" s="7" customFormat="1" x14ac:dyDescent="0.35">
      <c r="A2282" s="113"/>
      <c r="B2282" s="27"/>
      <c r="C2282" s="48"/>
      <c r="D2282" s="27"/>
      <c r="E2282" s="38"/>
      <c r="F2282" s="27"/>
      <c r="G2282" s="27"/>
      <c r="H2282" s="99"/>
      <c r="M2282" s="27"/>
      <c r="N2282" s="48"/>
    </row>
    <row r="2283" spans="1:14" s="7" customFormat="1" x14ac:dyDescent="0.35">
      <c r="A2283" s="113"/>
      <c r="B2283" s="27"/>
      <c r="C2283" s="48"/>
      <c r="D2283" s="27"/>
      <c r="E2283" s="38"/>
      <c r="F2283" s="27"/>
      <c r="G2283" s="27"/>
      <c r="H2283" s="99"/>
      <c r="M2283" s="27"/>
      <c r="N2283" s="48"/>
    </row>
    <row r="2284" spans="1:14" s="7" customFormat="1" x14ac:dyDescent="0.35">
      <c r="A2284" s="113"/>
      <c r="B2284" s="27"/>
      <c r="C2284" s="48"/>
      <c r="D2284" s="27"/>
      <c r="E2284" s="38"/>
      <c r="F2284" s="27"/>
      <c r="G2284" s="27"/>
      <c r="H2284" s="99"/>
      <c r="M2284" s="27"/>
      <c r="N2284" s="48"/>
    </row>
    <row r="2285" spans="1:14" s="7" customFormat="1" x14ac:dyDescent="0.35">
      <c r="A2285" s="113"/>
      <c r="B2285" s="27"/>
      <c r="C2285" s="48"/>
      <c r="D2285" s="27"/>
      <c r="E2285" s="38"/>
      <c r="F2285" s="27"/>
      <c r="G2285" s="27"/>
      <c r="H2285" s="99"/>
      <c r="M2285" s="27"/>
      <c r="N2285" s="48"/>
    </row>
    <row r="2286" spans="1:14" s="7" customFormat="1" x14ac:dyDescent="0.35">
      <c r="A2286" s="113"/>
      <c r="B2286" s="27"/>
      <c r="C2286" s="48"/>
      <c r="D2286" s="27"/>
      <c r="E2286" s="38"/>
      <c r="F2286" s="27"/>
      <c r="G2286" s="27"/>
      <c r="H2286" s="99"/>
      <c r="M2286" s="27"/>
      <c r="N2286" s="48"/>
    </row>
    <row r="2287" spans="1:14" s="7" customFormat="1" x14ac:dyDescent="0.35">
      <c r="A2287" s="113"/>
      <c r="B2287" s="27"/>
      <c r="C2287" s="48"/>
      <c r="D2287" s="27"/>
      <c r="E2287" s="38"/>
      <c r="F2287" s="27"/>
      <c r="G2287" s="27"/>
      <c r="H2287" s="99"/>
      <c r="M2287" s="27"/>
      <c r="N2287" s="48"/>
    </row>
    <row r="2288" spans="1:14" s="7" customFormat="1" x14ac:dyDescent="0.35">
      <c r="A2288" s="113"/>
      <c r="B2288" s="27"/>
      <c r="C2288" s="48"/>
      <c r="D2288" s="27"/>
      <c r="E2288" s="38"/>
      <c r="F2288" s="27"/>
      <c r="G2288" s="27"/>
      <c r="H2288" s="99"/>
      <c r="M2288" s="27"/>
      <c r="N2288" s="48"/>
    </row>
    <row r="2289" spans="1:14" s="7" customFormat="1" x14ac:dyDescent="0.35">
      <c r="A2289" s="113"/>
      <c r="B2289" s="27"/>
      <c r="C2289" s="48"/>
      <c r="D2289" s="27"/>
      <c r="E2289" s="38"/>
      <c r="F2289" s="27"/>
      <c r="G2289" s="27"/>
      <c r="H2289" s="99"/>
      <c r="M2289" s="27"/>
      <c r="N2289" s="48"/>
    </row>
    <row r="2290" spans="1:14" s="7" customFormat="1" x14ac:dyDescent="0.35">
      <c r="A2290" s="113"/>
      <c r="B2290" s="27"/>
      <c r="C2290" s="48"/>
      <c r="D2290" s="27"/>
      <c r="E2290" s="38"/>
      <c r="F2290" s="27"/>
      <c r="G2290" s="27"/>
      <c r="H2290" s="99"/>
      <c r="M2290" s="27"/>
      <c r="N2290" s="48"/>
    </row>
    <row r="2291" spans="1:14" s="7" customFormat="1" x14ac:dyDescent="0.35">
      <c r="A2291" s="113"/>
      <c r="B2291" s="27"/>
      <c r="C2291" s="48"/>
      <c r="D2291" s="27"/>
      <c r="E2291" s="38"/>
      <c r="F2291" s="27"/>
      <c r="G2291" s="27"/>
      <c r="H2291" s="99"/>
      <c r="M2291" s="27"/>
      <c r="N2291" s="48"/>
    </row>
    <row r="2292" spans="1:14" s="7" customFormat="1" x14ac:dyDescent="0.35">
      <c r="A2292" s="113"/>
      <c r="B2292" s="27"/>
      <c r="C2292" s="48"/>
      <c r="D2292" s="27"/>
      <c r="E2292" s="38"/>
      <c r="F2292" s="27"/>
      <c r="G2292" s="27"/>
      <c r="H2292" s="99"/>
      <c r="M2292" s="27"/>
      <c r="N2292" s="48"/>
    </row>
    <row r="2293" spans="1:14" s="7" customFormat="1" x14ac:dyDescent="0.35">
      <c r="A2293" s="113"/>
      <c r="B2293" s="27"/>
      <c r="C2293" s="48"/>
      <c r="D2293" s="27"/>
      <c r="E2293" s="38"/>
      <c r="F2293" s="27"/>
      <c r="G2293" s="27"/>
      <c r="H2293" s="99"/>
      <c r="M2293" s="27"/>
      <c r="N2293" s="48"/>
    </row>
    <row r="2294" spans="1:14" s="7" customFormat="1" x14ac:dyDescent="0.35">
      <c r="A2294" s="113"/>
      <c r="B2294" s="27"/>
      <c r="C2294" s="48"/>
      <c r="D2294" s="27"/>
      <c r="E2294" s="38"/>
      <c r="F2294" s="27"/>
      <c r="G2294" s="27"/>
      <c r="H2294" s="99"/>
      <c r="M2294" s="27"/>
      <c r="N2294" s="48"/>
    </row>
    <row r="2295" spans="1:14" s="7" customFormat="1" x14ac:dyDescent="0.35">
      <c r="A2295" s="113"/>
      <c r="B2295" s="27"/>
      <c r="C2295" s="48"/>
      <c r="D2295" s="27"/>
      <c r="E2295" s="38"/>
      <c r="F2295" s="27"/>
      <c r="G2295" s="27"/>
      <c r="H2295" s="99"/>
      <c r="M2295" s="27"/>
      <c r="N2295" s="48"/>
    </row>
    <row r="2296" spans="1:14" s="7" customFormat="1" x14ac:dyDescent="0.35">
      <c r="A2296" s="113"/>
      <c r="B2296" s="27"/>
      <c r="C2296" s="48"/>
      <c r="D2296" s="27"/>
      <c r="E2296" s="38"/>
      <c r="F2296" s="27"/>
      <c r="G2296" s="27"/>
      <c r="H2296" s="99"/>
      <c r="M2296" s="27"/>
      <c r="N2296" s="48"/>
    </row>
    <row r="2297" spans="1:14" s="7" customFormat="1" x14ac:dyDescent="0.35">
      <c r="A2297" s="113"/>
      <c r="B2297" s="27"/>
      <c r="C2297" s="48"/>
      <c r="D2297" s="27"/>
      <c r="E2297" s="38"/>
      <c r="F2297" s="27"/>
      <c r="G2297" s="27"/>
      <c r="H2297" s="99"/>
      <c r="M2297" s="27"/>
      <c r="N2297" s="48"/>
    </row>
    <row r="2298" spans="1:14" s="7" customFormat="1" x14ac:dyDescent="0.35">
      <c r="A2298" s="113"/>
      <c r="B2298" s="27"/>
      <c r="C2298" s="48"/>
      <c r="D2298" s="27"/>
      <c r="E2298" s="38"/>
      <c r="F2298" s="27"/>
      <c r="G2298" s="27"/>
      <c r="H2298" s="99"/>
      <c r="M2298" s="27"/>
      <c r="N2298" s="48"/>
    </row>
    <row r="2299" spans="1:14" s="7" customFormat="1" x14ac:dyDescent="0.35">
      <c r="A2299" s="113"/>
      <c r="B2299" s="27"/>
      <c r="C2299" s="48"/>
      <c r="D2299" s="27"/>
      <c r="E2299" s="38"/>
      <c r="F2299" s="27"/>
      <c r="G2299" s="27"/>
      <c r="H2299" s="99"/>
      <c r="M2299" s="27"/>
      <c r="N2299" s="48"/>
    </row>
    <row r="2300" spans="1:14" s="7" customFormat="1" x14ac:dyDescent="0.35">
      <c r="A2300" s="113"/>
      <c r="B2300" s="27"/>
      <c r="C2300" s="48"/>
      <c r="D2300" s="27"/>
      <c r="E2300" s="38"/>
      <c r="F2300" s="27"/>
      <c r="G2300" s="27"/>
      <c r="H2300" s="99"/>
      <c r="M2300" s="27"/>
      <c r="N2300" s="48"/>
    </row>
    <row r="2301" spans="1:14" s="7" customFormat="1" x14ac:dyDescent="0.35">
      <c r="A2301" s="113"/>
      <c r="B2301" s="27"/>
      <c r="C2301" s="48"/>
      <c r="D2301" s="27"/>
      <c r="E2301" s="38"/>
      <c r="F2301" s="27"/>
      <c r="G2301" s="27"/>
      <c r="H2301" s="99"/>
      <c r="M2301" s="27"/>
      <c r="N2301" s="48"/>
    </row>
    <row r="2302" spans="1:14" s="7" customFormat="1" x14ac:dyDescent="0.35">
      <c r="A2302" s="113"/>
      <c r="B2302" s="27"/>
      <c r="C2302" s="48"/>
      <c r="D2302" s="27"/>
      <c r="E2302" s="38"/>
      <c r="F2302" s="27"/>
      <c r="G2302" s="27"/>
      <c r="H2302" s="99"/>
      <c r="M2302" s="27"/>
      <c r="N2302" s="48"/>
    </row>
    <row r="2303" spans="1:14" s="7" customFormat="1" x14ac:dyDescent="0.35">
      <c r="A2303" s="113"/>
      <c r="B2303" s="27"/>
      <c r="C2303" s="48"/>
      <c r="D2303" s="27"/>
      <c r="E2303" s="38"/>
      <c r="F2303" s="27"/>
      <c r="G2303" s="27"/>
      <c r="H2303" s="99"/>
      <c r="M2303" s="27"/>
      <c r="N2303" s="48"/>
    </row>
    <row r="2304" spans="1:14" s="7" customFormat="1" x14ac:dyDescent="0.35">
      <c r="A2304" s="113"/>
      <c r="B2304" s="27"/>
      <c r="C2304" s="48"/>
      <c r="D2304" s="27"/>
      <c r="E2304" s="38"/>
      <c r="F2304" s="27"/>
      <c r="G2304" s="27"/>
      <c r="H2304" s="99"/>
      <c r="M2304" s="27"/>
      <c r="N2304" s="48"/>
    </row>
    <row r="2305" spans="1:14" s="7" customFormat="1" x14ac:dyDescent="0.35">
      <c r="A2305" s="113"/>
      <c r="B2305" s="27"/>
      <c r="C2305" s="48"/>
      <c r="D2305" s="27"/>
      <c r="E2305" s="38"/>
      <c r="F2305" s="27"/>
      <c r="G2305" s="27"/>
      <c r="H2305" s="99"/>
      <c r="M2305" s="27"/>
      <c r="N2305" s="48"/>
    </row>
    <row r="2306" spans="1:14" s="7" customFormat="1" x14ac:dyDescent="0.35">
      <c r="A2306" s="113"/>
      <c r="B2306" s="27"/>
      <c r="C2306" s="48"/>
      <c r="D2306" s="27"/>
      <c r="E2306" s="38"/>
      <c r="F2306" s="27"/>
      <c r="G2306" s="27"/>
      <c r="H2306" s="99"/>
      <c r="M2306" s="27"/>
      <c r="N2306" s="48"/>
    </row>
    <row r="2307" spans="1:14" s="7" customFormat="1" x14ac:dyDescent="0.35">
      <c r="A2307" s="113"/>
      <c r="B2307" s="27"/>
      <c r="C2307" s="48"/>
      <c r="D2307" s="27"/>
      <c r="E2307" s="38"/>
      <c r="F2307" s="27"/>
      <c r="G2307" s="27"/>
      <c r="H2307" s="99"/>
      <c r="M2307" s="27"/>
      <c r="N2307" s="48"/>
    </row>
    <row r="2308" spans="1:14" s="7" customFormat="1" x14ac:dyDescent="0.35">
      <c r="A2308" s="113"/>
      <c r="B2308" s="27"/>
      <c r="C2308" s="48"/>
      <c r="D2308" s="27"/>
      <c r="E2308" s="38"/>
      <c r="F2308" s="27"/>
      <c r="G2308" s="27"/>
      <c r="H2308" s="99"/>
      <c r="M2308" s="27"/>
      <c r="N2308" s="48"/>
    </row>
    <row r="2309" spans="1:14" s="7" customFormat="1" x14ac:dyDescent="0.35">
      <c r="A2309" s="113"/>
      <c r="B2309" s="27"/>
      <c r="C2309" s="48"/>
      <c r="D2309" s="27"/>
      <c r="E2309" s="38"/>
      <c r="F2309" s="27"/>
      <c r="G2309" s="27"/>
      <c r="H2309" s="99"/>
      <c r="M2309" s="27"/>
      <c r="N2309" s="48"/>
    </row>
    <row r="2310" spans="1:14" s="7" customFormat="1" x14ac:dyDescent="0.35">
      <c r="A2310" s="113"/>
      <c r="B2310" s="27"/>
      <c r="C2310" s="48"/>
      <c r="D2310" s="27"/>
      <c r="E2310" s="38"/>
      <c r="F2310" s="27"/>
      <c r="G2310" s="27"/>
      <c r="H2310" s="99"/>
      <c r="M2310" s="27"/>
      <c r="N2310" s="48"/>
    </row>
    <row r="2311" spans="1:14" s="7" customFormat="1" x14ac:dyDescent="0.35">
      <c r="A2311" s="113"/>
      <c r="B2311" s="27"/>
      <c r="C2311" s="48"/>
      <c r="D2311" s="27"/>
      <c r="E2311" s="38"/>
      <c r="F2311" s="27"/>
      <c r="G2311" s="27"/>
      <c r="H2311" s="99"/>
      <c r="M2311" s="27"/>
      <c r="N2311" s="48"/>
    </row>
    <row r="2312" spans="1:14" s="7" customFormat="1" x14ac:dyDescent="0.35">
      <c r="A2312" s="113"/>
      <c r="B2312" s="27"/>
      <c r="C2312" s="48"/>
      <c r="D2312" s="27"/>
      <c r="E2312" s="38"/>
      <c r="F2312" s="27"/>
      <c r="G2312" s="27"/>
      <c r="H2312" s="99"/>
      <c r="M2312" s="27"/>
      <c r="N2312" s="48"/>
    </row>
    <row r="2313" spans="1:14" s="7" customFormat="1" x14ac:dyDescent="0.35">
      <c r="A2313" s="113"/>
      <c r="B2313" s="27"/>
      <c r="C2313" s="48"/>
      <c r="D2313" s="27"/>
      <c r="E2313" s="38"/>
      <c r="F2313" s="27"/>
      <c r="G2313" s="27"/>
      <c r="H2313" s="99"/>
      <c r="M2313" s="27"/>
      <c r="N2313" s="48"/>
    </row>
    <row r="2314" spans="1:14" s="7" customFormat="1" x14ac:dyDescent="0.35">
      <c r="A2314" s="113"/>
      <c r="B2314" s="27"/>
      <c r="C2314" s="48"/>
      <c r="D2314" s="27"/>
      <c r="E2314" s="38"/>
      <c r="F2314" s="27"/>
      <c r="G2314" s="27"/>
      <c r="H2314" s="99"/>
      <c r="M2314" s="27"/>
      <c r="N2314" s="48"/>
    </row>
    <row r="2315" spans="1:14" s="7" customFormat="1" x14ac:dyDescent="0.35">
      <c r="A2315" s="113"/>
      <c r="B2315" s="27"/>
      <c r="C2315" s="48"/>
      <c r="D2315" s="27"/>
      <c r="E2315" s="38"/>
      <c r="F2315" s="27"/>
      <c r="G2315" s="27"/>
      <c r="H2315" s="99"/>
      <c r="M2315" s="27"/>
      <c r="N2315" s="48"/>
    </row>
    <row r="2316" spans="1:14" s="7" customFormat="1" x14ac:dyDescent="0.35">
      <c r="A2316" s="113"/>
      <c r="B2316" s="27"/>
      <c r="C2316" s="48"/>
      <c r="D2316" s="27"/>
      <c r="E2316" s="38"/>
      <c r="F2316" s="27"/>
      <c r="G2316" s="27"/>
      <c r="H2316" s="99"/>
      <c r="M2316" s="27"/>
      <c r="N2316" s="48"/>
    </row>
    <row r="2317" spans="1:14" s="7" customFormat="1" x14ac:dyDescent="0.35">
      <c r="A2317" s="113"/>
      <c r="B2317" s="27"/>
      <c r="C2317" s="48"/>
      <c r="D2317" s="27"/>
      <c r="E2317" s="38"/>
      <c r="F2317" s="27"/>
      <c r="G2317" s="27"/>
      <c r="H2317" s="99"/>
      <c r="M2317" s="27"/>
      <c r="N2317" s="48"/>
    </row>
    <row r="2318" spans="1:14" s="7" customFormat="1" x14ac:dyDescent="0.35">
      <c r="A2318" s="113"/>
      <c r="B2318" s="27"/>
      <c r="C2318" s="48"/>
      <c r="D2318" s="27"/>
      <c r="E2318" s="38"/>
      <c r="F2318" s="27"/>
      <c r="G2318" s="27"/>
      <c r="H2318" s="99"/>
      <c r="M2318" s="27"/>
      <c r="N2318" s="48"/>
    </row>
    <row r="2319" spans="1:14" s="7" customFormat="1" x14ac:dyDescent="0.35">
      <c r="A2319" s="113"/>
      <c r="B2319" s="27"/>
      <c r="C2319" s="48"/>
      <c r="D2319" s="27"/>
      <c r="E2319" s="38"/>
      <c r="F2319" s="27"/>
      <c r="G2319" s="27"/>
      <c r="H2319" s="99"/>
      <c r="M2319" s="27"/>
      <c r="N2319" s="48"/>
    </row>
    <row r="2320" spans="1:14" s="7" customFormat="1" x14ac:dyDescent="0.35">
      <c r="A2320" s="113"/>
      <c r="B2320" s="27"/>
      <c r="C2320" s="48"/>
      <c r="D2320" s="27"/>
      <c r="E2320" s="38"/>
      <c r="F2320" s="27"/>
      <c r="G2320" s="27"/>
      <c r="H2320" s="99"/>
      <c r="M2320" s="27"/>
      <c r="N2320" s="48"/>
    </row>
    <row r="2321" spans="1:14" s="7" customFormat="1" x14ac:dyDescent="0.35">
      <c r="A2321" s="113"/>
      <c r="B2321" s="27"/>
      <c r="C2321" s="48"/>
      <c r="D2321" s="27"/>
      <c r="E2321" s="38"/>
      <c r="F2321" s="27"/>
      <c r="G2321" s="27"/>
      <c r="H2321" s="99"/>
      <c r="M2321" s="27"/>
      <c r="N2321" s="48"/>
    </row>
    <row r="2322" spans="1:14" s="7" customFormat="1" x14ac:dyDescent="0.35">
      <c r="A2322" s="113"/>
      <c r="B2322" s="27"/>
      <c r="C2322" s="48"/>
      <c r="D2322" s="27"/>
      <c r="E2322" s="38"/>
      <c r="F2322" s="27"/>
      <c r="G2322" s="27"/>
      <c r="H2322" s="99"/>
      <c r="M2322" s="27"/>
      <c r="N2322" s="48"/>
    </row>
    <row r="2323" spans="1:14" s="7" customFormat="1" x14ac:dyDescent="0.35">
      <c r="A2323" s="113"/>
      <c r="B2323" s="27"/>
      <c r="C2323" s="48"/>
      <c r="D2323" s="27"/>
      <c r="E2323" s="38"/>
      <c r="F2323" s="27"/>
      <c r="G2323" s="27"/>
      <c r="H2323" s="99"/>
      <c r="M2323" s="27"/>
      <c r="N2323" s="48"/>
    </row>
    <row r="2324" spans="1:14" s="7" customFormat="1" x14ac:dyDescent="0.35">
      <c r="A2324" s="113"/>
      <c r="B2324" s="27"/>
      <c r="C2324" s="48"/>
      <c r="D2324" s="27"/>
      <c r="E2324" s="38"/>
      <c r="F2324" s="27"/>
      <c r="G2324" s="27"/>
      <c r="H2324" s="99"/>
      <c r="M2324" s="27"/>
      <c r="N2324" s="48"/>
    </row>
    <row r="2325" spans="1:14" s="7" customFormat="1" x14ac:dyDescent="0.35">
      <c r="A2325" s="113"/>
      <c r="B2325" s="27"/>
      <c r="C2325" s="48"/>
      <c r="D2325" s="27"/>
      <c r="E2325" s="38"/>
      <c r="F2325" s="27"/>
      <c r="G2325" s="27"/>
      <c r="H2325" s="99"/>
      <c r="M2325" s="27"/>
      <c r="N2325" s="48"/>
    </row>
    <row r="2326" spans="1:14" s="7" customFormat="1" x14ac:dyDescent="0.35">
      <c r="A2326" s="113"/>
      <c r="B2326" s="27"/>
      <c r="C2326" s="48"/>
      <c r="D2326" s="27"/>
      <c r="E2326" s="38"/>
      <c r="F2326" s="27"/>
      <c r="G2326" s="27"/>
      <c r="H2326" s="99"/>
      <c r="M2326" s="27"/>
      <c r="N2326" s="48"/>
    </row>
    <row r="2327" spans="1:14" s="7" customFormat="1" x14ac:dyDescent="0.35">
      <c r="A2327" s="113"/>
      <c r="B2327" s="27"/>
      <c r="C2327" s="48"/>
      <c r="D2327" s="27"/>
      <c r="E2327" s="38"/>
      <c r="F2327" s="27"/>
      <c r="G2327" s="27"/>
      <c r="H2327" s="99"/>
      <c r="M2327" s="27"/>
      <c r="N2327" s="48"/>
    </row>
    <row r="2328" spans="1:14" s="7" customFormat="1" x14ac:dyDescent="0.35">
      <c r="A2328" s="113"/>
      <c r="B2328" s="27"/>
      <c r="C2328" s="48"/>
      <c r="D2328" s="27"/>
      <c r="E2328" s="38"/>
      <c r="F2328" s="27"/>
      <c r="G2328" s="27"/>
      <c r="H2328" s="99"/>
      <c r="M2328" s="27"/>
      <c r="N2328" s="48"/>
    </row>
    <row r="2329" spans="1:14" s="7" customFormat="1" x14ac:dyDescent="0.35">
      <c r="A2329" s="113"/>
      <c r="B2329" s="27"/>
      <c r="C2329" s="48"/>
      <c r="D2329" s="27"/>
      <c r="E2329" s="38"/>
      <c r="F2329" s="27"/>
      <c r="G2329" s="27"/>
      <c r="H2329" s="99"/>
      <c r="M2329" s="27"/>
      <c r="N2329" s="48"/>
    </row>
    <row r="2330" spans="1:14" s="7" customFormat="1" x14ac:dyDescent="0.35">
      <c r="A2330" s="113"/>
      <c r="B2330" s="27"/>
      <c r="C2330" s="48"/>
      <c r="D2330" s="27"/>
      <c r="E2330" s="38"/>
      <c r="F2330" s="27"/>
      <c r="G2330" s="27"/>
      <c r="H2330" s="99"/>
      <c r="M2330" s="27"/>
      <c r="N2330" s="48"/>
    </row>
    <row r="2331" spans="1:14" s="7" customFormat="1" x14ac:dyDescent="0.35">
      <c r="A2331" s="113"/>
      <c r="B2331" s="27"/>
      <c r="C2331" s="48"/>
      <c r="D2331" s="27"/>
      <c r="E2331" s="38"/>
      <c r="F2331" s="27"/>
      <c r="G2331" s="27"/>
      <c r="H2331" s="99"/>
      <c r="M2331" s="27"/>
      <c r="N2331" s="48"/>
    </row>
    <row r="2332" spans="1:14" s="7" customFormat="1" x14ac:dyDescent="0.35">
      <c r="A2332" s="113"/>
      <c r="B2332" s="27"/>
      <c r="C2332" s="48"/>
      <c r="D2332" s="27"/>
      <c r="E2332" s="38"/>
      <c r="F2332" s="27"/>
      <c r="G2332" s="27"/>
      <c r="H2332" s="99"/>
      <c r="M2332" s="27"/>
      <c r="N2332" s="48"/>
    </row>
    <row r="2333" spans="1:14" s="7" customFormat="1" x14ac:dyDescent="0.35">
      <c r="A2333" s="113"/>
      <c r="B2333" s="27"/>
      <c r="C2333" s="48"/>
      <c r="D2333" s="27"/>
      <c r="E2333" s="38"/>
      <c r="F2333" s="27"/>
      <c r="G2333" s="27"/>
      <c r="H2333" s="99"/>
      <c r="M2333" s="27"/>
      <c r="N2333" s="48"/>
    </row>
    <row r="2334" spans="1:14" s="7" customFormat="1" x14ac:dyDescent="0.35">
      <c r="A2334" s="113"/>
      <c r="B2334" s="27"/>
      <c r="C2334" s="48"/>
      <c r="D2334" s="27"/>
      <c r="E2334" s="38"/>
      <c r="F2334" s="27"/>
      <c r="G2334" s="27"/>
      <c r="H2334" s="99"/>
      <c r="M2334" s="27"/>
      <c r="N2334" s="48"/>
    </row>
    <row r="2335" spans="1:14" s="7" customFormat="1" x14ac:dyDescent="0.35">
      <c r="A2335" s="113"/>
      <c r="B2335" s="27"/>
      <c r="C2335" s="48"/>
      <c r="D2335" s="27"/>
      <c r="E2335" s="38"/>
      <c r="F2335" s="27"/>
      <c r="G2335" s="27"/>
      <c r="H2335" s="99"/>
      <c r="M2335" s="27"/>
      <c r="N2335" s="48"/>
    </row>
    <row r="2336" spans="1:14" s="7" customFormat="1" x14ac:dyDescent="0.35">
      <c r="A2336" s="113"/>
      <c r="B2336" s="27"/>
      <c r="C2336" s="48"/>
      <c r="D2336" s="27"/>
      <c r="E2336" s="38"/>
      <c r="F2336" s="27"/>
      <c r="G2336" s="27"/>
      <c r="H2336" s="99"/>
      <c r="M2336" s="27"/>
      <c r="N2336" s="48"/>
    </row>
    <row r="2337" spans="1:14" s="7" customFormat="1" x14ac:dyDescent="0.35">
      <c r="A2337" s="113"/>
      <c r="B2337" s="27"/>
      <c r="C2337" s="48"/>
      <c r="D2337" s="27"/>
      <c r="E2337" s="38"/>
      <c r="F2337" s="27"/>
      <c r="G2337" s="27"/>
      <c r="H2337" s="99"/>
      <c r="M2337" s="27"/>
      <c r="N2337" s="48"/>
    </row>
    <row r="2338" spans="1:14" s="7" customFormat="1" x14ac:dyDescent="0.35">
      <c r="A2338" s="113"/>
      <c r="B2338" s="27"/>
      <c r="C2338" s="48"/>
      <c r="D2338" s="27"/>
      <c r="E2338" s="38"/>
      <c r="F2338" s="27"/>
      <c r="G2338" s="27"/>
      <c r="H2338" s="99"/>
      <c r="M2338" s="27"/>
      <c r="N2338" s="48"/>
    </row>
    <row r="2339" spans="1:14" s="7" customFormat="1" x14ac:dyDescent="0.35">
      <c r="A2339" s="113"/>
      <c r="B2339" s="27"/>
      <c r="C2339" s="48"/>
      <c r="D2339" s="27"/>
      <c r="E2339" s="38"/>
      <c r="F2339" s="27"/>
      <c r="G2339" s="27"/>
      <c r="H2339" s="99"/>
      <c r="M2339" s="27"/>
      <c r="N2339" s="48"/>
    </row>
    <row r="2340" spans="1:14" s="7" customFormat="1" x14ac:dyDescent="0.35">
      <c r="A2340" s="113"/>
      <c r="B2340" s="27"/>
      <c r="C2340" s="48"/>
      <c r="D2340" s="27"/>
      <c r="E2340" s="38"/>
      <c r="F2340" s="27"/>
      <c r="G2340" s="27"/>
      <c r="H2340" s="99"/>
      <c r="M2340" s="27"/>
      <c r="N2340" s="48"/>
    </row>
    <row r="2341" spans="1:14" s="7" customFormat="1" x14ac:dyDescent="0.35">
      <c r="A2341" s="113"/>
      <c r="B2341" s="27"/>
      <c r="C2341" s="48"/>
      <c r="D2341" s="27"/>
      <c r="E2341" s="38"/>
      <c r="F2341" s="27"/>
      <c r="G2341" s="27"/>
      <c r="H2341" s="99"/>
      <c r="M2341" s="27"/>
      <c r="N2341" s="48"/>
    </row>
    <row r="2342" spans="1:14" s="7" customFormat="1" x14ac:dyDescent="0.35">
      <c r="A2342" s="113"/>
      <c r="B2342" s="27"/>
      <c r="C2342" s="48"/>
      <c r="D2342" s="27"/>
      <c r="E2342" s="38"/>
      <c r="F2342" s="27"/>
      <c r="G2342" s="27"/>
      <c r="H2342" s="99"/>
      <c r="M2342" s="27"/>
      <c r="N2342" s="48"/>
    </row>
    <row r="2343" spans="1:14" s="7" customFormat="1" x14ac:dyDescent="0.35">
      <c r="A2343" s="113"/>
      <c r="B2343" s="27"/>
      <c r="C2343" s="48"/>
      <c r="D2343" s="27"/>
      <c r="E2343" s="38"/>
      <c r="F2343" s="27"/>
      <c r="G2343" s="27"/>
      <c r="H2343" s="99"/>
      <c r="M2343" s="27"/>
      <c r="N2343" s="48"/>
    </row>
    <row r="2344" spans="1:14" s="7" customFormat="1" x14ac:dyDescent="0.35">
      <c r="A2344" s="113"/>
      <c r="B2344" s="27"/>
      <c r="C2344" s="48"/>
      <c r="D2344" s="27"/>
      <c r="E2344" s="38"/>
      <c r="F2344" s="27"/>
      <c r="G2344" s="27"/>
      <c r="H2344" s="99"/>
      <c r="M2344" s="27"/>
      <c r="N2344" s="48"/>
    </row>
    <row r="2345" spans="1:14" s="7" customFormat="1" x14ac:dyDescent="0.35">
      <c r="A2345" s="113"/>
      <c r="B2345" s="27"/>
      <c r="C2345" s="48"/>
      <c r="D2345" s="27"/>
      <c r="E2345" s="38"/>
      <c r="F2345" s="27"/>
      <c r="G2345" s="27"/>
      <c r="H2345" s="99"/>
      <c r="M2345" s="27"/>
      <c r="N2345" s="48"/>
    </row>
    <row r="2346" spans="1:14" s="7" customFormat="1" x14ac:dyDescent="0.35">
      <c r="A2346" s="113"/>
      <c r="B2346" s="27"/>
      <c r="C2346" s="48"/>
      <c r="D2346" s="27"/>
      <c r="E2346" s="38"/>
      <c r="F2346" s="27"/>
      <c r="G2346" s="27"/>
      <c r="H2346" s="99"/>
      <c r="M2346" s="27"/>
      <c r="N2346" s="48"/>
    </row>
    <row r="2347" spans="1:14" s="7" customFormat="1" x14ac:dyDescent="0.35">
      <c r="A2347" s="113"/>
      <c r="B2347" s="27"/>
      <c r="C2347" s="48"/>
      <c r="D2347" s="27"/>
      <c r="E2347" s="38"/>
      <c r="F2347" s="27"/>
      <c r="G2347" s="27"/>
      <c r="H2347" s="99"/>
      <c r="M2347" s="27"/>
      <c r="N2347" s="48"/>
    </row>
    <row r="2348" spans="1:14" s="7" customFormat="1" x14ac:dyDescent="0.35">
      <c r="A2348" s="113"/>
      <c r="B2348" s="27"/>
      <c r="C2348" s="48"/>
      <c r="D2348" s="27"/>
      <c r="E2348" s="38"/>
      <c r="F2348" s="27"/>
      <c r="G2348" s="27"/>
      <c r="H2348" s="99"/>
      <c r="M2348" s="27"/>
      <c r="N2348" s="48"/>
    </row>
    <row r="2349" spans="1:14" s="7" customFormat="1" x14ac:dyDescent="0.35">
      <c r="A2349" s="113"/>
      <c r="B2349" s="27"/>
      <c r="C2349" s="48"/>
      <c r="D2349" s="27"/>
      <c r="E2349" s="38"/>
      <c r="F2349" s="27"/>
      <c r="G2349" s="27"/>
      <c r="H2349" s="99"/>
      <c r="M2349" s="27"/>
      <c r="N2349" s="48"/>
    </row>
    <row r="2350" spans="1:14" s="7" customFormat="1" x14ac:dyDescent="0.35">
      <c r="A2350" s="113"/>
      <c r="B2350" s="27"/>
      <c r="C2350" s="48"/>
      <c r="D2350" s="27"/>
      <c r="E2350" s="38"/>
      <c r="F2350" s="27"/>
      <c r="G2350" s="27"/>
      <c r="H2350" s="99"/>
      <c r="M2350" s="27"/>
      <c r="N2350" s="48"/>
    </row>
    <row r="2351" spans="1:14" s="7" customFormat="1" x14ac:dyDescent="0.35">
      <c r="A2351" s="113"/>
      <c r="B2351" s="27"/>
      <c r="C2351" s="48"/>
      <c r="D2351" s="27"/>
      <c r="E2351" s="38"/>
      <c r="F2351" s="27"/>
      <c r="G2351" s="27"/>
      <c r="H2351" s="99"/>
      <c r="M2351" s="27"/>
      <c r="N2351" s="48"/>
    </row>
    <row r="2352" spans="1:14" s="7" customFormat="1" x14ac:dyDescent="0.35">
      <c r="A2352" s="113"/>
      <c r="B2352" s="27"/>
      <c r="C2352" s="48"/>
      <c r="D2352" s="27"/>
      <c r="E2352" s="38"/>
      <c r="F2352" s="27"/>
      <c r="G2352" s="27"/>
      <c r="H2352" s="99"/>
      <c r="M2352" s="27"/>
      <c r="N2352" s="48"/>
    </row>
    <row r="2353" spans="1:14" s="7" customFormat="1" x14ac:dyDescent="0.35">
      <c r="A2353" s="113"/>
      <c r="B2353" s="27"/>
      <c r="C2353" s="48"/>
      <c r="D2353" s="27"/>
      <c r="E2353" s="38"/>
      <c r="F2353" s="27"/>
      <c r="G2353" s="27"/>
      <c r="H2353" s="99"/>
      <c r="M2353" s="27"/>
      <c r="N2353" s="48"/>
    </row>
    <row r="2354" spans="1:14" s="7" customFormat="1" x14ac:dyDescent="0.35">
      <c r="A2354" s="113"/>
      <c r="B2354" s="27"/>
      <c r="C2354" s="48"/>
      <c r="D2354" s="27"/>
      <c r="E2354" s="38"/>
      <c r="F2354" s="27"/>
      <c r="G2354" s="27"/>
      <c r="H2354" s="99"/>
      <c r="M2354" s="27"/>
      <c r="N2354" s="48"/>
    </row>
    <row r="2355" spans="1:14" s="7" customFormat="1" x14ac:dyDescent="0.35">
      <c r="A2355" s="113"/>
      <c r="B2355" s="27"/>
      <c r="C2355" s="48"/>
      <c r="D2355" s="27"/>
      <c r="E2355" s="38"/>
      <c r="F2355" s="27"/>
      <c r="G2355" s="27"/>
      <c r="H2355" s="99"/>
      <c r="M2355" s="27"/>
      <c r="N2355" s="48"/>
    </row>
    <row r="2356" spans="1:14" s="7" customFormat="1" x14ac:dyDescent="0.35">
      <c r="A2356" s="113"/>
      <c r="B2356" s="27"/>
      <c r="C2356" s="48"/>
      <c r="D2356" s="27"/>
      <c r="E2356" s="38"/>
      <c r="F2356" s="27"/>
      <c r="G2356" s="27"/>
      <c r="H2356" s="99"/>
      <c r="M2356" s="27"/>
      <c r="N2356" s="48"/>
    </row>
    <row r="2357" spans="1:14" s="7" customFormat="1" x14ac:dyDescent="0.35">
      <c r="A2357" s="113"/>
      <c r="B2357" s="27"/>
      <c r="C2357" s="48"/>
      <c r="D2357" s="27"/>
      <c r="E2357" s="38"/>
      <c r="F2357" s="27"/>
      <c r="G2357" s="27"/>
      <c r="H2357" s="99"/>
      <c r="M2357" s="27"/>
      <c r="N2357" s="48"/>
    </row>
    <row r="2358" spans="1:14" s="7" customFormat="1" x14ac:dyDescent="0.35">
      <c r="A2358" s="113"/>
      <c r="B2358" s="27"/>
      <c r="C2358" s="48"/>
      <c r="D2358" s="27"/>
      <c r="E2358" s="38"/>
      <c r="F2358" s="27"/>
      <c r="G2358" s="27"/>
      <c r="H2358" s="99"/>
      <c r="M2358" s="27"/>
      <c r="N2358" s="48"/>
    </row>
    <row r="2359" spans="1:14" s="7" customFormat="1" x14ac:dyDescent="0.35">
      <c r="A2359" s="113"/>
      <c r="B2359" s="27"/>
      <c r="C2359" s="48"/>
      <c r="D2359" s="27"/>
      <c r="E2359" s="38"/>
      <c r="F2359" s="27"/>
      <c r="G2359" s="27"/>
      <c r="H2359" s="99"/>
      <c r="M2359" s="27"/>
      <c r="N2359" s="48"/>
    </row>
    <row r="2360" spans="1:14" s="7" customFormat="1" x14ac:dyDescent="0.35">
      <c r="A2360" s="113"/>
      <c r="B2360" s="27"/>
      <c r="C2360" s="48"/>
      <c r="D2360" s="27"/>
      <c r="E2360" s="38"/>
      <c r="F2360" s="27"/>
      <c r="G2360" s="27"/>
      <c r="H2360" s="99"/>
      <c r="M2360" s="27"/>
      <c r="N2360" s="48"/>
    </row>
    <row r="2361" spans="1:14" s="7" customFormat="1" x14ac:dyDescent="0.35">
      <c r="A2361" s="113"/>
      <c r="B2361" s="27"/>
      <c r="C2361" s="48"/>
      <c r="D2361" s="27"/>
      <c r="E2361" s="38"/>
      <c r="F2361" s="27"/>
      <c r="G2361" s="27"/>
      <c r="H2361" s="99"/>
      <c r="M2361" s="27"/>
      <c r="N2361" s="48"/>
    </row>
    <row r="2362" spans="1:14" s="7" customFormat="1" x14ac:dyDescent="0.35">
      <c r="A2362" s="113"/>
      <c r="B2362" s="27"/>
      <c r="C2362" s="48"/>
      <c r="D2362" s="27"/>
      <c r="E2362" s="38"/>
      <c r="F2362" s="27"/>
      <c r="G2362" s="27"/>
      <c r="H2362" s="99"/>
      <c r="M2362" s="27"/>
      <c r="N2362" s="48"/>
    </row>
    <row r="2363" spans="1:14" s="7" customFormat="1" x14ac:dyDescent="0.35">
      <c r="A2363" s="113"/>
      <c r="B2363" s="27"/>
      <c r="C2363" s="48"/>
      <c r="D2363" s="27"/>
      <c r="E2363" s="38"/>
      <c r="F2363" s="27"/>
      <c r="G2363" s="27"/>
      <c r="H2363" s="99"/>
      <c r="M2363" s="27"/>
      <c r="N2363" s="48"/>
    </row>
    <row r="2364" spans="1:14" s="7" customFormat="1" x14ac:dyDescent="0.35">
      <c r="A2364" s="113"/>
      <c r="B2364" s="27"/>
      <c r="C2364" s="48"/>
      <c r="D2364" s="27"/>
      <c r="E2364" s="38"/>
      <c r="F2364" s="27"/>
      <c r="G2364" s="27"/>
      <c r="H2364" s="99"/>
      <c r="M2364" s="27"/>
      <c r="N2364" s="48"/>
    </row>
    <row r="2365" spans="1:14" s="7" customFormat="1" x14ac:dyDescent="0.35">
      <c r="A2365" s="113"/>
      <c r="B2365" s="27"/>
      <c r="C2365" s="48"/>
      <c r="D2365" s="27"/>
      <c r="E2365" s="38"/>
      <c r="F2365" s="27"/>
      <c r="G2365" s="27"/>
      <c r="H2365" s="99"/>
      <c r="M2365" s="27"/>
      <c r="N2365" s="48"/>
    </row>
    <row r="2366" spans="1:14" s="7" customFormat="1" x14ac:dyDescent="0.35">
      <c r="A2366" s="113"/>
      <c r="B2366" s="27"/>
      <c r="C2366" s="48"/>
      <c r="D2366" s="27"/>
      <c r="E2366" s="38"/>
      <c r="F2366" s="27"/>
      <c r="G2366" s="27"/>
      <c r="H2366" s="99"/>
      <c r="M2366" s="27"/>
      <c r="N2366" s="48"/>
    </row>
    <row r="2367" spans="1:14" s="7" customFormat="1" x14ac:dyDescent="0.35">
      <c r="A2367" s="113"/>
      <c r="B2367" s="27"/>
      <c r="C2367" s="48"/>
      <c r="D2367" s="27"/>
      <c r="E2367" s="38"/>
      <c r="F2367" s="27"/>
      <c r="G2367" s="27"/>
      <c r="H2367" s="99"/>
      <c r="M2367" s="27"/>
      <c r="N2367" s="48"/>
    </row>
    <row r="2368" spans="1:14" s="7" customFormat="1" x14ac:dyDescent="0.35">
      <c r="A2368" s="113"/>
      <c r="B2368" s="27"/>
      <c r="C2368" s="48"/>
      <c r="D2368" s="27"/>
      <c r="E2368" s="38"/>
      <c r="F2368" s="27"/>
      <c r="G2368" s="27"/>
      <c r="H2368" s="99"/>
      <c r="M2368" s="27"/>
      <c r="N2368" s="48"/>
    </row>
    <row r="2369" spans="1:14" s="7" customFormat="1" x14ac:dyDescent="0.35">
      <c r="A2369" s="113"/>
      <c r="B2369" s="27"/>
      <c r="C2369" s="48"/>
      <c r="D2369" s="27"/>
      <c r="E2369" s="38"/>
      <c r="F2369" s="27"/>
      <c r="G2369" s="27"/>
      <c r="H2369" s="99"/>
      <c r="M2369" s="27"/>
      <c r="N2369" s="48"/>
    </row>
    <row r="2370" spans="1:14" s="7" customFormat="1" x14ac:dyDescent="0.35">
      <c r="A2370" s="113"/>
      <c r="B2370" s="27"/>
      <c r="C2370" s="48"/>
      <c r="D2370" s="27"/>
      <c r="E2370" s="38"/>
      <c r="F2370" s="27"/>
      <c r="G2370" s="27"/>
      <c r="H2370" s="99"/>
      <c r="M2370" s="27"/>
      <c r="N2370" s="48"/>
    </row>
    <row r="2371" spans="1:14" s="7" customFormat="1" x14ac:dyDescent="0.35">
      <c r="A2371" s="113"/>
      <c r="B2371" s="27"/>
      <c r="C2371" s="48"/>
      <c r="D2371" s="27"/>
      <c r="E2371" s="38"/>
      <c r="F2371" s="27"/>
      <c r="G2371" s="27"/>
      <c r="H2371" s="99"/>
      <c r="M2371" s="27"/>
      <c r="N2371" s="48"/>
    </row>
    <row r="2372" spans="1:14" s="7" customFormat="1" x14ac:dyDescent="0.35">
      <c r="A2372" s="113"/>
      <c r="B2372" s="27"/>
      <c r="C2372" s="48"/>
      <c r="D2372" s="27"/>
      <c r="E2372" s="38"/>
      <c r="F2372" s="27"/>
      <c r="G2372" s="27"/>
      <c r="H2372" s="99"/>
      <c r="M2372" s="27"/>
      <c r="N2372" s="48"/>
    </row>
    <row r="2373" spans="1:14" s="7" customFormat="1" x14ac:dyDescent="0.35">
      <c r="A2373" s="113"/>
      <c r="B2373" s="27"/>
      <c r="C2373" s="48"/>
      <c r="D2373" s="27"/>
      <c r="E2373" s="38"/>
      <c r="F2373" s="27"/>
      <c r="G2373" s="27"/>
      <c r="H2373" s="99"/>
      <c r="M2373" s="27"/>
      <c r="N2373" s="48"/>
    </row>
    <row r="2374" spans="1:14" s="7" customFormat="1" x14ac:dyDescent="0.35">
      <c r="A2374" s="113"/>
      <c r="B2374" s="27"/>
      <c r="C2374" s="48"/>
      <c r="D2374" s="27"/>
      <c r="E2374" s="38"/>
      <c r="F2374" s="27"/>
      <c r="G2374" s="27"/>
      <c r="H2374" s="99"/>
      <c r="M2374" s="27"/>
      <c r="N2374" s="48"/>
    </row>
    <row r="2375" spans="1:14" s="7" customFormat="1" x14ac:dyDescent="0.35">
      <c r="A2375" s="113"/>
      <c r="B2375" s="27"/>
      <c r="C2375" s="48"/>
      <c r="D2375" s="27"/>
      <c r="E2375" s="38"/>
      <c r="F2375" s="27"/>
      <c r="G2375" s="27"/>
      <c r="H2375" s="99"/>
      <c r="M2375" s="27"/>
      <c r="N2375" s="48"/>
    </row>
    <row r="2376" spans="1:14" s="7" customFormat="1" x14ac:dyDescent="0.35">
      <c r="A2376" s="113"/>
      <c r="B2376" s="27"/>
      <c r="C2376" s="48"/>
      <c r="D2376" s="27"/>
      <c r="E2376" s="38"/>
      <c r="F2376" s="27"/>
      <c r="G2376" s="27"/>
      <c r="H2376" s="99"/>
      <c r="M2376" s="27"/>
      <c r="N2376" s="48"/>
    </row>
    <row r="2377" spans="1:14" s="7" customFormat="1" x14ac:dyDescent="0.35">
      <c r="A2377" s="113"/>
      <c r="B2377" s="27"/>
      <c r="C2377" s="48"/>
      <c r="D2377" s="27"/>
      <c r="E2377" s="38"/>
      <c r="F2377" s="27"/>
      <c r="G2377" s="27"/>
      <c r="H2377" s="99"/>
      <c r="M2377" s="27"/>
      <c r="N2377" s="48"/>
    </row>
    <row r="2378" spans="1:14" s="7" customFormat="1" x14ac:dyDescent="0.35">
      <c r="A2378" s="113"/>
      <c r="B2378" s="27"/>
      <c r="C2378" s="48"/>
      <c r="D2378" s="27"/>
      <c r="E2378" s="38"/>
      <c r="F2378" s="27"/>
      <c r="G2378" s="27"/>
      <c r="H2378" s="99"/>
      <c r="M2378" s="27"/>
      <c r="N2378" s="48"/>
    </row>
    <row r="2379" spans="1:14" s="7" customFormat="1" x14ac:dyDescent="0.35">
      <c r="A2379" s="113"/>
      <c r="B2379" s="27"/>
      <c r="C2379" s="48"/>
      <c r="D2379" s="27"/>
      <c r="E2379" s="38"/>
      <c r="F2379" s="27"/>
      <c r="G2379" s="27"/>
      <c r="H2379" s="99"/>
      <c r="M2379" s="27"/>
      <c r="N2379" s="48"/>
    </row>
    <row r="2380" spans="1:14" s="7" customFormat="1" x14ac:dyDescent="0.35">
      <c r="A2380" s="113"/>
      <c r="B2380" s="27"/>
      <c r="C2380" s="48"/>
      <c r="D2380" s="27"/>
      <c r="E2380" s="38"/>
      <c r="F2380" s="27"/>
      <c r="G2380" s="27"/>
      <c r="H2380" s="99"/>
      <c r="M2380" s="27"/>
      <c r="N2380" s="48"/>
    </row>
    <row r="2381" spans="1:14" s="7" customFormat="1" x14ac:dyDescent="0.35">
      <c r="A2381" s="113"/>
      <c r="B2381" s="27"/>
      <c r="C2381" s="48"/>
      <c r="D2381" s="27"/>
      <c r="E2381" s="38"/>
      <c r="F2381" s="27"/>
      <c r="G2381" s="27"/>
      <c r="H2381" s="99"/>
      <c r="M2381" s="27"/>
      <c r="N2381" s="48"/>
    </row>
    <row r="2382" spans="1:14" s="7" customFormat="1" x14ac:dyDescent="0.35">
      <c r="A2382" s="113"/>
      <c r="B2382" s="27"/>
      <c r="C2382" s="48"/>
      <c r="D2382" s="27"/>
      <c r="E2382" s="38"/>
      <c r="F2382" s="27"/>
      <c r="G2382" s="27"/>
      <c r="H2382" s="99"/>
      <c r="M2382" s="27"/>
      <c r="N2382" s="48"/>
    </row>
    <row r="2383" spans="1:14" s="7" customFormat="1" x14ac:dyDescent="0.35">
      <c r="A2383" s="113"/>
      <c r="B2383" s="27"/>
      <c r="C2383" s="48"/>
      <c r="D2383" s="27"/>
      <c r="E2383" s="38"/>
      <c r="F2383" s="27"/>
      <c r="G2383" s="27"/>
      <c r="H2383" s="99"/>
      <c r="M2383" s="27"/>
      <c r="N2383" s="48"/>
    </row>
    <row r="2384" spans="1:14" s="7" customFormat="1" x14ac:dyDescent="0.35">
      <c r="A2384" s="113"/>
      <c r="B2384" s="27"/>
      <c r="C2384" s="48"/>
      <c r="D2384" s="27"/>
      <c r="E2384" s="38"/>
      <c r="F2384" s="27"/>
      <c r="G2384" s="27"/>
      <c r="H2384" s="99"/>
      <c r="M2384" s="27"/>
      <c r="N2384" s="48"/>
    </row>
    <row r="2385" spans="1:14" s="7" customFormat="1" x14ac:dyDescent="0.35">
      <c r="A2385" s="113"/>
      <c r="B2385" s="27"/>
      <c r="C2385" s="48"/>
      <c r="D2385" s="27"/>
      <c r="E2385" s="38"/>
      <c r="F2385" s="27"/>
      <c r="G2385" s="27"/>
      <c r="H2385" s="99"/>
      <c r="M2385" s="27"/>
      <c r="N2385" s="48"/>
    </row>
    <row r="2386" spans="1:14" s="7" customFormat="1" x14ac:dyDescent="0.35">
      <c r="A2386" s="113"/>
      <c r="B2386" s="27"/>
      <c r="C2386" s="48"/>
      <c r="D2386" s="27"/>
      <c r="E2386" s="38"/>
      <c r="F2386" s="27"/>
      <c r="G2386" s="27"/>
      <c r="H2386" s="99"/>
      <c r="M2386" s="27"/>
      <c r="N2386" s="48"/>
    </row>
    <row r="2387" spans="1:14" s="7" customFormat="1" x14ac:dyDescent="0.35">
      <c r="A2387" s="113"/>
      <c r="B2387" s="27"/>
      <c r="C2387" s="48"/>
      <c r="D2387" s="27"/>
      <c r="E2387" s="38"/>
      <c r="F2387" s="27"/>
      <c r="G2387" s="27"/>
      <c r="H2387" s="99"/>
      <c r="M2387" s="27"/>
      <c r="N2387" s="48"/>
    </row>
    <row r="2388" spans="1:14" s="7" customFormat="1" x14ac:dyDescent="0.35">
      <c r="A2388" s="113"/>
      <c r="B2388" s="27"/>
      <c r="C2388" s="48"/>
      <c r="D2388" s="27"/>
      <c r="E2388" s="38"/>
      <c r="F2388" s="27"/>
      <c r="G2388" s="27"/>
      <c r="H2388" s="99"/>
      <c r="M2388" s="27"/>
      <c r="N2388" s="48"/>
    </row>
    <row r="2389" spans="1:14" s="7" customFormat="1" x14ac:dyDescent="0.35">
      <c r="A2389" s="113"/>
      <c r="B2389" s="27"/>
      <c r="C2389" s="48"/>
      <c r="D2389" s="27"/>
      <c r="E2389" s="38"/>
      <c r="F2389" s="27"/>
      <c r="G2389" s="27"/>
      <c r="H2389" s="99"/>
      <c r="M2389" s="27"/>
      <c r="N2389" s="48"/>
    </row>
    <row r="2390" spans="1:14" s="7" customFormat="1" x14ac:dyDescent="0.35">
      <c r="A2390" s="113"/>
      <c r="B2390" s="27"/>
      <c r="C2390" s="48"/>
      <c r="D2390" s="27"/>
      <c r="E2390" s="38"/>
      <c r="F2390" s="27"/>
      <c r="G2390" s="27"/>
      <c r="H2390" s="99"/>
      <c r="M2390" s="27"/>
      <c r="N2390" s="48"/>
    </row>
    <row r="2391" spans="1:14" s="7" customFormat="1" x14ac:dyDescent="0.35">
      <c r="A2391" s="113"/>
      <c r="B2391" s="27"/>
      <c r="C2391" s="48"/>
      <c r="D2391" s="27"/>
      <c r="E2391" s="38"/>
      <c r="F2391" s="27"/>
      <c r="G2391" s="27"/>
      <c r="H2391" s="99"/>
      <c r="M2391" s="27"/>
      <c r="N2391" s="48"/>
    </row>
    <row r="2392" spans="1:14" s="7" customFormat="1" x14ac:dyDescent="0.35">
      <c r="A2392" s="113"/>
      <c r="B2392" s="27"/>
      <c r="C2392" s="48"/>
      <c r="D2392" s="27"/>
      <c r="E2392" s="38"/>
      <c r="F2392" s="27"/>
      <c r="G2392" s="27"/>
      <c r="H2392" s="99"/>
      <c r="M2392" s="27"/>
      <c r="N2392" s="48"/>
    </row>
    <row r="2393" spans="1:14" s="7" customFormat="1" x14ac:dyDescent="0.35">
      <c r="A2393" s="113"/>
      <c r="B2393" s="27"/>
      <c r="C2393" s="48"/>
      <c r="D2393" s="27"/>
      <c r="E2393" s="38"/>
      <c r="F2393" s="27"/>
      <c r="G2393" s="27"/>
      <c r="H2393" s="99"/>
      <c r="M2393" s="27"/>
      <c r="N2393" s="48"/>
    </row>
    <row r="2394" spans="1:14" s="7" customFormat="1" x14ac:dyDescent="0.35">
      <c r="A2394" s="113"/>
      <c r="B2394" s="27"/>
      <c r="C2394" s="48"/>
      <c r="D2394" s="27"/>
      <c r="E2394" s="38"/>
      <c r="F2394" s="27"/>
      <c r="G2394" s="27"/>
      <c r="H2394" s="99"/>
      <c r="M2394" s="27"/>
      <c r="N2394" s="48"/>
    </row>
    <row r="2395" spans="1:14" s="7" customFormat="1" x14ac:dyDescent="0.35">
      <c r="A2395" s="113"/>
      <c r="B2395" s="27"/>
      <c r="C2395" s="48"/>
      <c r="D2395" s="27"/>
      <c r="E2395" s="38"/>
      <c r="F2395" s="27"/>
      <c r="G2395" s="27"/>
      <c r="H2395" s="99"/>
      <c r="M2395" s="27"/>
      <c r="N2395" s="48"/>
    </row>
    <row r="2396" spans="1:14" s="7" customFormat="1" x14ac:dyDescent="0.35">
      <c r="A2396" s="113"/>
      <c r="B2396" s="27"/>
      <c r="C2396" s="48"/>
      <c r="D2396" s="27"/>
      <c r="E2396" s="38"/>
      <c r="F2396" s="27"/>
      <c r="G2396" s="27"/>
      <c r="H2396" s="99"/>
      <c r="M2396" s="27"/>
      <c r="N2396" s="48"/>
    </row>
    <row r="2397" spans="1:14" s="7" customFormat="1" x14ac:dyDescent="0.35">
      <c r="A2397" s="113"/>
      <c r="B2397" s="27"/>
      <c r="C2397" s="48"/>
      <c r="D2397" s="27"/>
      <c r="E2397" s="38"/>
      <c r="F2397" s="27"/>
      <c r="G2397" s="27"/>
      <c r="H2397" s="99"/>
      <c r="M2397" s="27"/>
      <c r="N2397" s="48"/>
    </row>
    <row r="2398" spans="1:14" s="7" customFormat="1" x14ac:dyDescent="0.35">
      <c r="A2398" s="113"/>
      <c r="B2398" s="27"/>
      <c r="C2398" s="48"/>
      <c r="D2398" s="27"/>
      <c r="E2398" s="38"/>
      <c r="F2398" s="27"/>
      <c r="G2398" s="27"/>
      <c r="H2398" s="99"/>
      <c r="M2398" s="27"/>
      <c r="N2398" s="48"/>
    </row>
    <row r="2399" spans="1:14" s="7" customFormat="1" x14ac:dyDescent="0.35">
      <c r="A2399" s="113"/>
      <c r="B2399" s="27"/>
      <c r="C2399" s="48"/>
      <c r="D2399" s="27"/>
      <c r="E2399" s="38"/>
      <c r="F2399" s="27"/>
      <c r="G2399" s="27"/>
      <c r="H2399" s="99"/>
      <c r="M2399" s="27"/>
      <c r="N2399" s="48"/>
    </row>
    <row r="2400" spans="1:14" s="7" customFormat="1" x14ac:dyDescent="0.35">
      <c r="A2400" s="113"/>
      <c r="B2400" s="27"/>
      <c r="C2400" s="48"/>
      <c r="D2400" s="27"/>
      <c r="E2400" s="38"/>
      <c r="F2400" s="27"/>
      <c r="G2400" s="27"/>
      <c r="H2400" s="99"/>
      <c r="M2400" s="27"/>
      <c r="N2400" s="48"/>
    </row>
    <row r="2401" spans="1:14" s="7" customFormat="1" x14ac:dyDescent="0.35">
      <c r="A2401" s="113"/>
      <c r="B2401" s="27"/>
      <c r="C2401" s="48"/>
      <c r="D2401" s="27"/>
      <c r="E2401" s="38"/>
      <c r="F2401" s="27"/>
      <c r="G2401" s="27"/>
      <c r="H2401" s="99"/>
      <c r="M2401" s="27"/>
      <c r="N2401" s="48"/>
    </row>
    <row r="2402" spans="1:14" s="7" customFormat="1" x14ac:dyDescent="0.35">
      <c r="A2402" s="113"/>
      <c r="B2402" s="27"/>
      <c r="C2402" s="48"/>
      <c r="D2402" s="27"/>
      <c r="E2402" s="38"/>
      <c r="F2402" s="27"/>
      <c r="G2402" s="27"/>
      <c r="H2402" s="99"/>
      <c r="M2402" s="27"/>
      <c r="N2402" s="48"/>
    </row>
    <row r="2403" spans="1:14" s="7" customFormat="1" x14ac:dyDescent="0.35">
      <c r="A2403" s="113"/>
      <c r="B2403" s="27"/>
      <c r="C2403" s="48"/>
      <c r="D2403" s="27"/>
      <c r="E2403" s="38"/>
      <c r="F2403" s="27"/>
      <c r="G2403" s="27"/>
      <c r="H2403" s="99"/>
      <c r="M2403" s="27"/>
      <c r="N2403" s="48"/>
    </row>
    <row r="2404" spans="1:14" s="7" customFormat="1" x14ac:dyDescent="0.35">
      <c r="A2404" s="113"/>
      <c r="B2404" s="27"/>
      <c r="C2404" s="48"/>
      <c r="D2404" s="27"/>
      <c r="E2404" s="38"/>
      <c r="F2404" s="27"/>
      <c r="G2404" s="27"/>
      <c r="H2404" s="99"/>
      <c r="M2404" s="27"/>
      <c r="N2404" s="48"/>
    </row>
    <row r="2405" spans="1:14" s="7" customFormat="1" x14ac:dyDescent="0.35">
      <c r="A2405" s="113"/>
      <c r="B2405" s="27"/>
      <c r="C2405" s="48"/>
      <c r="D2405" s="27"/>
      <c r="E2405" s="38"/>
      <c r="F2405" s="27"/>
      <c r="G2405" s="27"/>
      <c r="H2405" s="99"/>
      <c r="M2405" s="27"/>
      <c r="N2405" s="48"/>
    </row>
    <row r="2406" spans="1:14" s="7" customFormat="1" x14ac:dyDescent="0.35">
      <c r="A2406" s="113"/>
      <c r="B2406" s="27"/>
      <c r="C2406" s="48"/>
      <c r="D2406" s="27"/>
      <c r="E2406" s="38"/>
      <c r="F2406" s="27"/>
      <c r="G2406" s="27"/>
      <c r="H2406" s="99"/>
      <c r="M2406" s="27"/>
      <c r="N2406" s="48"/>
    </row>
    <row r="2407" spans="1:14" s="7" customFormat="1" x14ac:dyDescent="0.35">
      <c r="A2407" s="113"/>
      <c r="B2407" s="27"/>
      <c r="C2407" s="48"/>
      <c r="D2407" s="27"/>
      <c r="E2407" s="38"/>
      <c r="F2407" s="27"/>
      <c r="G2407" s="27"/>
      <c r="H2407" s="99"/>
      <c r="M2407" s="27"/>
      <c r="N2407" s="48"/>
    </row>
    <row r="2408" spans="1:14" s="7" customFormat="1" x14ac:dyDescent="0.35">
      <c r="A2408" s="113"/>
      <c r="B2408" s="27"/>
      <c r="C2408" s="48"/>
      <c r="D2408" s="27"/>
      <c r="E2408" s="38"/>
      <c r="F2408" s="27"/>
      <c r="G2408" s="27"/>
      <c r="H2408" s="99"/>
      <c r="M2408" s="27"/>
      <c r="N2408" s="48"/>
    </row>
    <row r="2409" spans="1:14" s="7" customFormat="1" x14ac:dyDescent="0.35">
      <c r="A2409" s="113"/>
      <c r="B2409" s="27"/>
      <c r="C2409" s="48"/>
      <c r="D2409" s="27"/>
      <c r="E2409" s="38"/>
      <c r="F2409" s="27"/>
      <c r="G2409" s="27"/>
      <c r="H2409" s="99"/>
      <c r="M2409" s="27"/>
      <c r="N2409" s="48"/>
    </row>
    <row r="2410" spans="1:14" s="7" customFormat="1" x14ac:dyDescent="0.35">
      <c r="A2410" s="113"/>
      <c r="B2410" s="27"/>
      <c r="C2410" s="48"/>
      <c r="D2410" s="27"/>
      <c r="E2410" s="38"/>
      <c r="F2410" s="27"/>
      <c r="G2410" s="27"/>
      <c r="H2410" s="99"/>
      <c r="M2410" s="27"/>
      <c r="N2410" s="48"/>
    </row>
    <row r="2411" spans="1:14" s="7" customFormat="1" x14ac:dyDescent="0.35">
      <c r="A2411" s="113"/>
      <c r="B2411" s="27"/>
      <c r="C2411" s="48"/>
      <c r="D2411" s="27"/>
      <c r="E2411" s="38"/>
      <c r="F2411" s="27"/>
      <c r="G2411" s="27"/>
      <c r="H2411" s="99"/>
      <c r="M2411" s="27"/>
      <c r="N2411" s="48"/>
    </row>
    <row r="2412" spans="1:14" s="7" customFormat="1" x14ac:dyDescent="0.35">
      <c r="A2412" s="113"/>
      <c r="B2412" s="27"/>
      <c r="C2412" s="48"/>
      <c r="D2412" s="27"/>
      <c r="E2412" s="38"/>
      <c r="F2412" s="27"/>
      <c r="G2412" s="27"/>
      <c r="H2412" s="99"/>
      <c r="M2412" s="27"/>
      <c r="N2412" s="48"/>
    </row>
    <row r="2413" spans="1:14" s="7" customFormat="1" x14ac:dyDescent="0.35">
      <c r="A2413" s="113"/>
      <c r="B2413" s="27"/>
      <c r="C2413" s="48"/>
      <c r="D2413" s="27"/>
      <c r="E2413" s="38"/>
      <c r="F2413" s="27"/>
      <c r="G2413" s="27"/>
      <c r="H2413" s="99"/>
      <c r="M2413" s="27"/>
      <c r="N2413" s="48"/>
    </row>
    <row r="2414" spans="1:14" s="7" customFormat="1" x14ac:dyDescent="0.35">
      <c r="A2414" s="113"/>
      <c r="B2414" s="27"/>
      <c r="C2414" s="48"/>
      <c r="D2414" s="27"/>
      <c r="E2414" s="38"/>
      <c r="F2414" s="27"/>
      <c r="G2414" s="27"/>
      <c r="H2414" s="99"/>
      <c r="M2414" s="27"/>
      <c r="N2414" s="48"/>
    </row>
    <row r="2415" spans="1:14" s="7" customFormat="1" x14ac:dyDescent="0.35">
      <c r="A2415" s="113"/>
      <c r="B2415" s="27"/>
      <c r="C2415" s="48"/>
      <c r="D2415" s="27"/>
      <c r="E2415" s="38"/>
      <c r="F2415" s="27"/>
      <c r="G2415" s="27"/>
      <c r="H2415" s="99"/>
      <c r="M2415" s="27"/>
      <c r="N2415" s="48"/>
    </row>
    <row r="2416" spans="1:14" s="7" customFormat="1" x14ac:dyDescent="0.35">
      <c r="A2416" s="113"/>
      <c r="B2416" s="27"/>
      <c r="C2416" s="48"/>
      <c r="D2416" s="27"/>
      <c r="E2416" s="38"/>
      <c r="F2416" s="27"/>
      <c r="G2416" s="27"/>
      <c r="H2416" s="99"/>
      <c r="M2416" s="27"/>
      <c r="N2416" s="48"/>
    </row>
    <row r="2417" spans="1:14" s="7" customFormat="1" x14ac:dyDescent="0.35">
      <c r="A2417" s="113"/>
      <c r="B2417" s="27"/>
      <c r="C2417" s="48"/>
      <c r="D2417" s="27"/>
      <c r="E2417" s="38"/>
      <c r="F2417" s="27"/>
      <c r="G2417" s="27"/>
      <c r="H2417" s="99"/>
      <c r="M2417" s="27"/>
      <c r="N2417" s="48"/>
    </row>
    <row r="2418" spans="1:14" s="7" customFormat="1" x14ac:dyDescent="0.35">
      <c r="A2418" s="113"/>
      <c r="B2418" s="27"/>
      <c r="C2418" s="48"/>
      <c r="D2418" s="27"/>
      <c r="E2418" s="38"/>
      <c r="F2418" s="27"/>
      <c r="G2418" s="27"/>
      <c r="H2418" s="99"/>
      <c r="M2418" s="27"/>
      <c r="N2418" s="48"/>
    </row>
    <row r="2419" spans="1:14" s="7" customFormat="1" x14ac:dyDescent="0.35">
      <c r="A2419" s="113"/>
      <c r="B2419" s="27"/>
      <c r="C2419" s="48"/>
      <c r="D2419" s="27"/>
      <c r="E2419" s="38"/>
      <c r="F2419" s="27"/>
      <c r="G2419" s="27"/>
      <c r="H2419" s="99"/>
      <c r="M2419" s="27"/>
      <c r="N2419" s="48"/>
    </row>
    <row r="2420" spans="1:14" s="7" customFormat="1" x14ac:dyDescent="0.35">
      <c r="A2420" s="113"/>
      <c r="B2420" s="27"/>
      <c r="C2420" s="48"/>
      <c r="D2420" s="27"/>
      <c r="E2420" s="38"/>
      <c r="F2420" s="27"/>
      <c r="G2420" s="27"/>
      <c r="H2420" s="99"/>
      <c r="M2420" s="27"/>
      <c r="N2420" s="48"/>
    </row>
    <row r="2421" spans="1:14" s="7" customFormat="1" x14ac:dyDescent="0.35">
      <c r="A2421" s="113"/>
      <c r="B2421" s="27"/>
      <c r="C2421" s="48"/>
      <c r="D2421" s="27"/>
      <c r="E2421" s="38"/>
      <c r="F2421" s="27"/>
      <c r="G2421" s="27"/>
      <c r="H2421" s="99"/>
      <c r="M2421" s="27"/>
      <c r="N2421" s="48"/>
    </row>
    <row r="2422" spans="1:14" s="7" customFormat="1" x14ac:dyDescent="0.35">
      <c r="A2422" s="113"/>
      <c r="B2422" s="27"/>
      <c r="C2422" s="48"/>
      <c r="D2422" s="27"/>
      <c r="E2422" s="38"/>
      <c r="F2422" s="27"/>
      <c r="G2422" s="27"/>
      <c r="H2422" s="99"/>
      <c r="M2422" s="27"/>
      <c r="N2422" s="48"/>
    </row>
    <row r="2423" spans="1:14" s="7" customFormat="1" x14ac:dyDescent="0.35">
      <c r="A2423" s="113"/>
      <c r="B2423" s="27"/>
      <c r="C2423" s="48"/>
      <c r="D2423" s="27"/>
      <c r="E2423" s="38"/>
      <c r="F2423" s="27"/>
      <c r="G2423" s="27"/>
      <c r="H2423" s="99"/>
      <c r="M2423" s="27"/>
      <c r="N2423" s="48"/>
    </row>
    <row r="2424" spans="1:14" s="7" customFormat="1" x14ac:dyDescent="0.35">
      <c r="A2424" s="113"/>
      <c r="B2424" s="27"/>
      <c r="C2424" s="48"/>
      <c r="D2424" s="27"/>
      <c r="E2424" s="38"/>
      <c r="F2424" s="27"/>
      <c r="G2424" s="27"/>
      <c r="H2424" s="99"/>
      <c r="M2424" s="27"/>
      <c r="N2424" s="48"/>
    </row>
    <row r="2425" spans="1:14" s="7" customFormat="1" x14ac:dyDescent="0.35">
      <c r="A2425" s="113"/>
      <c r="B2425" s="27"/>
      <c r="C2425" s="48"/>
      <c r="D2425" s="27"/>
      <c r="E2425" s="38"/>
      <c r="F2425" s="27"/>
      <c r="G2425" s="27"/>
      <c r="H2425" s="99"/>
      <c r="M2425" s="27"/>
      <c r="N2425" s="48"/>
    </row>
    <row r="2426" spans="1:14" s="7" customFormat="1" x14ac:dyDescent="0.35">
      <c r="A2426" s="113"/>
      <c r="B2426" s="27"/>
      <c r="C2426" s="48"/>
      <c r="D2426" s="27"/>
      <c r="E2426" s="38"/>
      <c r="F2426" s="27"/>
      <c r="G2426" s="27"/>
      <c r="H2426" s="99"/>
      <c r="M2426" s="27"/>
      <c r="N2426" s="48"/>
    </row>
    <row r="2427" spans="1:14" s="7" customFormat="1" x14ac:dyDescent="0.35">
      <c r="A2427" s="113"/>
      <c r="B2427" s="27"/>
      <c r="C2427" s="48"/>
      <c r="D2427" s="27"/>
      <c r="E2427" s="38"/>
      <c r="F2427" s="27"/>
      <c r="G2427" s="27"/>
      <c r="H2427" s="99"/>
      <c r="M2427" s="27"/>
      <c r="N2427" s="48"/>
    </row>
    <row r="2428" spans="1:14" s="7" customFormat="1" x14ac:dyDescent="0.35">
      <c r="A2428" s="113"/>
      <c r="B2428" s="27"/>
      <c r="C2428" s="48"/>
      <c r="D2428" s="27"/>
      <c r="E2428" s="38"/>
      <c r="F2428" s="27"/>
      <c r="G2428" s="27"/>
      <c r="H2428" s="99"/>
      <c r="M2428" s="27"/>
      <c r="N2428" s="48"/>
    </row>
    <row r="2429" spans="1:14" s="7" customFormat="1" x14ac:dyDescent="0.35">
      <c r="A2429" s="113"/>
      <c r="B2429" s="27"/>
      <c r="C2429" s="48"/>
      <c r="D2429" s="27"/>
      <c r="E2429" s="38"/>
      <c r="F2429" s="27"/>
      <c r="G2429" s="27"/>
      <c r="H2429" s="99"/>
      <c r="M2429" s="27"/>
      <c r="N2429" s="48"/>
    </row>
    <row r="2430" spans="1:14" s="7" customFormat="1" x14ac:dyDescent="0.35">
      <c r="A2430" s="113"/>
      <c r="B2430" s="27"/>
      <c r="C2430" s="48"/>
      <c r="D2430" s="27"/>
      <c r="E2430" s="38"/>
      <c r="F2430" s="27"/>
      <c r="G2430" s="27"/>
      <c r="H2430" s="99"/>
      <c r="M2430" s="27"/>
      <c r="N2430" s="48"/>
    </row>
    <row r="2431" spans="1:14" s="7" customFormat="1" x14ac:dyDescent="0.35">
      <c r="A2431" s="113"/>
      <c r="B2431" s="27"/>
      <c r="C2431" s="48"/>
      <c r="D2431" s="27"/>
      <c r="E2431" s="38"/>
      <c r="F2431" s="27"/>
      <c r="G2431" s="27"/>
      <c r="H2431" s="99"/>
      <c r="M2431" s="27"/>
      <c r="N2431" s="48"/>
    </row>
    <row r="2432" spans="1:14" s="7" customFormat="1" x14ac:dyDescent="0.35">
      <c r="A2432" s="113"/>
      <c r="B2432" s="27"/>
      <c r="C2432" s="48"/>
      <c r="D2432" s="27"/>
      <c r="E2432" s="38"/>
      <c r="F2432" s="27"/>
      <c r="G2432" s="27"/>
      <c r="H2432" s="99"/>
      <c r="M2432" s="27"/>
      <c r="N2432" s="48"/>
    </row>
    <row r="2433" spans="1:14" s="7" customFormat="1" x14ac:dyDescent="0.35">
      <c r="A2433" s="113"/>
      <c r="B2433" s="27"/>
      <c r="C2433" s="48"/>
      <c r="D2433" s="27"/>
      <c r="E2433" s="38"/>
      <c r="F2433" s="27"/>
      <c r="G2433" s="27"/>
      <c r="H2433" s="99"/>
      <c r="M2433" s="27"/>
      <c r="N2433" s="48"/>
    </row>
    <row r="2434" spans="1:14" s="7" customFormat="1" x14ac:dyDescent="0.35">
      <c r="A2434" s="113"/>
      <c r="B2434" s="27"/>
      <c r="C2434" s="48"/>
      <c r="D2434" s="27"/>
      <c r="E2434" s="38"/>
      <c r="F2434" s="27"/>
      <c r="G2434" s="27"/>
      <c r="H2434" s="99"/>
      <c r="M2434" s="27"/>
      <c r="N2434" s="48"/>
    </row>
    <row r="2435" spans="1:14" s="7" customFormat="1" x14ac:dyDescent="0.35">
      <c r="A2435" s="113"/>
      <c r="B2435" s="27"/>
      <c r="C2435" s="48"/>
      <c r="D2435" s="27"/>
      <c r="E2435" s="38"/>
      <c r="F2435" s="27"/>
      <c r="G2435" s="27"/>
      <c r="H2435" s="99"/>
      <c r="M2435" s="27"/>
      <c r="N2435" s="48"/>
    </row>
    <row r="2436" spans="1:14" s="7" customFormat="1" x14ac:dyDescent="0.35">
      <c r="A2436" s="113"/>
      <c r="B2436" s="27"/>
      <c r="C2436" s="48"/>
      <c r="D2436" s="27"/>
      <c r="E2436" s="38"/>
      <c r="F2436" s="27"/>
      <c r="G2436" s="27"/>
      <c r="H2436" s="99"/>
      <c r="M2436" s="27"/>
      <c r="N2436" s="48"/>
    </row>
    <row r="2437" spans="1:14" s="7" customFormat="1" x14ac:dyDescent="0.35">
      <c r="A2437" s="113"/>
      <c r="B2437" s="27"/>
      <c r="C2437" s="48"/>
      <c r="D2437" s="27"/>
      <c r="E2437" s="38"/>
      <c r="F2437" s="27"/>
      <c r="G2437" s="27"/>
      <c r="H2437" s="99"/>
      <c r="M2437" s="27"/>
      <c r="N2437" s="48"/>
    </row>
    <row r="2438" spans="1:14" s="7" customFormat="1" x14ac:dyDescent="0.35">
      <c r="A2438" s="113"/>
      <c r="B2438" s="27"/>
      <c r="C2438" s="48"/>
      <c r="D2438" s="27"/>
      <c r="E2438" s="38"/>
      <c r="F2438" s="27"/>
      <c r="G2438" s="27"/>
      <c r="H2438" s="99"/>
      <c r="M2438" s="27"/>
      <c r="N2438" s="48"/>
    </row>
    <row r="2439" spans="1:14" s="7" customFormat="1" x14ac:dyDescent="0.35">
      <c r="A2439" s="113"/>
      <c r="B2439" s="27"/>
      <c r="C2439" s="48"/>
      <c r="D2439" s="27"/>
      <c r="E2439" s="38"/>
      <c r="F2439" s="27"/>
      <c r="G2439" s="27"/>
      <c r="H2439" s="99"/>
      <c r="M2439" s="27"/>
      <c r="N2439" s="48"/>
    </row>
    <row r="2440" spans="1:14" s="7" customFormat="1" x14ac:dyDescent="0.35">
      <c r="A2440" s="113"/>
      <c r="B2440" s="27"/>
      <c r="C2440" s="48"/>
      <c r="D2440" s="27"/>
      <c r="E2440" s="38"/>
      <c r="F2440" s="27"/>
      <c r="G2440" s="27"/>
      <c r="H2440" s="99"/>
      <c r="M2440" s="27"/>
      <c r="N2440" s="48"/>
    </row>
    <row r="2441" spans="1:14" s="7" customFormat="1" x14ac:dyDescent="0.35">
      <c r="A2441" s="113"/>
      <c r="B2441" s="27"/>
      <c r="C2441" s="48"/>
      <c r="D2441" s="27"/>
      <c r="E2441" s="38"/>
      <c r="F2441" s="27"/>
      <c r="G2441" s="27"/>
      <c r="H2441" s="99"/>
      <c r="M2441" s="27"/>
      <c r="N2441" s="48"/>
    </row>
    <row r="2442" spans="1:14" s="7" customFormat="1" x14ac:dyDescent="0.35">
      <c r="A2442" s="113"/>
      <c r="B2442" s="27"/>
      <c r="C2442" s="48"/>
      <c r="D2442" s="27"/>
      <c r="E2442" s="38"/>
      <c r="F2442" s="27"/>
      <c r="G2442" s="27"/>
      <c r="H2442" s="99"/>
      <c r="M2442" s="27"/>
      <c r="N2442" s="48"/>
    </row>
    <row r="2443" spans="1:14" s="7" customFormat="1" x14ac:dyDescent="0.35">
      <c r="A2443" s="113"/>
      <c r="B2443" s="27"/>
      <c r="C2443" s="48"/>
      <c r="D2443" s="27"/>
      <c r="E2443" s="38"/>
      <c r="F2443" s="27"/>
      <c r="G2443" s="27"/>
      <c r="H2443" s="99"/>
      <c r="M2443" s="27"/>
      <c r="N2443" s="48"/>
    </row>
    <row r="2444" spans="1:14" s="7" customFormat="1" x14ac:dyDescent="0.35">
      <c r="A2444" s="113"/>
      <c r="B2444" s="27"/>
      <c r="C2444" s="48"/>
      <c r="D2444" s="27"/>
      <c r="E2444" s="38"/>
      <c r="F2444" s="27"/>
      <c r="G2444" s="27"/>
      <c r="H2444" s="99"/>
      <c r="M2444" s="27"/>
      <c r="N2444" s="48"/>
    </row>
    <row r="2445" spans="1:14" s="7" customFormat="1" x14ac:dyDescent="0.35">
      <c r="A2445" s="113"/>
      <c r="B2445" s="27"/>
      <c r="C2445" s="48"/>
      <c r="D2445" s="27"/>
      <c r="E2445" s="38"/>
      <c r="F2445" s="27"/>
      <c r="G2445" s="27"/>
      <c r="H2445" s="99"/>
      <c r="M2445" s="27"/>
      <c r="N2445" s="48"/>
    </row>
    <row r="2446" spans="1:14" s="7" customFormat="1" x14ac:dyDescent="0.35">
      <c r="A2446" s="113"/>
      <c r="B2446" s="27"/>
      <c r="C2446" s="48"/>
      <c r="D2446" s="27"/>
      <c r="E2446" s="38"/>
      <c r="F2446" s="27"/>
      <c r="G2446" s="27"/>
      <c r="H2446" s="99"/>
      <c r="M2446" s="27"/>
      <c r="N2446" s="48"/>
    </row>
    <row r="2447" spans="1:14" s="7" customFormat="1" x14ac:dyDescent="0.35">
      <c r="A2447" s="113"/>
      <c r="B2447" s="27"/>
      <c r="C2447" s="48"/>
      <c r="D2447" s="27"/>
      <c r="E2447" s="38"/>
      <c r="F2447" s="27"/>
      <c r="G2447" s="27"/>
      <c r="H2447" s="99"/>
      <c r="M2447" s="27"/>
      <c r="N2447" s="48"/>
    </row>
    <row r="2448" spans="1:14" s="7" customFormat="1" x14ac:dyDescent="0.35">
      <c r="A2448" s="113"/>
      <c r="B2448" s="27"/>
      <c r="C2448" s="48"/>
      <c r="D2448" s="27"/>
      <c r="E2448" s="38"/>
      <c r="F2448" s="27"/>
      <c r="G2448" s="27"/>
      <c r="H2448" s="99"/>
      <c r="M2448" s="27"/>
      <c r="N2448" s="48"/>
    </row>
    <row r="2449" spans="1:14" s="7" customFormat="1" x14ac:dyDescent="0.35">
      <c r="A2449" s="113"/>
      <c r="B2449" s="27"/>
      <c r="C2449" s="48"/>
      <c r="D2449" s="27"/>
      <c r="E2449" s="38"/>
      <c r="F2449" s="27"/>
      <c r="G2449" s="27"/>
      <c r="H2449" s="99"/>
      <c r="M2449" s="27"/>
      <c r="N2449" s="48"/>
    </row>
    <row r="2450" spans="1:14" s="7" customFormat="1" x14ac:dyDescent="0.35">
      <c r="A2450" s="113"/>
      <c r="B2450" s="27"/>
      <c r="C2450" s="48"/>
      <c r="D2450" s="27"/>
      <c r="E2450" s="38"/>
      <c r="F2450" s="27"/>
      <c r="G2450" s="27"/>
      <c r="H2450" s="99"/>
      <c r="M2450" s="27"/>
      <c r="N2450" s="48"/>
    </row>
    <row r="2451" spans="1:14" s="7" customFormat="1" x14ac:dyDescent="0.35">
      <c r="A2451" s="113"/>
      <c r="B2451" s="27"/>
      <c r="C2451" s="48"/>
      <c r="D2451" s="27"/>
      <c r="E2451" s="38"/>
      <c r="F2451" s="27"/>
      <c r="G2451" s="27"/>
      <c r="H2451" s="99"/>
      <c r="M2451" s="27"/>
      <c r="N2451" s="48"/>
    </row>
    <row r="2452" spans="1:14" s="7" customFormat="1" x14ac:dyDescent="0.35">
      <c r="A2452" s="113"/>
      <c r="B2452" s="27"/>
      <c r="C2452" s="48"/>
      <c r="D2452" s="27"/>
      <c r="E2452" s="38"/>
      <c r="F2452" s="27"/>
      <c r="G2452" s="27"/>
      <c r="H2452" s="99"/>
      <c r="M2452" s="27"/>
      <c r="N2452" s="48"/>
    </row>
    <row r="2453" spans="1:14" s="7" customFormat="1" x14ac:dyDescent="0.35">
      <c r="A2453" s="113"/>
      <c r="B2453" s="27"/>
      <c r="C2453" s="48"/>
      <c r="D2453" s="27"/>
      <c r="E2453" s="38"/>
      <c r="F2453" s="27"/>
      <c r="G2453" s="27"/>
      <c r="H2453" s="99"/>
      <c r="M2453" s="27"/>
      <c r="N2453" s="48"/>
    </row>
    <row r="2454" spans="1:14" s="7" customFormat="1" x14ac:dyDescent="0.35">
      <c r="A2454" s="113"/>
      <c r="B2454" s="27"/>
      <c r="C2454" s="48"/>
      <c r="D2454" s="27"/>
      <c r="E2454" s="38"/>
      <c r="F2454" s="27"/>
      <c r="G2454" s="27"/>
      <c r="H2454" s="99"/>
      <c r="M2454" s="27"/>
      <c r="N2454" s="48"/>
    </row>
    <row r="2455" spans="1:14" s="7" customFormat="1" x14ac:dyDescent="0.35">
      <c r="A2455" s="113"/>
      <c r="B2455" s="27"/>
      <c r="C2455" s="48"/>
      <c r="D2455" s="27"/>
      <c r="E2455" s="38"/>
      <c r="F2455" s="27"/>
      <c r="G2455" s="27"/>
      <c r="H2455" s="99"/>
      <c r="M2455" s="27"/>
      <c r="N2455" s="48"/>
    </row>
    <row r="2456" spans="1:14" s="7" customFormat="1" x14ac:dyDescent="0.35">
      <c r="A2456" s="113"/>
      <c r="B2456" s="27"/>
      <c r="C2456" s="48"/>
      <c r="D2456" s="27"/>
      <c r="E2456" s="38"/>
      <c r="F2456" s="27"/>
      <c r="G2456" s="27"/>
      <c r="H2456" s="99"/>
      <c r="M2456" s="27"/>
      <c r="N2456" s="48"/>
    </row>
    <row r="2457" spans="1:14" s="7" customFormat="1" x14ac:dyDescent="0.35">
      <c r="A2457" s="113"/>
      <c r="B2457" s="27"/>
      <c r="C2457" s="48"/>
      <c r="D2457" s="27"/>
      <c r="E2457" s="38"/>
      <c r="F2457" s="27"/>
      <c r="G2457" s="27"/>
      <c r="H2457" s="99"/>
      <c r="M2457" s="27"/>
      <c r="N2457" s="48"/>
    </row>
    <row r="2458" spans="1:14" s="7" customFormat="1" x14ac:dyDescent="0.35">
      <c r="A2458" s="113"/>
      <c r="B2458" s="27"/>
      <c r="C2458" s="48"/>
      <c r="D2458" s="27"/>
      <c r="E2458" s="38"/>
      <c r="F2458" s="27"/>
      <c r="G2458" s="27"/>
      <c r="H2458" s="99"/>
      <c r="M2458" s="27"/>
      <c r="N2458" s="48"/>
    </row>
    <row r="2459" spans="1:14" s="7" customFormat="1" x14ac:dyDescent="0.35">
      <c r="A2459" s="113"/>
      <c r="B2459" s="27"/>
      <c r="C2459" s="48"/>
      <c r="D2459" s="27"/>
      <c r="E2459" s="38"/>
      <c r="F2459" s="27"/>
      <c r="G2459" s="27"/>
      <c r="H2459" s="99"/>
      <c r="M2459" s="27"/>
      <c r="N2459" s="48"/>
    </row>
    <row r="2460" spans="1:14" s="7" customFormat="1" x14ac:dyDescent="0.35">
      <c r="A2460" s="113"/>
      <c r="B2460" s="27"/>
      <c r="C2460" s="48"/>
      <c r="D2460" s="27"/>
      <c r="E2460" s="38"/>
      <c r="F2460" s="27"/>
      <c r="G2460" s="27"/>
      <c r="H2460" s="99"/>
      <c r="M2460" s="27"/>
      <c r="N2460" s="48"/>
    </row>
    <row r="2461" spans="1:14" s="7" customFormat="1" x14ac:dyDescent="0.35">
      <c r="A2461" s="113"/>
      <c r="B2461" s="27"/>
      <c r="C2461" s="48"/>
      <c r="D2461" s="27"/>
      <c r="E2461" s="38"/>
      <c r="F2461" s="27"/>
      <c r="G2461" s="27"/>
      <c r="H2461" s="99"/>
      <c r="M2461" s="27"/>
      <c r="N2461" s="48"/>
    </row>
    <row r="2462" spans="1:14" s="7" customFormat="1" x14ac:dyDescent="0.35">
      <c r="A2462" s="113"/>
      <c r="B2462" s="27"/>
      <c r="C2462" s="48"/>
      <c r="D2462" s="27"/>
      <c r="E2462" s="38"/>
      <c r="F2462" s="27"/>
      <c r="G2462" s="27"/>
      <c r="H2462" s="99"/>
      <c r="M2462" s="27"/>
      <c r="N2462" s="48"/>
    </row>
    <row r="2463" spans="1:14" s="7" customFormat="1" x14ac:dyDescent="0.35">
      <c r="A2463" s="113"/>
      <c r="B2463" s="27"/>
      <c r="C2463" s="48"/>
      <c r="D2463" s="27"/>
      <c r="E2463" s="38"/>
      <c r="F2463" s="27"/>
      <c r="G2463" s="27"/>
      <c r="H2463" s="99"/>
      <c r="M2463" s="27"/>
      <c r="N2463" s="48"/>
    </row>
    <row r="2464" spans="1:14" s="7" customFormat="1" x14ac:dyDescent="0.35">
      <c r="A2464" s="113"/>
      <c r="B2464" s="27"/>
      <c r="C2464" s="48"/>
      <c r="D2464" s="27"/>
      <c r="E2464" s="38"/>
      <c r="F2464" s="27"/>
      <c r="G2464" s="27"/>
      <c r="H2464" s="99"/>
      <c r="M2464" s="27"/>
      <c r="N2464" s="48"/>
    </row>
    <row r="2465" spans="1:14" s="7" customFormat="1" x14ac:dyDescent="0.35">
      <c r="A2465" s="113"/>
      <c r="B2465" s="27"/>
      <c r="C2465" s="48"/>
      <c r="D2465" s="27"/>
      <c r="E2465" s="38"/>
      <c r="F2465" s="27"/>
      <c r="G2465" s="27"/>
      <c r="H2465" s="99"/>
      <c r="M2465" s="27"/>
      <c r="N2465" s="48"/>
    </row>
    <row r="2466" spans="1:14" s="7" customFormat="1" x14ac:dyDescent="0.35">
      <c r="A2466" s="113"/>
      <c r="B2466" s="27"/>
      <c r="C2466" s="48"/>
      <c r="D2466" s="27"/>
      <c r="E2466" s="38"/>
      <c r="F2466" s="27"/>
      <c r="G2466" s="27"/>
      <c r="H2466" s="99"/>
      <c r="M2466" s="27"/>
      <c r="N2466" s="48"/>
    </row>
    <row r="2467" spans="1:14" s="7" customFormat="1" x14ac:dyDescent="0.35">
      <c r="A2467" s="113"/>
      <c r="B2467" s="27"/>
      <c r="C2467" s="48"/>
      <c r="D2467" s="27"/>
      <c r="E2467" s="38"/>
      <c r="F2467" s="27"/>
      <c r="G2467" s="27"/>
      <c r="H2467" s="99"/>
      <c r="M2467" s="27"/>
      <c r="N2467" s="48"/>
    </row>
    <row r="2468" spans="1:14" s="7" customFormat="1" x14ac:dyDescent="0.35">
      <c r="A2468" s="113"/>
      <c r="B2468" s="27"/>
      <c r="C2468" s="48"/>
      <c r="D2468" s="27"/>
      <c r="E2468" s="38"/>
      <c r="F2468" s="27"/>
      <c r="G2468" s="27"/>
      <c r="H2468" s="99"/>
      <c r="M2468" s="27"/>
      <c r="N2468" s="48"/>
    </row>
    <row r="2469" spans="1:14" s="7" customFormat="1" x14ac:dyDescent="0.35">
      <c r="A2469" s="113"/>
      <c r="B2469" s="27"/>
      <c r="C2469" s="48"/>
      <c r="D2469" s="27"/>
      <c r="E2469" s="38"/>
      <c r="F2469" s="27"/>
      <c r="G2469" s="27"/>
      <c r="H2469" s="99"/>
      <c r="M2469" s="27"/>
      <c r="N2469" s="48"/>
    </row>
    <row r="2470" spans="1:14" s="7" customFormat="1" x14ac:dyDescent="0.35">
      <c r="A2470" s="113"/>
      <c r="B2470" s="27"/>
      <c r="C2470" s="48"/>
      <c r="D2470" s="27"/>
      <c r="E2470" s="38"/>
      <c r="F2470" s="27"/>
      <c r="G2470" s="27"/>
      <c r="H2470" s="99"/>
      <c r="M2470" s="27"/>
      <c r="N2470" s="48"/>
    </row>
    <row r="2471" spans="1:14" s="7" customFormat="1" x14ac:dyDescent="0.35">
      <c r="A2471" s="113"/>
      <c r="B2471" s="27"/>
      <c r="C2471" s="48"/>
      <c r="D2471" s="27"/>
      <c r="E2471" s="38"/>
      <c r="F2471" s="27"/>
      <c r="G2471" s="27"/>
      <c r="H2471" s="99"/>
      <c r="M2471" s="27"/>
      <c r="N2471" s="48"/>
    </row>
    <row r="2472" spans="1:14" s="7" customFormat="1" x14ac:dyDescent="0.35">
      <c r="A2472" s="113"/>
      <c r="B2472" s="27"/>
      <c r="C2472" s="48"/>
      <c r="D2472" s="27"/>
      <c r="E2472" s="38"/>
      <c r="F2472" s="27"/>
      <c r="G2472" s="27"/>
      <c r="H2472" s="99"/>
      <c r="M2472" s="27"/>
      <c r="N2472" s="48"/>
    </row>
    <row r="2473" spans="1:14" s="7" customFormat="1" x14ac:dyDescent="0.35">
      <c r="A2473" s="113"/>
      <c r="B2473" s="27"/>
      <c r="C2473" s="48"/>
      <c r="D2473" s="27"/>
      <c r="E2473" s="38"/>
      <c r="F2473" s="27"/>
      <c r="G2473" s="27"/>
      <c r="H2473" s="99"/>
      <c r="M2473" s="27"/>
      <c r="N2473" s="48"/>
    </row>
    <row r="2474" spans="1:14" s="7" customFormat="1" x14ac:dyDescent="0.35">
      <c r="A2474" s="113"/>
      <c r="B2474" s="27"/>
      <c r="C2474" s="48"/>
      <c r="D2474" s="27"/>
      <c r="E2474" s="38"/>
      <c r="F2474" s="27"/>
      <c r="G2474" s="27"/>
      <c r="H2474" s="99"/>
      <c r="M2474" s="27"/>
      <c r="N2474" s="48"/>
    </row>
    <row r="2475" spans="1:14" s="7" customFormat="1" x14ac:dyDescent="0.35">
      <c r="A2475" s="113"/>
      <c r="B2475" s="27"/>
      <c r="C2475" s="48"/>
      <c r="D2475" s="27"/>
      <c r="E2475" s="38"/>
      <c r="F2475" s="27"/>
      <c r="G2475" s="27"/>
      <c r="H2475" s="99"/>
      <c r="M2475" s="27"/>
      <c r="N2475" s="48"/>
    </row>
    <row r="2476" spans="1:14" s="7" customFormat="1" x14ac:dyDescent="0.35">
      <c r="A2476" s="113"/>
      <c r="B2476" s="27"/>
      <c r="C2476" s="48"/>
      <c r="D2476" s="27"/>
      <c r="E2476" s="38"/>
      <c r="F2476" s="27"/>
      <c r="G2476" s="27"/>
      <c r="H2476" s="99"/>
      <c r="M2476" s="27"/>
      <c r="N2476" s="48"/>
    </row>
    <row r="2477" spans="1:14" s="7" customFormat="1" x14ac:dyDescent="0.35">
      <c r="A2477" s="113"/>
      <c r="B2477" s="27"/>
      <c r="C2477" s="48"/>
      <c r="D2477" s="27"/>
      <c r="E2477" s="38"/>
      <c r="F2477" s="27"/>
      <c r="G2477" s="27"/>
      <c r="H2477" s="99"/>
      <c r="M2477" s="27"/>
      <c r="N2477" s="48"/>
    </row>
    <row r="2478" spans="1:14" s="7" customFormat="1" x14ac:dyDescent="0.35">
      <c r="A2478" s="113"/>
      <c r="B2478" s="27"/>
      <c r="C2478" s="48"/>
      <c r="D2478" s="27"/>
      <c r="E2478" s="38"/>
      <c r="F2478" s="27"/>
      <c r="G2478" s="27"/>
      <c r="H2478" s="99"/>
      <c r="M2478" s="27"/>
      <c r="N2478" s="48"/>
    </row>
    <row r="2479" spans="1:14" s="7" customFormat="1" x14ac:dyDescent="0.35">
      <c r="A2479" s="113"/>
      <c r="B2479" s="27"/>
      <c r="C2479" s="48"/>
      <c r="D2479" s="27"/>
      <c r="E2479" s="38"/>
      <c r="F2479" s="27"/>
      <c r="G2479" s="27"/>
      <c r="H2479" s="99"/>
      <c r="M2479" s="27"/>
      <c r="N2479" s="48"/>
    </row>
    <row r="2480" spans="1:14" s="7" customFormat="1" x14ac:dyDescent="0.35">
      <c r="A2480" s="113"/>
      <c r="B2480" s="27"/>
      <c r="C2480" s="48"/>
      <c r="D2480" s="27"/>
      <c r="E2480" s="38"/>
      <c r="F2480" s="27"/>
      <c r="G2480" s="27"/>
      <c r="H2480" s="99"/>
      <c r="M2480" s="27"/>
      <c r="N2480" s="48"/>
    </row>
    <row r="2481" spans="1:14" s="7" customFormat="1" x14ac:dyDescent="0.35">
      <c r="A2481" s="113"/>
      <c r="B2481" s="27"/>
      <c r="C2481" s="48"/>
      <c r="D2481" s="27"/>
      <c r="E2481" s="38"/>
      <c r="F2481" s="27"/>
      <c r="G2481" s="27"/>
      <c r="H2481" s="99"/>
      <c r="M2481" s="27"/>
      <c r="N2481" s="48"/>
    </row>
    <row r="2482" spans="1:14" s="7" customFormat="1" x14ac:dyDescent="0.35">
      <c r="A2482" s="113"/>
      <c r="B2482" s="27"/>
      <c r="C2482" s="48"/>
      <c r="D2482" s="27"/>
      <c r="E2482" s="38"/>
      <c r="F2482" s="27"/>
      <c r="G2482" s="27"/>
      <c r="H2482" s="99"/>
      <c r="M2482" s="27"/>
      <c r="N2482" s="48"/>
    </row>
    <row r="2483" spans="1:14" s="7" customFormat="1" x14ac:dyDescent="0.35">
      <c r="A2483" s="113"/>
      <c r="B2483" s="27"/>
      <c r="C2483" s="48"/>
      <c r="D2483" s="27"/>
      <c r="E2483" s="38"/>
      <c r="F2483" s="27"/>
      <c r="G2483" s="27"/>
      <c r="H2483" s="99"/>
      <c r="M2483" s="27"/>
      <c r="N2483" s="48"/>
    </row>
    <row r="2484" spans="1:14" s="7" customFormat="1" x14ac:dyDescent="0.35">
      <c r="A2484" s="113"/>
      <c r="B2484" s="27"/>
      <c r="C2484" s="48"/>
      <c r="D2484" s="27"/>
      <c r="E2484" s="38"/>
      <c r="F2484" s="27"/>
      <c r="G2484" s="27"/>
      <c r="H2484" s="99"/>
      <c r="M2484" s="27"/>
      <c r="N2484" s="48"/>
    </row>
    <row r="2485" spans="1:14" s="7" customFormat="1" x14ac:dyDescent="0.35">
      <c r="A2485" s="113"/>
      <c r="B2485" s="27"/>
      <c r="C2485" s="48"/>
      <c r="D2485" s="27"/>
      <c r="E2485" s="38"/>
      <c r="F2485" s="27"/>
      <c r="G2485" s="27"/>
      <c r="H2485" s="99"/>
      <c r="M2485" s="27"/>
      <c r="N2485" s="48"/>
    </row>
    <row r="2486" spans="1:14" s="7" customFormat="1" x14ac:dyDescent="0.35">
      <c r="A2486" s="113"/>
      <c r="B2486" s="27"/>
      <c r="C2486" s="48"/>
      <c r="D2486" s="27"/>
      <c r="E2486" s="38"/>
      <c r="F2486" s="27"/>
      <c r="G2486" s="27"/>
      <c r="H2486" s="99"/>
      <c r="M2486" s="27"/>
      <c r="N2486" s="48"/>
    </row>
    <row r="2487" spans="1:14" s="7" customFormat="1" x14ac:dyDescent="0.35">
      <c r="A2487" s="113"/>
      <c r="B2487" s="27"/>
      <c r="C2487" s="48"/>
      <c r="D2487" s="27"/>
      <c r="E2487" s="38"/>
      <c r="F2487" s="27"/>
      <c r="G2487" s="27"/>
      <c r="H2487" s="99"/>
      <c r="M2487" s="27"/>
      <c r="N2487" s="48"/>
    </row>
    <row r="2488" spans="1:14" s="7" customFormat="1" x14ac:dyDescent="0.35">
      <c r="A2488" s="113"/>
      <c r="B2488" s="27"/>
      <c r="C2488" s="48"/>
      <c r="D2488" s="27"/>
      <c r="E2488" s="38"/>
      <c r="F2488" s="27"/>
      <c r="G2488" s="27"/>
      <c r="H2488" s="99"/>
      <c r="M2488" s="27"/>
      <c r="N2488" s="48"/>
    </row>
    <row r="2489" spans="1:14" s="7" customFormat="1" x14ac:dyDescent="0.35">
      <c r="A2489" s="113"/>
      <c r="B2489" s="27"/>
      <c r="C2489" s="48"/>
      <c r="D2489" s="27"/>
      <c r="E2489" s="38"/>
      <c r="F2489" s="27"/>
      <c r="G2489" s="27"/>
      <c r="H2489" s="99"/>
      <c r="M2489" s="27"/>
      <c r="N2489" s="48"/>
    </row>
    <row r="2490" spans="1:14" s="7" customFormat="1" x14ac:dyDescent="0.35">
      <c r="A2490" s="113"/>
      <c r="B2490" s="27"/>
      <c r="C2490" s="48"/>
      <c r="D2490" s="27"/>
      <c r="E2490" s="38"/>
      <c r="F2490" s="27"/>
      <c r="G2490" s="27"/>
      <c r="H2490" s="99"/>
      <c r="M2490" s="27"/>
      <c r="N2490" s="48"/>
    </row>
    <row r="2491" spans="1:14" s="7" customFormat="1" x14ac:dyDescent="0.35">
      <c r="A2491" s="113"/>
      <c r="B2491" s="27"/>
      <c r="C2491" s="48"/>
      <c r="D2491" s="27"/>
      <c r="E2491" s="38"/>
      <c r="F2491" s="27"/>
      <c r="G2491" s="27"/>
      <c r="H2491" s="99"/>
      <c r="M2491" s="27"/>
      <c r="N2491" s="48"/>
    </row>
    <row r="2492" spans="1:14" s="7" customFormat="1" x14ac:dyDescent="0.35">
      <c r="A2492" s="113"/>
      <c r="B2492" s="27"/>
      <c r="C2492" s="48"/>
      <c r="D2492" s="27"/>
      <c r="E2492" s="38"/>
      <c r="F2492" s="27"/>
      <c r="G2492" s="27"/>
      <c r="H2492" s="99"/>
      <c r="M2492" s="27"/>
      <c r="N2492" s="48"/>
    </row>
    <row r="2493" spans="1:14" s="7" customFormat="1" x14ac:dyDescent="0.35">
      <c r="A2493" s="113"/>
      <c r="B2493" s="27"/>
      <c r="C2493" s="48"/>
      <c r="D2493" s="27"/>
      <c r="E2493" s="38"/>
      <c r="F2493" s="27"/>
      <c r="G2493" s="27"/>
      <c r="H2493" s="99"/>
      <c r="M2493" s="27"/>
      <c r="N2493" s="48"/>
    </row>
    <row r="2494" spans="1:14" s="7" customFormat="1" x14ac:dyDescent="0.35">
      <c r="A2494" s="113"/>
      <c r="B2494" s="27"/>
      <c r="C2494" s="48"/>
      <c r="D2494" s="27"/>
      <c r="E2494" s="38"/>
      <c r="F2494" s="27"/>
      <c r="G2494" s="27"/>
      <c r="H2494" s="99"/>
      <c r="M2494" s="27"/>
      <c r="N2494" s="48"/>
    </row>
    <row r="2495" spans="1:14" s="7" customFormat="1" x14ac:dyDescent="0.35">
      <c r="A2495" s="113"/>
      <c r="B2495" s="27"/>
      <c r="C2495" s="48"/>
      <c r="D2495" s="27"/>
      <c r="E2495" s="38"/>
      <c r="F2495" s="27"/>
      <c r="G2495" s="27"/>
      <c r="H2495" s="99"/>
      <c r="M2495" s="27"/>
      <c r="N2495" s="48"/>
    </row>
    <row r="2496" spans="1:14" s="7" customFormat="1" x14ac:dyDescent="0.35">
      <c r="A2496" s="113"/>
      <c r="B2496" s="27"/>
      <c r="C2496" s="48"/>
      <c r="D2496" s="27"/>
      <c r="E2496" s="38"/>
      <c r="F2496" s="27"/>
      <c r="G2496" s="27"/>
      <c r="H2496" s="99"/>
      <c r="M2496" s="27"/>
      <c r="N2496" s="48"/>
    </row>
    <row r="2497" spans="1:14" s="7" customFormat="1" x14ac:dyDescent="0.35">
      <c r="A2497" s="113"/>
      <c r="B2497" s="27"/>
      <c r="C2497" s="48"/>
      <c r="D2497" s="27"/>
      <c r="E2497" s="38"/>
      <c r="F2497" s="27"/>
      <c r="G2497" s="27"/>
      <c r="H2497" s="99"/>
      <c r="M2497" s="27"/>
      <c r="N2497" s="48"/>
    </row>
    <row r="2498" spans="1:14" s="7" customFormat="1" x14ac:dyDescent="0.35">
      <c r="A2498" s="113"/>
      <c r="B2498" s="27"/>
      <c r="C2498" s="48"/>
      <c r="D2498" s="27"/>
      <c r="E2498" s="38"/>
      <c r="F2498" s="27"/>
      <c r="G2498" s="27"/>
      <c r="H2498" s="99"/>
      <c r="M2498" s="27"/>
      <c r="N2498" s="48"/>
    </row>
    <row r="2499" spans="1:14" s="7" customFormat="1" x14ac:dyDescent="0.35">
      <c r="A2499" s="113"/>
      <c r="B2499" s="27"/>
      <c r="C2499" s="48"/>
      <c r="D2499" s="27"/>
      <c r="E2499" s="38"/>
      <c r="F2499" s="27"/>
      <c r="G2499" s="27"/>
      <c r="H2499" s="99"/>
      <c r="M2499" s="27"/>
      <c r="N2499" s="48"/>
    </row>
    <row r="2500" spans="1:14" s="7" customFormat="1" x14ac:dyDescent="0.35">
      <c r="A2500" s="113"/>
      <c r="B2500" s="27"/>
      <c r="C2500" s="48"/>
      <c r="D2500" s="27"/>
      <c r="E2500" s="38"/>
      <c r="F2500" s="27"/>
      <c r="G2500" s="27"/>
      <c r="H2500" s="99"/>
      <c r="M2500" s="27"/>
      <c r="N2500" s="48"/>
    </row>
    <row r="2501" spans="1:14" s="7" customFormat="1" x14ac:dyDescent="0.35">
      <c r="A2501" s="113"/>
      <c r="B2501" s="27"/>
      <c r="C2501" s="48"/>
      <c r="D2501" s="27"/>
      <c r="E2501" s="38"/>
      <c r="F2501" s="27"/>
      <c r="G2501" s="27"/>
      <c r="H2501" s="99"/>
      <c r="M2501" s="27"/>
      <c r="N2501" s="48"/>
    </row>
    <row r="2502" spans="1:14" s="7" customFormat="1" x14ac:dyDescent="0.35">
      <c r="A2502" s="113"/>
      <c r="B2502" s="27"/>
      <c r="C2502" s="48"/>
      <c r="D2502" s="27"/>
      <c r="E2502" s="38"/>
      <c r="F2502" s="27"/>
      <c r="G2502" s="27"/>
      <c r="H2502" s="99"/>
      <c r="M2502" s="27"/>
      <c r="N2502" s="48"/>
    </row>
    <row r="2503" spans="1:14" s="7" customFormat="1" x14ac:dyDescent="0.35">
      <c r="A2503" s="113"/>
      <c r="B2503" s="27"/>
      <c r="C2503" s="48"/>
      <c r="D2503" s="27"/>
      <c r="E2503" s="38"/>
      <c r="F2503" s="27"/>
      <c r="G2503" s="27"/>
      <c r="H2503" s="99"/>
      <c r="M2503" s="27"/>
      <c r="N2503" s="48"/>
    </row>
    <row r="2504" spans="1:14" s="7" customFormat="1" x14ac:dyDescent="0.35">
      <c r="A2504" s="113"/>
      <c r="B2504" s="27"/>
      <c r="C2504" s="48"/>
      <c r="D2504" s="27"/>
      <c r="E2504" s="38"/>
      <c r="F2504" s="27"/>
      <c r="G2504" s="27"/>
      <c r="H2504" s="99"/>
      <c r="M2504" s="27"/>
      <c r="N2504" s="48"/>
    </row>
    <row r="2505" spans="1:14" s="7" customFormat="1" x14ac:dyDescent="0.35">
      <c r="A2505" s="113"/>
      <c r="B2505" s="27"/>
      <c r="C2505" s="48"/>
      <c r="D2505" s="27"/>
      <c r="E2505" s="38"/>
      <c r="F2505" s="27"/>
      <c r="G2505" s="27"/>
      <c r="H2505" s="99"/>
      <c r="M2505" s="27"/>
      <c r="N2505" s="48"/>
    </row>
    <row r="2506" spans="1:14" s="7" customFormat="1" x14ac:dyDescent="0.35">
      <c r="A2506" s="113"/>
      <c r="B2506" s="27"/>
      <c r="C2506" s="48"/>
      <c r="D2506" s="27"/>
      <c r="E2506" s="38"/>
      <c r="F2506" s="27"/>
      <c r="G2506" s="27"/>
      <c r="H2506" s="99"/>
      <c r="M2506" s="27"/>
      <c r="N2506" s="48"/>
    </row>
    <row r="2507" spans="1:14" s="7" customFormat="1" x14ac:dyDescent="0.35">
      <c r="A2507" s="113"/>
      <c r="B2507" s="27"/>
      <c r="C2507" s="48"/>
      <c r="D2507" s="27"/>
      <c r="E2507" s="38"/>
      <c r="F2507" s="27"/>
      <c r="G2507" s="27"/>
      <c r="H2507" s="99"/>
      <c r="M2507" s="27"/>
      <c r="N2507" s="48"/>
    </row>
    <row r="2508" spans="1:14" s="7" customFormat="1" x14ac:dyDescent="0.35">
      <c r="A2508" s="113"/>
      <c r="B2508" s="27"/>
      <c r="C2508" s="48"/>
      <c r="D2508" s="27"/>
      <c r="E2508" s="38"/>
      <c r="F2508" s="27"/>
      <c r="G2508" s="27"/>
      <c r="H2508" s="99"/>
      <c r="M2508" s="27"/>
      <c r="N2508" s="48"/>
    </row>
    <row r="2509" spans="1:14" s="7" customFormat="1" x14ac:dyDescent="0.35">
      <c r="A2509" s="113"/>
      <c r="B2509" s="27"/>
      <c r="C2509" s="48"/>
      <c r="D2509" s="27"/>
      <c r="E2509" s="38"/>
      <c r="F2509" s="27"/>
      <c r="G2509" s="27"/>
      <c r="H2509" s="99"/>
      <c r="M2509" s="27"/>
      <c r="N2509" s="48"/>
    </row>
    <row r="2510" spans="1:14" s="7" customFormat="1" x14ac:dyDescent="0.35">
      <c r="A2510" s="113"/>
      <c r="B2510" s="27"/>
      <c r="C2510" s="48"/>
      <c r="D2510" s="27"/>
      <c r="E2510" s="38"/>
      <c r="F2510" s="27"/>
      <c r="G2510" s="27"/>
      <c r="H2510" s="99"/>
      <c r="M2510" s="27"/>
      <c r="N2510" s="48"/>
    </row>
    <row r="2511" spans="1:14" s="7" customFormat="1" x14ac:dyDescent="0.35">
      <c r="A2511" s="113"/>
      <c r="B2511" s="27"/>
      <c r="C2511" s="48"/>
      <c r="D2511" s="27"/>
      <c r="E2511" s="38"/>
      <c r="F2511" s="27"/>
      <c r="G2511" s="27"/>
      <c r="H2511" s="99"/>
      <c r="M2511" s="27"/>
      <c r="N2511" s="48"/>
    </row>
    <row r="2512" spans="1:14" s="7" customFormat="1" x14ac:dyDescent="0.35">
      <c r="A2512" s="113"/>
      <c r="B2512" s="27"/>
      <c r="C2512" s="48"/>
      <c r="D2512" s="27"/>
      <c r="E2512" s="38"/>
      <c r="F2512" s="27"/>
      <c r="G2512" s="27"/>
      <c r="H2512" s="99"/>
      <c r="M2512" s="27"/>
      <c r="N2512" s="48"/>
    </row>
    <row r="2513" spans="1:14" s="7" customFormat="1" x14ac:dyDescent="0.35">
      <c r="A2513" s="113"/>
      <c r="B2513" s="27"/>
      <c r="C2513" s="48"/>
      <c r="D2513" s="27"/>
      <c r="E2513" s="38"/>
      <c r="F2513" s="27"/>
      <c r="G2513" s="27"/>
      <c r="H2513" s="99"/>
      <c r="M2513" s="27"/>
      <c r="N2513" s="48"/>
    </row>
    <row r="2514" spans="1:14" s="7" customFormat="1" x14ac:dyDescent="0.35">
      <c r="A2514" s="113"/>
      <c r="B2514" s="27"/>
      <c r="C2514" s="48"/>
      <c r="D2514" s="27"/>
      <c r="E2514" s="38"/>
      <c r="F2514" s="27"/>
      <c r="G2514" s="27"/>
      <c r="H2514" s="99"/>
      <c r="M2514" s="27"/>
      <c r="N2514" s="48"/>
    </row>
    <row r="2515" spans="1:14" s="7" customFormat="1" x14ac:dyDescent="0.35">
      <c r="A2515" s="113"/>
      <c r="B2515" s="27"/>
      <c r="C2515" s="48"/>
      <c r="D2515" s="27"/>
      <c r="E2515" s="38"/>
      <c r="F2515" s="27"/>
      <c r="G2515" s="27"/>
      <c r="H2515" s="99"/>
      <c r="M2515" s="27"/>
      <c r="N2515" s="48"/>
    </row>
    <row r="2516" spans="1:14" s="7" customFormat="1" x14ac:dyDescent="0.35">
      <c r="A2516" s="113"/>
      <c r="B2516" s="27"/>
      <c r="C2516" s="48"/>
      <c r="D2516" s="27"/>
      <c r="E2516" s="38"/>
      <c r="F2516" s="27"/>
      <c r="G2516" s="27"/>
      <c r="H2516" s="99"/>
      <c r="M2516" s="27"/>
      <c r="N2516" s="48"/>
    </row>
    <row r="2517" spans="1:14" s="7" customFormat="1" x14ac:dyDescent="0.35">
      <c r="A2517" s="113"/>
      <c r="B2517" s="27"/>
      <c r="C2517" s="48"/>
      <c r="D2517" s="27"/>
      <c r="E2517" s="38"/>
      <c r="F2517" s="27"/>
      <c r="G2517" s="27"/>
      <c r="H2517" s="99"/>
      <c r="M2517" s="27"/>
      <c r="N2517" s="48"/>
    </row>
    <row r="2518" spans="1:14" s="7" customFormat="1" x14ac:dyDescent="0.35">
      <c r="A2518" s="113"/>
      <c r="B2518" s="27"/>
      <c r="C2518" s="48"/>
      <c r="D2518" s="27"/>
      <c r="E2518" s="38"/>
      <c r="F2518" s="27"/>
      <c r="G2518" s="27"/>
      <c r="H2518" s="99"/>
      <c r="M2518" s="27"/>
      <c r="N2518" s="48"/>
    </row>
    <row r="2519" spans="1:14" s="7" customFormat="1" x14ac:dyDescent="0.35">
      <c r="A2519" s="113"/>
      <c r="B2519" s="27"/>
      <c r="C2519" s="48"/>
      <c r="D2519" s="27"/>
      <c r="E2519" s="38"/>
      <c r="F2519" s="27"/>
      <c r="G2519" s="27"/>
      <c r="H2519" s="99"/>
      <c r="M2519" s="27"/>
      <c r="N2519" s="48"/>
    </row>
    <row r="2520" spans="1:14" s="7" customFormat="1" x14ac:dyDescent="0.35">
      <c r="A2520" s="113"/>
      <c r="B2520" s="27"/>
      <c r="C2520" s="48"/>
      <c r="D2520" s="27"/>
      <c r="E2520" s="38"/>
      <c r="F2520" s="27"/>
      <c r="G2520" s="27"/>
      <c r="H2520" s="99"/>
      <c r="M2520" s="27"/>
      <c r="N2520" s="48"/>
    </row>
    <row r="2521" spans="1:14" s="7" customFormat="1" x14ac:dyDescent="0.35">
      <c r="A2521" s="113"/>
      <c r="B2521" s="27"/>
      <c r="C2521" s="48"/>
      <c r="D2521" s="27"/>
      <c r="E2521" s="38"/>
      <c r="F2521" s="27"/>
      <c r="G2521" s="27"/>
      <c r="H2521" s="99"/>
      <c r="M2521" s="27"/>
      <c r="N2521" s="48"/>
    </row>
    <row r="2522" spans="1:14" s="7" customFormat="1" x14ac:dyDescent="0.35">
      <c r="A2522" s="113"/>
      <c r="B2522" s="27"/>
      <c r="C2522" s="48"/>
      <c r="D2522" s="27"/>
      <c r="E2522" s="38"/>
      <c r="F2522" s="27"/>
      <c r="G2522" s="27"/>
      <c r="H2522" s="99"/>
      <c r="M2522" s="27"/>
      <c r="N2522" s="48"/>
    </row>
    <row r="2523" spans="1:14" s="7" customFormat="1" x14ac:dyDescent="0.35">
      <c r="A2523" s="113"/>
      <c r="B2523" s="27"/>
      <c r="C2523" s="48"/>
      <c r="D2523" s="27"/>
      <c r="E2523" s="38"/>
      <c r="F2523" s="27"/>
      <c r="G2523" s="27"/>
      <c r="H2523" s="99"/>
      <c r="M2523" s="27"/>
      <c r="N2523" s="48"/>
    </row>
    <row r="2524" spans="1:14" s="7" customFormat="1" x14ac:dyDescent="0.35">
      <c r="A2524" s="113"/>
      <c r="B2524" s="27"/>
      <c r="C2524" s="48"/>
      <c r="D2524" s="27"/>
      <c r="E2524" s="38"/>
      <c r="F2524" s="27"/>
      <c r="G2524" s="27"/>
      <c r="H2524" s="99"/>
      <c r="M2524" s="27"/>
      <c r="N2524" s="48"/>
    </row>
    <row r="2525" spans="1:14" s="7" customFormat="1" x14ac:dyDescent="0.35">
      <c r="A2525" s="113"/>
      <c r="B2525" s="27"/>
      <c r="C2525" s="48"/>
      <c r="D2525" s="27"/>
      <c r="E2525" s="38"/>
      <c r="F2525" s="27"/>
      <c r="G2525" s="27"/>
      <c r="H2525" s="99"/>
      <c r="M2525" s="27"/>
      <c r="N2525" s="48"/>
    </row>
    <row r="2526" spans="1:14" s="7" customFormat="1" x14ac:dyDescent="0.35">
      <c r="A2526" s="113"/>
      <c r="B2526" s="27"/>
      <c r="C2526" s="48"/>
      <c r="D2526" s="27"/>
      <c r="E2526" s="38"/>
      <c r="F2526" s="27"/>
      <c r="G2526" s="27"/>
      <c r="H2526" s="99"/>
      <c r="M2526" s="27"/>
      <c r="N2526" s="48"/>
    </row>
    <row r="2527" spans="1:14" s="7" customFormat="1" x14ac:dyDescent="0.35">
      <c r="A2527" s="113"/>
      <c r="B2527" s="27"/>
      <c r="C2527" s="48"/>
      <c r="D2527" s="27"/>
      <c r="E2527" s="38"/>
      <c r="F2527" s="27"/>
      <c r="G2527" s="27"/>
      <c r="H2527" s="99"/>
      <c r="M2527" s="27"/>
      <c r="N2527" s="48"/>
    </row>
    <row r="2528" spans="1:14" s="7" customFormat="1" x14ac:dyDescent="0.35">
      <c r="A2528" s="113"/>
      <c r="B2528" s="27"/>
      <c r="C2528" s="48"/>
      <c r="D2528" s="27"/>
      <c r="E2528" s="38"/>
      <c r="F2528" s="27"/>
      <c r="G2528" s="27"/>
      <c r="H2528" s="99"/>
      <c r="M2528" s="27"/>
      <c r="N2528" s="48"/>
    </row>
    <row r="2529" spans="1:14" s="7" customFormat="1" x14ac:dyDescent="0.35">
      <c r="A2529" s="113"/>
      <c r="B2529" s="27"/>
      <c r="C2529" s="48"/>
      <c r="D2529" s="27"/>
      <c r="E2529" s="38"/>
      <c r="F2529" s="27"/>
      <c r="G2529" s="27"/>
      <c r="H2529" s="99"/>
      <c r="M2529" s="27"/>
      <c r="N2529" s="48"/>
    </row>
    <row r="2530" spans="1:14" s="7" customFormat="1" x14ac:dyDescent="0.35">
      <c r="A2530" s="113"/>
      <c r="B2530" s="27"/>
      <c r="C2530" s="48"/>
      <c r="D2530" s="27"/>
      <c r="E2530" s="38"/>
      <c r="F2530" s="27"/>
      <c r="G2530" s="27"/>
      <c r="H2530" s="99"/>
      <c r="M2530" s="27"/>
      <c r="N2530" s="48"/>
    </row>
    <row r="2531" spans="1:14" s="7" customFormat="1" x14ac:dyDescent="0.35">
      <c r="A2531" s="113"/>
      <c r="B2531" s="27"/>
      <c r="C2531" s="48"/>
      <c r="D2531" s="27"/>
      <c r="E2531" s="38"/>
      <c r="F2531" s="27"/>
      <c r="G2531" s="27"/>
      <c r="H2531" s="99"/>
      <c r="M2531" s="27"/>
      <c r="N2531" s="48"/>
    </row>
    <row r="2532" spans="1:14" s="7" customFormat="1" x14ac:dyDescent="0.35">
      <c r="A2532" s="113"/>
      <c r="B2532" s="27"/>
      <c r="C2532" s="48"/>
      <c r="D2532" s="27"/>
      <c r="E2532" s="38"/>
      <c r="F2532" s="27"/>
      <c r="G2532" s="27"/>
      <c r="H2532" s="99"/>
      <c r="M2532" s="27"/>
      <c r="N2532" s="48"/>
    </row>
    <row r="2533" spans="1:14" s="7" customFormat="1" x14ac:dyDescent="0.35">
      <c r="A2533" s="113"/>
      <c r="B2533" s="27"/>
      <c r="C2533" s="48"/>
      <c r="D2533" s="27"/>
      <c r="E2533" s="38"/>
      <c r="F2533" s="27"/>
      <c r="G2533" s="27"/>
      <c r="H2533" s="99"/>
      <c r="M2533" s="27"/>
      <c r="N2533" s="48"/>
    </row>
    <row r="2534" spans="1:14" s="7" customFormat="1" x14ac:dyDescent="0.35">
      <c r="A2534" s="113"/>
      <c r="B2534" s="27"/>
      <c r="C2534" s="48"/>
      <c r="D2534" s="27"/>
      <c r="E2534" s="38"/>
      <c r="F2534" s="27"/>
      <c r="G2534" s="27"/>
      <c r="H2534" s="99"/>
      <c r="M2534" s="27"/>
      <c r="N2534" s="48"/>
    </row>
    <row r="2535" spans="1:14" s="7" customFormat="1" x14ac:dyDescent="0.35">
      <c r="A2535" s="113"/>
      <c r="B2535" s="27"/>
      <c r="C2535" s="48"/>
      <c r="D2535" s="27"/>
      <c r="E2535" s="38"/>
      <c r="F2535" s="27"/>
      <c r="G2535" s="27"/>
      <c r="H2535" s="99"/>
      <c r="M2535" s="27"/>
      <c r="N2535" s="48"/>
    </row>
    <row r="2536" spans="1:14" s="7" customFormat="1" x14ac:dyDescent="0.35">
      <c r="A2536" s="113"/>
      <c r="B2536" s="27"/>
      <c r="C2536" s="48"/>
      <c r="D2536" s="27"/>
      <c r="E2536" s="38"/>
      <c r="F2536" s="27"/>
      <c r="G2536" s="27"/>
      <c r="H2536" s="99"/>
      <c r="M2536" s="27"/>
      <c r="N2536" s="48"/>
    </row>
    <row r="2537" spans="1:14" s="7" customFormat="1" x14ac:dyDescent="0.35">
      <c r="A2537" s="113"/>
      <c r="B2537" s="27"/>
      <c r="C2537" s="48"/>
      <c r="D2537" s="27"/>
      <c r="E2537" s="38"/>
      <c r="F2537" s="27"/>
      <c r="G2537" s="27"/>
      <c r="H2537" s="99"/>
      <c r="M2537" s="27"/>
      <c r="N2537" s="48"/>
    </row>
    <row r="2538" spans="1:14" s="7" customFormat="1" x14ac:dyDescent="0.35">
      <c r="A2538" s="113"/>
      <c r="B2538" s="27"/>
      <c r="C2538" s="48"/>
      <c r="D2538" s="27"/>
      <c r="E2538" s="38"/>
      <c r="F2538" s="27"/>
      <c r="G2538" s="27"/>
      <c r="H2538" s="99"/>
      <c r="M2538" s="27"/>
      <c r="N2538" s="48"/>
    </row>
    <row r="2539" spans="1:14" s="7" customFormat="1" x14ac:dyDescent="0.35">
      <c r="A2539" s="113"/>
      <c r="B2539" s="27"/>
      <c r="C2539" s="48"/>
      <c r="D2539" s="27"/>
      <c r="E2539" s="38"/>
      <c r="F2539" s="27"/>
      <c r="G2539" s="27"/>
      <c r="H2539" s="99"/>
      <c r="M2539" s="27"/>
      <c r="N2539" s="48"/>
    </row>
    <row r="2540" spans="1:14" s="7" customFormat="1" x14ac:dyDescent="0.35">
      <c r="A2540" s="113"/>
      <c r="B2540" s="27"/>
      <c r="C2540" s="48"/>
      <c r="D2540" s="27"/>
      <c r="E2540" s="38"/>
      <c r="F2540" s="27"/>
      <c r="G2540" s="27"/>
      <c r="H2540" s="99"/>
      <c r="M2540" s="27"/>
      <c r="N2540" s="48"/>
    </row>
    <row r="2541" spans="1:14" s="7" customFormat="1" x14ac:dyDescent="0.35">
      <c r="A2541" s="113"/>
      <c r="B2541" s="27"/>
      <c r="C2541" s="48"/>
      <c r="D2541" s="27"/>
      <c r="E2541" s="38"/>
      <c r="F2541" s="27"/>
      <c r="G2541" s="27"/>
      <c r="H2541" s="99"/>
      <c r="M2541" s="27"/>
      <c r="N2541" s="48"/>
    </row>
    <row r="2542" spans="1:14" s="7" customFormat="1" x14ac:dyDescent="0.35">
      <c r="A2542" s="113"/>
      <c r="B2542" s="27"/>
      <c r="C2542" s="48"/>
      <c r="D2542" s="27"/>
      <c r="E2542" s="38"/>
      <c r="F2542" s="27"/>
      <c r="G2542" s="27"/>
      <c r="H2542" s="99"/>
      <c r="M2542" s="27"/>
      <c r="N2542" s="48"/>
    </row>
    <row r="2543" spans="1:14" s="7" customFormat="1" x14ac:dyDescent="0.35">
      <c r="A2543" s="113"/>
      <c r="B2543" s="27"/>
      <c r="C2543" s="48"/>
      <c r="D2543" s="27"/>
      <c r="E2543" s="38"/>
      <c r="F2543" s="27"/>
      <c r="G2543" s="27"/>
      <c r="H2543" s="99"/>
      <c r="M2543" s="27"/>
      <c r="N2543" s="48"/>
    </row>
    <row r="2544" spans="1:14" s="7" customFormat="1" x14ac:dyDescent="0.35">
      <c r="A2544" s="113"/>
      <c r="B2544" s="27"/>
      <c r="C2544" s="48"/>
      <c r="D2544" s="27"/>
      <c r="E2544" s="38"/>
      <c r="F2544" s="27"/>
      <c r="G2544" s="27"/>
      <c r="H2544" s="99"/>
      <c r="M2544" s="27"/>
      <c r="N2544" s="48"/>
    </row>
    <row r="2545" spans="1:14" s="7" customFormat="1" x14ac:dyDescent="0.35">
      <c r="A2545" s="113"/>
      <c r="B2545" s="27"/>
      <c r="C2545" s="48"/>
      <c r="D2545" s="27"/>
      <c r="E2545" s="38"/>
      <c r="F2545" s="27"/>
      <c r="G2545" s="27"/>
      <c r="H2545" s="99"/>
      <c r="M2545" s="27"/>
      <c r="N2545" s="48"/>
    </row>
    <row r="2546" spans="1:14" s="7" customFormat="1" x14ac:dyDescent="0.35">
      <c r="A2546" s="113"/>
      <c r="B2546" s="27"/>
      <c r="C2546" s="48"/>
      <c r="D2546" s="27"/>
      <c r="E2546" s="38"/>
      <c r="F2546" s="27"/>
      <c r="G2546" s="27"/>
      <c r="H2546" s="99"/>
      <c r="M2546" s="27"/>
      <c r="N2546" s="48"/>
    </row>
    <row r="2547" spans="1:14" s="7" customFormat="1" x14ac:dyDescent="0.35">
      <c r="A2547" s="113"/>
      <c r="B2547" s="27"/>
      <c r="C2547" s="48"/>
      <c r="D2547" s="27"/>
      <c r="E2547" s="38"/>
      <c r="F2547" s="27"/>
      <c r="G2547" s="27"/>
      <c r="H2547" s="99"/>
      <c r="M2547" s="27"/>
      <c r="N2547" s="48"/>
    </row>
    <row r="2548" spans="1:14" s="7" customFormat="1" x14ac:dyDescent="0.35">
      <c r="A2548" s="113"/>
      <c r="B2548" s="27"/>
      <c r="C2548" s="48"/>
      <c r="D2548" s="27"/>
      <c r="E2548" s="38"/>
      <c r="F2548" s="27"/>
      <c r="G2548" s="27"/>
      <c r="H2548" s="99"/>
      <c r="M2548" s="27"/>
      <c r="N2548" s="48"/>
    </row>
    <row r="2549" spans="1:14" s="7" customFormat="1" x14ac:dyDescent="0.35">
      <c r="A2549" s="113"/>
      <c r="B2549" s="27"/>
      <c r="C2549" s="48"/>
      <c r="D2549" s="27"/>
      <c r="E2549" s="38"/>
      <c r="F2549" s="27"/>
      <c r="G2549" s="27"/>
      <c r="H2549" s="99"/>
      <c r="M2549" s="27"/>
      <c r="N2549" s="48"/>
    </row>
    <row r="2550" spans="1:14" s="7" customFormat="1" x14ac:dyDescent="0.35">
      <c r="A2550" s="113"/>
      <c r="B2550" s="27"/>
      <c r="C2550" s="48"/>
      <c r="D2550" s="27"/>
      <c r="E2550" s="38"/>
      <c r="F2550" s="27"/>
      <c r="G2550" s="27"/>
      <c r="H2550" s="99"/>
      <c r="M2550" s="27"/>
      <c r="N2550" s="48"/>
    </row>
    <row r="2551" spans="1:14" s="7" customFormat="1" x14ac:dyDescent="0.35">
      <c r="A2551" s="113"/>
      <c r="B2551" s="27"/>
      <c r="C2551" s="48"/>
      <c r="D2551" s="27"/>
      <c r="E2551" s="38"/>
      <c r="F2551" s="27"/>
      <c r="G2551" s="27"/>
      <c r="H2551" s="99"/>
      <c r="M2551" s="27"/>
      <c r="N2551" s="48"/>
    </row>
    <row r="2552" spans="1:14" s="7" customFormat="1" x14ac:dyDescent="0.35">
      <c r="A2552" s="113"/>
      <c r="B2552" s="27"/>
      <c r="C2552" s="48"/>
      <c r="D2552" s="27"/>
      <c r="E2552" s="38"/>
      <c r="F2552" s="27"/>
      <c r="G2552" s="27"/>
      <c r="H2552" s="99"/>
      <c r="M2552" s="27"/>
      <c r="N2552" s="48"/>
    </row>
    <row r="2553" spans="1:14" s="7" customFormat="1" x14ac:dyDescent="0.35">
      <c r="A2553" s="113"/>
      <c r="B2553" s="27"/>
      <c r="C2553" s="48"/>
      <c r="D2553" s="27"/>
      <c r="E2553" s="38"/>
      <c r="F2553" s="27"/>
      <c r="G2553" s="27"/>
      <c r="H2553" s="99"/>
      <c r="M2553" s="27"/>
      <c r="N2553" s="48"/>
    </row>
    <row r="2554" spans="1:14" s="7" customFormat="1" x14ac:dyDescent="0.35">
      <c r="A2554" s="113"/>
      <c r="B2554" s="27"/>
      <c r="C2554" s="48"/>
      <c r="D2554" s="27"/>
      <c r="E2554" s="38"/>
      <c r="F2554" s="27"/>
      <c r="G2554" s="27"/>
      <c r="H2554" s="99"/>
      <c r="M2554" s="27"/>
      <c r="N2554" s="48"/>
    </row>
    <row r="2555" spans="1:14" s="7" customFormat="1" x14ac:dyDescent="0.35">
      <c r="A2555" s="113"/>
      <c r="B2555" s="27"/>
      <c r="C2555" s="48"/>
      <c r="D2555" s="27"/>
      <c r="E2555" s="38"/>
      <c r="F2555" s="27"/>
      <c r="G2555" s="27"/>
      <c r="H2555" s="99"/>
      <c r="M2555" s="27"/>
      <c r="N2555" s="48"/>
    </row>
    <row r="2556" spans="1:14" s="7" customFormat="1" x14ac:dyDescent="0.35">
      <c r="A2556" s="113"/>
      <c r="B2556" s="27"/>
      <c r="C2556" s="48"/>
      <c r="D2556" s="27"/>
      <c r="E2556" s="38"/>
      <c r="F2556" s="27"/>
      <c r="G2556" s="27"/>
      <c r="H2556" s="99"/>
      <c r="M2556" s="27"/>
      <c r="N2556" s="48"/>
    </row>
    <row r="2557" spans="1:14" s="7" customFormat="1" x14ac:dyDescent="0.35">
      <c r="A2557" s="113"/>
      <c r="B2557" s="27"/>
      <c r="C2557" s="48"/>
      <c r="D2557" s="27"/>
      <c r="E2557" s="38"/>
      <c r="F2557" s="27"/>
      <c r="G2557" s="27"/>
      <c r="H2557" s="99"/>
      <c r="M2557" s="27"/>
      <c r="N2557" s="48"/>
    </row>
    <row r="2558" spans="1:14" s="7" customFormat="1" x14ac:dyDescent="0.35">
      <c r="A2558" s="113"/>
      <c r="B2558" s="27"/>
      <c r="C2558" s="48"/>
      <c r="D2558" s="27"/>
      <c r="E2558" s="38"/>
      <c r="F2558" s="27"/>
      <c r="G2558" s="27"/>
      <c r="H2558" s="99"/>
      <c r="M2558" s="27"/>
      <c r="N2558" s="48"/>
    </row>
    <row r="2559" spans="1:14" s="7" customFormat="1" x14ac:dyDescent="0.35">
      <c r="A2559" s="113"/>
      <c r="B2559" s="27"/>
      <c r="C2559" s="48"/>
      <c r="D2559" s="27"/>
      <c r="E2559" s="38"/>
      <c r="F2559" s="27"/>
      <c r="G2559" s="27"/>
      <c r="H2559" s="99"/>
      <c r="M2559" s="27"/>
      <c r="N2559" s="48"/>
    </row>
    <row r="2560" spans="1:14" s="7" customFormat="1" x14ac:dyDescent="0.35">
      <c r="A2560" s="113"/>
      <c r="B2560" s="27"/>
      <c r="C2560" s="48"/>
      <c r="D2560" s="27"/>
      <c r="E2560" s="38"/>
      <c r="F2560" s="27"/>
      <c r="G2560" s="27"/>
      <c r="H2560" s="99"/>
      <c r="M2560" s="27"/>
      <c r="N2560" s="48"/>
    </row>
    <row r="2561" spans="1:14" s="7" customFormat="1" x14ac:dyDescent="0.35">
      <c r="A2561" s="113"/>
      <c r="B2561" s="27"/>
      <c r="C2561" s="48"/>
      <c r="D2561" s="27"/>
      <c r="E2561" s="38"/>
      <c r="F2561" s="27"/>
      <c r="G2561" s="27"/>
      <c r="H2561" s="99"/>
      <c r="M2561" s="27"/>
      <c r="N2561" s="48"/>
    </row>
    <row r="2562" spans="1:14" s="7" customFormat="1" x14ac:dyDescent="0.35">
      <c r="A2562" s="113"/>
      <c r="B2562" s="27"/>
      <c r="C2562" s="48"/>
      <c r="D2562" s="27"/>
      <c r="E2562" s="38"/>
      <c r="F2562" s="27"/>
      <c r="G2562" s="27"/>
      <c r="H2562" s="99"/>
      <c r="M2562" s="27"/>
      <c r="N2562" s="48"/>
    </row>
    <row r="2563" spans="1:14" s="7" customFormat="1" x14ac:dyDescent="0.35">
      <c r="A2563" s="113"/>
      <c r="B2563" s="27"/>
      <c r="C2563" s="48"/>
      <c r="D2563" s="27"/>
      <c r="E2563" s="38"/>
      <c r="F2563" s="27"/>
      <c r="G2563" s="27"/>
      <c r="H2563" s="99"/>
      <c r="M2563" s="27"/>
      <c r="N2563" s="48"/>
    </row>
    <row r="2564" spans="1:14" s="7" customFormat="1" x14ac:dyDescent="0.35">
      <c r="A2564" s="113"/>
      <c r="B2564" s="27"/>
      <c r="C2564" s="48"/>
      <c r="D2564" s="27"/>
      <c r="E2564" s="38"/>
      <c r="F2564" s="27"/>
      <c r="G2564" s="27"/>
      <c r="H2564" s="99"/>
      <c r="M2564" s="27"/>
      <c r="N2564" s="48"/>
    </row>
    <row r="2565" spans="1:14" s="7" customFormat="1" x14ac:dyDescent="0.35">
      <c r="A2565" s="113"/>
      <c r="B2565" s="27"/>
      <c r="C2565" s="48"/>
      <c r="D2565" s="27"/>
      <c r="E2565" s="38"/>
      <c r="F2565" s="27"/>
      <c r="G2565" s="27"/>
      <c r="H2565" s="99"/>
      <c r="M2565" s="27"/>
      <c r="N2565" s="48"/>
    </row>
    <row r="2566" spans="1:14" s="7" customFormat="1" x14ac:dyDescent="0.35">
      <c r="A2566" s="113"/>
      <c r="B2566" s="27"/>
      <c r="C2566" s="48"/>
      <c r="D2566" s="27"/>
      <c r="E2566" s="38"/>
      <c r="F2566" s="27"/>
      <c r="G2566" s="27"/>
      <c r="H2566" s="99"/>
      <c r="M2566" s="27"/>
      <c r="N2566" s="48"/>
    </row>
    <row r="2567" spans="1:14" s="7" customFormat="1" x14ac:dyDescent="0.35">
      <c r="A2567" s="113"/>
      <c r="B2567" s="27"/>
      <c r="C2567" s="48"/>
      <c r="D2567" s="27"/>
      <c r="E2567" s="38"/>
      <c r="F2567" s="27"/>
      <c r="G2567" s="27"/>
      <c r="H2567" s="99"/>
      <c r="M2567" s="27"/>
      <c r="N2567" s="48"/>
    </row>
    <row r="2568" spans="1:14" s="7" customFormat="1" x14ac:dyDescent="0.35">
      <c r="A2568" s="113"/>
      <c r="B2568" s="27"/>
      <c r="C2568" s="48"/>
      <c r="D2568" s="27"/>
      <c r="E2568" s="38"/>
      <c r="F2568" s="27"/>
      <c r="G2568" s="27"/>
      <c r="H2568" s="99"/>
      <c r="M2568" s="27"/>
      <c r="N2568" s="48"/>
    </row>
    <row r="2569" spans="1:14" s="7" customFormat="1" x14ac:dyDescent="0.35">
      <c r="A2569" s="113"/>
      <c r="B2569" s="27"/>
      <c r="C2569" s="48"/>
      <c r="D2569" s="27"/>
      <c r="E2569" s="38"/>
      <c r="F2569" s="27"/>
      <c r="G2569" s="27"/>
      <c r="H2569" s="99"/>
      <c r="M2569" s="27"/>
      <c r="N2569" s="48"/>
    </row>
    <row r="2570" spans="1:14" s="7" customFormat="1" x14ac:dyDescent="0.35">
      <c r="A2570" s="113"/>
      <c r="B2570" s="27"/>
      <c r="C2570" s="48"/>
      <c r="D2570" s="27"/>
      <c r="E2570" s="38"/>
      <c r="F2570" s="27"/>
      <c r="G2570" s="27"/>
      <c r="H2570" s="99"/>
      <c r="M2570" s="27"/>
      <c r="N2570" s="48"/>
    </row>
    <row r="2571" spans="1:14" s="7" customFormat="1" x14ac:dyDescent="0.35">
      <c r="A2571" s="113"/>
      <c r="B2571" s="27"/>
      <c r="C2571" s="48"/>
      <c r="D2571" s="27"/>
      <c r="E2571" s="38"/>
      <c r="F2571" s="27"/>
      <c r="G2571" s="27"/>
      <c r="H2571" s="99"/>
      <c r="M2571" s="27"/>
      <c r="N2571" s="48"/>
    </row>
    <row r="2572" spans="1:14" s="7" customFormat="1" x14ac:dyDescent="0.35">
      <c r="A2572" s="113"/>
      <c r="B2572" s="27"/>
      <c r="C2572" s="48"/>
      <c r="D2572" s="27"/>
      <c r="E2572" s="38"/>
      <c r="F2572" s="27"/>
      <c r="G2572" s="27"/>
      <c r="H2572" s="99"/>
      <c r="M2572" s="27"/>
      <c r="N2572" s="48"/>
    </row>
    <row r="2573" spans="1:14" s="7" customFormat="1" x14ac:dyDescent="0.35">
      <c r="A2573" s="113"/>
      <c r="B2573" s="27"/>
      <c r="C2573" s="48"/>
      <c r="D2573" s="27"/>
      <c r="E2573" s="38"/>
      <c r="F2573" s="27"/>
      <c r="G2573" s="27"/>
      <c r="H2573" s="99"/>
      <c r="M2573" s="27"/>
      <c r="N2573" s="48"/>
    </row>
    <row r="2574" spans="1:14" s="7" customFormat="1" x14ac:dyDescent="0.35">
      <c r="A2574" s="113"/>
      <c r="B2574" s="27"/>
      <c r="C2574" s="48"/>
      <c r="D2574" s="27"/>
      <c r="E2574" s="38"/>
      <c r="F2574" s="27"/>
      <c r="G2574" s="27"/>
      <c r="H2574" s="99"/>
      <c r="M2574" s="27"/>
      <c r="N2574" s="48"/>
    </row>
    <row r="2575" spans="1:14" s="7" customFormat="1" x14ac:dyDescent="0.35">
      <c r="A2575" s="113"/>
      <c r="B2575" s="27"/>
      <c r="C2575" s="48"/>
      <c r="D2575" s="27"/>
      <c r="E2575" s="38"/>
      <c r="F2575" s="27"/>
      <c r="G2575" s="27"/>
      <c r="H2575" s="99"/>
      <c r="M2575" s="27"/>
      <c r="N2575" s="48"/>
    </row>
    <row r="2576" spans="1:14" s="7" customFormat="1" x14ac:dyDescent="0.35">
      <c r="A2576" s="113"/>
      <c r="B2576" s="27"/>
      <c r="C2576" s="48"/>
      <c r="D2576" s="27"/>
      <c r="E2576" s="38"/>
      <c r="F2576" s="27"/>
      <c r="G2576" s="27"/>
      <c r="H2576" s="99"/>
      <c r="M2576" s="27"/>
      <c r="N2576" s="48"/>
    </row>
    <row r="2577" spans="1:14" s="7" customFormat="1" x14ac:dyDescent="0.35">
      <c r="A2577" s="113"/>
      <c r="B2577" s="27"/>
      <c r="C2577" s="48"/>
      <c r="D2577" s="27"/>
      <c r="E2577" s="38"/>
      <c r="F2577" s="27"/>
      <c r="G2577" s="27"/>
      <c r="H2577" s="99"/>
      <c r="M2577" s="27"/>
      <c r="N2577" s="48"/>
    </row>
    <row r="2578" spans="1:14" s="7" customFormat="1" x14ac:dyDescent="0.35">
      <c r="A2578" s="113"/>
      <c r="B2578" s="27"/>
      <c r="C2578" s="48"/>
      <c r="D2578" s="27"/>
      <c r="E2578" s="38"/>
      <c r="F2578" s="27"/>
      <c r="G2578" s="27"/>
      <c r="H2578" s="99"/>
      <c r="M2578" s="27"/>
      <c r="N2578" s="48"/>
    </row>
    <row r="2579" spans="1:14" s="7" customFormat="1" x14ac:dyDescent="0.35">
      <c r="A2579" s="113"/>
      <c r="B2579" s="27"/>
      <c r="C2579" s="48"/>
      <c r="D2579" s="27"/>
      <c r="E2579" s="38"/>
      <c r="F2579" s="27"/>
      <c r="G2579" s="27"/>
      <c r="H2579" s="99"/>
      <c r="M2579" s="27"/>
      <c r="N2579" s="48"/>
    </row>
    <row r="2580" spans="1:14" s="7" customFormat="1" x14ac:dyDescent="0.35">
      <c r="A2580" s="113"/>
      <c r="B2580" s="27"/>
      <c r="C2580" s="48"/>
      <c r="D2580" s="27"/>
      <c r="E2580" s="38"/>
      <c r="F2580" s="27"/>
      <c r="G2580" s="27"/>
      <c r="H2580" s="99"/>
      <c r="M2580" s="27"/>
      <c r="N2580" s="48"/>
    </row>
    <row r="2581" spans="1:14" s="7" customFormat="1" x14ac:dyDescent="0.35">
      <c r="A2581" s="113"/>
      <c r="B2581" s="27"/>
      <c r="C2581" s="48"/>
      <c r="D2581" s="27"/>
      <c r="E2581" s="38"/>
      <c r="F2581" s="27"/>
      <c r="G2581" s="27"/>
      <c r="H2581" s="99"/>
      <c r="M2581" s="27"/>
      <c r="N2581" s="48"/>
    </row>
    <row r="2582" spans="1:14" s="7" customFormat="1" x14ac:dyDescent="0.35">
      <c r="A2582" s="113"/>
      <c r="B2582" s="27"/>
      <c r="C2582" s="48"/>
      <c r="D2582" s="27"/>
      <c r="E2582" s="38"/>
      <c r="F2582" s="27"/>
      <c r="G2582" s="27"/>
      <c r="H2582" s="99"/>
      <c r="M2582" s="27"/>
      <c r="N2582" s="48"/>
    </row>
    <row r="2583" spans="1:14" s="7" customFormat="1" x14ac:dyDescent="0.35">
      <c r="A2583" s="113"/>
      <c r="B2583" s="27"/>
      <c r="C2583" s="48"/>
      <c r="D2583" s="27"/>
      <c r="E2583" s="38"/>
      <c r="F2583" s="27"/>
      <c r="G2583" s="27"/>
      <c r="H2583" s="99"/>
      <c r="M2583" s="27"/>
      <c r="N2583" s="48"/>
    </row>
    <row r="2584" spans="1:14" s="7" customFormat="1" x14ac:dyDescent="0.35">
      <c r="A2584" s="113"/>
      <c r="B2584" s="27"/>
      <c r="C2584" s="48"/>
      <c r="D2584" s="27"/>
      <c r="E2584" s="38"/>
      <c r="F2584" s="27"/>
      <c r="G2584" s="27"/>
      <c r="H2584" s="99"/>
      <c r="M2584" s="27"/>
      <c r="N2584" s="48"/>
    </row>
    <row r="2585" spans="1:14" s="7" customFormat="1" x14ac:dyDescent="0.35">
      <c r="A2585" s="113"/>
      <c r="B2585" s="27"/>
      <c r="C2585" s="48"/>
      <c r="D2585" s="27"/>
      <c r="E2585" s="38"/>
      <c r="F2585" s="27"/>
      <c r="G2585" s="27"/>
      <c r="H2585" s="99"/>
      <c r="M2585" s="27"/>
      <c r="N2585" s="48"/>
    </row>
    <row r="2586" spans="1:14" s="7" customFormat="1" x14ac:dyDescent="0.35">
      <c r="A2586" s="113"/>
      <c r="B2586" s="27"/>
      <c r="C2586" s="48"/>
      <c r="D2586" s="27"/>
      <c r="E2586" s="38"/>
      <c r="F2586" s="27"/>
      <c r="G2586" s="27"/>
      <c r="H2586" s="99"/>
      <c r="M2586" s="27"/>
      <c r="N2586" s="48"/>
    </row>
    <row r="2587" spans="1:14" s="7" customFormat="1" x14ac:dyDescent="0.35">
      <c r="A2587" s="113"/>
      <c r="B2587" s="27"/>
      <c r="C2587" s="48"/>
      <c r="D2587" s="27"/>
      <c r="E2587" s="38"/>
      <c r="F2587" s="27"/>
      <c r="G2587" s="27"/>
      <c r="H2587" s="99"/>
      <c r="M2587" s="27"/>
      <c r="N2587" s="48"/>
    </row>
    <row r="2588" spans="1:14" s="7" customFormat="1" x14ac:dyDescent="0.35">
      <c r="A2588" s="113"/>
      <c r="B2588" s="27"/>
      <c r="C2588" s="48"/>
      <c r="D2588" s="27"/>
      <c r="E2588" s="38"/>
      <c r="F2588" s="27"/>
      <c r="G2588" s="27"/>
      <c r="H2588" s="99"/>
      <c r="M2588" s="27"/>
      <c r="N2588" s="48"/>
    </row>
    <row r="2589" spans="1:14" s="7" customFormat="1" x14ac:dyDescent="0.35">
      <c r="A2589" s="113"/>
      <c r="B2589" s="27"/>
      <c r="C2589" s="48"/>
      <c r="D2589" s="27"/>
      <c r="E2589" s="38"/>
      <c r="F2589" s="27"/>
      <c r="G2589" s="27"/>
      <c r="H2589" s="99"/>
      <c r="M2589" s="27"/>
      <c r="N2589" s="48"/>
    </row>
    <row r="2590" spans="1:14" s="7" customFormat="1" x14ac:dyDescent="0.35">
      <c r="A2590" s="113"/>
      <c r="B2590" s="27"/>
      <c r="C2590" s="48"/>
      <c r="D2590" s="27"/>
      <c r="E2590" s="38"/>
      <c r="F2590" s="27"/>
      <c r="G2590" s="27"/>
      <c r="H2590" s="99"/>
      <c r="M2590" s="27"/>
      <c r="N2590" s="48"/>
    </row>
    <row r="2591" spans="1:14" s="7" customFormat="1" x14ac:dyDescent="0.35">
      <c r="A2591" s="113"/>
      <c r="B2591" s="27"/>
      <c r="C2591" s="48"/>
      <c r="D2591" s="27"/>
      <c r="E2591" s="38"/>
      <c r="F2591" s="27"/>
      <c r="G2591" s="27"/>
      <c r="H2591" s="99"/>
      <c r="M2591" s="27"/>
      <c r="N2591" s="48"/>
    </row>
    <row r="2592" spans="1:14" s="7" customFormat="1" x14ac:dyDescent="0.35">
      <c r="A2592" s="113"/>
      <c r="B2592" s="27"/>
      <c r="C2592" s="48"/>
      <c r="D2592" s="27"/>
      <c r="E2592" s="38"/>
      <c r="F2592" s="27"/>
      <c r="G2592" s="27"/>
      <c r="H2592" s="99"/>
      <c r="M2592" s="27"/>
      <c r="N2592" s="48"/>
    </row>
    <row r="2593" spans="1:14" s="7" customFormat="1" x14ac:dyDescent="0.35">
      <c r="A2593" s="113"/>
      <c r="B2593" s="27"/>
      <c r="C2593" s="48"/>
      <c r="D2593" s="27"/>
      <c r="E2593" s="38"/>
      <c r="F2593" s="27"/>
      <c r="G2593" s="27"/>
      <c r="H2593" s="99"/>
      <c r="M2593" s="27"/>
      <c r="N2593" s="48"/>
    </row>
    <row r="2594" spans="1:14" s="7" customFormat="1" x14ac:dyDescent="0.35">
      <c r="A2594" s="113"/>
      <c r="B2594" s="27"/>
      <c r="C2594" s="48"/>
      <c r="D2594" s="27"/>
      <c r="E2594" s="38"/>
      <c r="F2594" s="27"/>
      <c r="G2594" s="27"/>
      <c r="H2594" s="99"/>
      <c r="M2594" s="27"/>
      <c r="N2594" s="48"/>
    </row>
    <row r="2595" spans="1:14" s="7" customFormat="1" x14ac:dyDescent="0.35">
      <c r="A2595" s="113"/>
      <c r="B2595" s="27"/>
      <c r="C2595" s="48"/>
      <c r="D2595" s="27"/>
      <c r="E2595" s="38"/>
      <c r="F2595" s="27"/>
      <c r="G2595" s="27"/>
      <c r="H2595" s="99"/>
      <c r="M2595" s="27"/>
      <c r="N2595" s="48"/>
    </row>
    <row r="2596" spans="1:14" s="7" customFormat="1" x14ac:dyDescent="0.35">
      <c r="A2596" s="113"/>
      <c r="B2596" s="27"/>
      <c r="C2596" s="48"/>
      <c r="D2596" s="27"/>
      <c r="E2596" s="38"/>
      <c r="F2596" s="27"/>
      <c r="G2596" s="27"/>
      <c r="H2596" s="99"/>
      <c r="M2596" s="27"/>
      <c r="N2596" s="48"/>
    </row>
    <row r="2597" spans="1:14" s="7" customFormat="1" x14ac:dyDescent="0.35">
      <c r="A2597" s="113"/>
      <c r="B2597" s="27"/>
      <c r="C2597" s="48"/>
      <c r="D2597" s="27"/>
      <c r="E2597" s="38"/>
      <c r="F2597" s="27"/>
      <c r="G2597" s="27"/>
      <c r="H2597" s="99"/>
      <c r="M2597" s="27"/>
      <c r="N2597" s="48"/>
    </row>
    <row r="2598" spans="1:14" s="7" customFormat="1" x14ac:dyDescent="0.35">
      <c r="A2598" s="113"/>
      <c r="B2598" s="27"/>
      <c r="C2598" s="48"/>
      <c r="D2598" s="27"/>
      <c r="E2598" s="38"/>
      <c r="F2598" s="27"/>
      <c r="G2598" s="27"/>
      <c r="H2598" s="99"/>
      <c r="M2598" s="27"/>
      <c r="N2598" s="48"/>
    </row>
    <row r="2599" spans="1:14" s="7" customFormat="1" x14ac:dyDescent="0.35">
      <c r="A2599" s="113"/>
      <c r="B2599" s="27"/>
      <c r="C2599" s="48"/>
      <c r="D2599" s="27"/>
      <c r="E2599" s="38"/>
      <c r="F2599" s="27"/>
      <c r="G2599" s="27"/>
      <c r="H2599" s="99"/>
      <c r="M2599" s="27"/>
      <c r="N2599" s="48"/>
    </row>
    <row r="2600" spans="1:14" s="7" customFormat="1" x14ac:dyDescent="0.35">
      <c r="A2600" s="113"/>
      <c r="B2600" s="27"/>
      <c r="C2600" s="48"/>
      <c r="D2600" s="27"/>
      <c r="E2600" s="38"/>
      <c r="F2600" s="27"/>
      <c r="G2600" s="27"/>
      <c r="H2600" s="99"/>
      <c r="M2600" s="27"/>
      <c r="N2600" s="48"/>
    </row>
    <row r="2601" spans="1:14" s="7" customFormat="1" x14ac:dyDescent="0.35">
      <c r="A2601" s="113"/>
      <c r="B2601" s="27"/>
      <c r="C2601" s="48"/>
      <c r="D2601" s="27"/>
      <c r="E2601" s="38"/>
      <c r="F2601" s="27"/>
      <c r="G2601" s="27"/>
      <c r="H2601" s="99"/>
      <c r="M2601" s="27"/>
      <c r="N2601" s="48"/>
    </row>
    <row r="2602" spans="1:14" s="7" customFormat="1" x14ac:dyDescent="0.35">
      <c r="A2602" s="113"/>
      <c r="B2602" s="27"/>
      <c r="C2602" s="48"/>
      <c r="D2602" s="27"/>
      <c r="E2602" s="38"/>
      <c r="F2602" s="27"/>
      <c r="G2602" s="27"/>
      <c r="H2602" s="99"/>
      <c r="M2602" s="27"/>
      <c r="N2602" s="48"/>
    </row>
    <row r="2603" spans="1:14" s="7" customFormat="1" x14ac:dyDescent="0.35">
      <c r="A2603" s="113"/>
      <c r="B2603" s="27"/>
      <c r="C2603" s="48"/>
      <c r="D2603" s="27"/>
      <c r="E2603" s="38"/>
      <c r="F2603" s="27"/>
      <c r="G2603" s="27"/>
      <c r="H2603" s="99"/>
      <c r="M2603" s="27"/>
      <c r="N2603" s="48"/>
    </row>
    <row r="2604" spans="1:14" s="7" customFormat="1" x14ac:dyDescent="0.35">
      <c r="A2604" s="113"/>
      <c r="B2604" s="27"/>
      <c r="C2604" s="48"/>
      <c r="D2604" s="27"/>
      <c r="E2604" s="38"/>
      <c r="F2604" s="27"/>
      <c r="G2604" s="27"/>
      <c r="H2604" s="99"/>
      <c r="M2604" s="27"/>
      <c r="N2604" s="48"/>
    </row>
    <row r="2605" spans="1:14" s="7" customFormat="1" x14ac:dyDescent="0.35">
      <c r="A2605" s="113"/>
      <c r="B2605" s="27"/>
      <c r="C2605" s="48"/>
      <c r="D2605" s="27"/>
      <c r="E2605" s="38"/>
      <c r="F2605" s="27"/>
      <c r="G2605" s="27"/>
      <c r="H2605" s="99"/>
      <c r="M2605" s="27"/>
      <c r="N2605" s="48"/>
    </row>
    <row r="2606" spans="1:14" s="7" customFormat="1" x14ac:dyDescent="0.35">
      <c r="A2606" s="113"/>
      <c r="B2606" s="27"/>
      <c r="C2606" s="48"/>
      <c r="D2606" s="27"/>
      <c r="E2606" s="38"/>
      <c r="F2606" s="27"/>
      <c r="G2606" s="27"/>
      <c r="H2606" s="99"/>
      <c r="M2606" s="27"/>
      <c r="N2606" s="48"/>
    </row>
    <row r="2607" spans="1:14" s="7" customFormat="1" x14ac:dyDescent="0.35">
      <c r="A2607" s="113"/>
      <c r="B2607" s="27"/>
      <c r="C2607" s="48"/>
      <c r="D2607" s="27"/>
      <c r="E2607" s="38"/>
      <c r="F2607" s="27"/>
      <c r="G2607" s="27"/>
      <c r="H2607" s="99"/>
      <c r="M2607" s="27"/>
      <c r="N2607" s="48"/>
    </row>
    <row r="2608" spans="1:14" s="7" customFormat="1" x14ac:dyDescent="0.35">
      <c r="A2608" s="113"/>
      <c r="B2608" s="27"/>
      <c r="C2608" s="48"/>
      <c r="D2608" s="27"/>
      <c r="E2608" s="38"/>
      <c r="F2608" s="27"/>
      <c r="G2608" s="27"/>
      <c r="H2608" s="99"/>
      <c r="M2608" s="27"/>
      <c r="N2608" s="48"/>
    </row>
    <row r="2609" spans="1:14" s="7" customFormat="1" x14ac:dyDescent="0.35">
      <c r="A2609" s="113"/>
      <c r="B2609" s="27"/>
      <c r="C2609" s="48"/>
      <c r="D2609" s="27"/>
      <c r="E2609" s="38"/>
      <c r="F2609" s="27"/>
      <c r="G2609" s="27"/>
      <c r="H2609" s="99"/>
      <c r="M2609" s="27"/>
      <c r="N2609" s="48"/>
    </row>
    <row r="2610" spans="1:14" s="7" customFormat="1" x14ac:dyDescent="0.35">
      <c r="A2610" s="113"/>
      <c r="B2610" s="27"/>
      <c r="C2610" s="48"/>
      <c r="D2610" s="27"/>
      <c r="E2610" s="38"/>
      <c r="F2610" s="27"/>
      <c r="G2610" s="27"/>
      <c r="H2610" s="99"/>
      <c r="M2610" s="27"/>
      <c r="N2610" s="48"/>
    </row>
    <row r="2611" spans="1:14" s="7" customFormat="1" x14ac:dyDescent="0.35">
      <c r="A2611" s="113"/>
      <c r="B2611" s="27"/>
      <c r="C2611" s="48"/>
      <c r="D2611" s="27"/>
      <c r="E2611" s="38"/>
      <c r="F2611" s="27"/>
      <c r="G2611" s="27"/>
      <c r="H2611" s="99"/>
      <c r="M2611" s="27"/>
      <c r="N2611" s="48"/>
    </row>
    <row r="2612" spans="1:14" s="7" customFormat="1" x14ac:dyDescent="0.35">
      <c r="A2612" s="113"/>
      <c r="B2612" s="27"/>
      <c r="C2612" s="48"/>
      <c r="D2612" s="27"/>
      <c r="E2612" s="38"/>
      <c r="F2612" s="27"/>
      <c r="G2612" s="27"/>
      <c r="H2612" s="99"/>
      <c r="M2612" s="27"/>
      <c r="N2612" s="48"/>
    </row>
    <row r="2613" spans="1:14" s="7" customFormat="1" x14ac:dyDescent="0.35">
      <c r="A2613" s="113"/>
      <c r="B2613" s="27"/>
      <c r="C2613" s="48"/>
      <c r="D2613" s="27"/>
      <c r="E2613" s="38"/>
      <c r="F2613" s="27"/>
      <c r="G2613" s="27"/>
      <c r="H2613" s="99"/>
      <c r="M2613" s="27"/>
      <c r="N2613" s="48"/>
    </row>
    <row r="2614" spans="1:14" s="7" customFormat="1" x14ac:dyDescent="0.35">
      <c r="A2614" s="113"/>
      <c r="B2614" s="27"/>
      <c r="C2614" s="48"/>
      <c r="D2614" s="27"/>
      <c r="E2614" s="38"/>
      <c r="F2614" s="27"/>
      <c r="G2614" s="27"/>
      <c r="H2614" s="99"/>
      <c r="M2614" s="27"/>
      <c r="N2614" s="48"/>
    </row>
    <row r="2615" spans="1:14" s="7" customFormat="1" x14ac:dyDescent="0.35">
      <c r="A2615" s="113"/>
      <c r="B2615" s="27"/>
      <c r="C2615" s="48"/>
      <c r="D2615" s="27"/>
      <c r="E2615" s="38"/>
      <c r="F2615" s="27"/>
      <c r="G2615" s="27"/>
      <c r="H2615" s="99"/>
      <c r="M2615" s="27"/>
      <c r="N2615" s="48"/>
    </row>
    <row r="2616" spans="1:14" s="7" customFormat="1" x14ac:dyDescent="0.35">
      <c r="A2616" s="113"/>
      <c r="B2616" s="27"/>
      <c r="C2616" s="48"/>
      <c r="D2616" s="27"/>
      <c r="E2616" s="38"/>
      <c r="F2616" s="27"/>
      <c r="G2616" s="27"/>
      <c r="H2616" s="99"/>
      <c r="M2616" s="27"/>
      <c r="N2616" s="48"/>
    </row>
    <row r="2617" spans="1:14" s="7" customFormat="1" x14ac:dyDescent="0.35">
      <c r="A2617" s="113"/>
      <c r="B2617" s="27"/>
      <c r="C2617" s="48"/>
      <c r="D2617" s="27"/>
      <c r="E2617" s="38"/>
      <c r="F2617" s="27"/>
      <c r="G2617" s="27"/>
      <c r="H2617" s="99"/>
      <c r="M2617" s="27"/>
      <c r="N2617" s="48"/>
    </row>
    <row r="2618" spans="1:14" s="7" customFormat="1" x14ac:dyDescent="0.35">
      <c r="A2618" s="113"/>
      <c r="B2618" s="27"/>
      <c r="C2618" s="48"/>
      <c r="D2618" s="27"/>
      <c r="E2618" s="38"/>
      <c r="F2618" s="27"/>
      <c r="G2618" s="27"/>
      <c r="H2618" s="99"/>
      <c r="M2618" s="27"/>
      <c r="N2618" s="48"/>
    </row>
    <row r="2619" spans="1:14" s="7" customFormat="1" x14ac:dyDescent="0.35">
      <c r="A2619" s="113"/>
      <c r="B2619" s="27"/>
      <c r="C2619" s="48"/>
      <c r="D2619" s="27"/>
      <c r="E2619" s="38"/>
      <c r="F2619" s="27"/>
      <c r="G2619" s="27"/>
      <c r="H2619" s="99"/>
      <c r="M2619" s="27"/>
      <c r="N2619" s="48"/>
    </row>
    <row r="2620" spans="1:14" s="7" customFormat="1" x14ac:dyDescent="0.35">
      <c r="A2620" s="113"/>
      <c r="B2620" s="27"/>
      <c r="C2620" s="48"/>
      <c r="D2620" s="27"/>
      <c r="E2620" s="38"/>
      <c r="F2620" s="27"/>
      <c r="G2620" s="27"/>
      <c r="H2620" s="99"/>
      <c r="M2620" s="27"/>
      <c r="N2620" s="48"/>
    </row>
    <row r="2621" spans="1:14" s="7" customFormat="1" x14ac:dyDescent="0.35">
      <c r="A2621" s="113"/>
      <c r="B2621" s="27"/>
      <c r="C2621" s="48"/>
      <c r="D2621" s="27"/>
      <c r="E2621" s="38"/>
      <c r="F2621" s="27"/>
      <c r="G2621" s="27"/>
      <c r="H2621" s="99"/>
      <c r="M2621" s="27"/>
      <c r="N2621" s="48"/>
    </row>
    <row r="2622" spans="1:14" s="7" customFormat="1" x14ac:dyDescent="0.35">
      <c r="A2622" s="113"/>
      <c r="B2622" s="27"/>
      <c r="C2622" s="48"/>
      <c r="D2622" s="27"/>
      <c r="E2622" s="38"/>
      <c r="F2622" s="27"/>
      <c r="G2622" s="27"/>
      <c r="H2622" s="99"/>
      <c r="M2622" s="27"/>
      <c r="N2622" s="48"/>
    </row>
    <row r="2623" spans="1:14" s="7" customFormat="1" x14ac:dyDescent="0.35">
      <c r="A2623" s="113"/>
      <c r="B2623" s="27"/>
      <c r="C2623" s="48"/>
      <c r="D2623" s="27"/>
      <c r="E2623" s="38"/>
      <c r="F2623" s="27"/>
      <c r="G2623" s="27"/>
      <c r="H2623" s="99"/>
      <c r="M2623" s="27"/>
      <c r="N2623" s="48"/>
    </row>
    <row r="2624" spans="1:14" s="7" customFormat="1" x14ac:dyDescent="0.35">
      <c r="A2624" s="113"/>
      <c r="B2624" s="27"/>
      <c r="C2624" s="48"/>
      <c r="D2624" s="27"/>
      <c r="E2624" s="38"/>
      <c r="F2624" s="27"/>
      <c r="G2624" s="27"/>
      <c r="H2624" s="99"/>
      <c r="M2624" s="27"/>
      <c r="N2624" s="48"/>
    </row>
    <row r="2625" spans="1:14" s="7" customFormat="1" x14ac:dyDescent="0.35">
      <c r="A2625" s="113"/>
      <c r="B2625" s="27"/>
      <c r="C2625" s="48"/>
      <c r="D2625" s="27"/>
      <c r="E2625" s="38"/>
      <c r="F2625" s="27"/>
      <c r="G2625" s="27"/>
      <c r="H2625" s="99"/>
      <c r="M2625" s="27"/>
      <c r="N2625" s="48"/>
    </row>
    <row r="2626" spans="1:14" s="7" customFormat="1" x14ac:dyDescent="0.35">
      <c r="A2626" s="113"/>
      <c r="B2626" s="27"/>
      <c r="C2626" s="48"/>
      <c r="D2626" s="27"/>
      <c r="E2626" s="38"/>
      <c r="F2626" s="27"/>
      <c r="G2626" s="27"/>
      <c r="H2626" s="99"/>
      <c r="M2626" s="27"/>
      <c r="N2626" s="48"/>
    </row>
    <row r="2627" spans="1:14" s="7" customFormat="1" x14ac:dyDescent="0.35">
      <c r="A2627" s="113"/>
      <c r="B2627" s="27"/>
      <c r="C2627" s="48"/>
      <c r="D2627" s="27"/>
      <c r="E2627" s="38"/>
      <c r="F2627" s="27"/>
      <c r="G2627" s="27"/>
      <c r="H2627" s="99"/>
      <c r="M2627" s="27"/>
      <c r="N2627" s="48"/>
    </row>
    <row r="2628" spans="1:14" s="7" customFormat="1" x14ac:dyDescent="0.35">
      <c r="A2628" s="113"/>
      <c r="B2628" s="27"/>
      <c r="C2628" s="48"/>
      <c r="D2628" s="27"/>
      <c r="E2628" s="38"/>
      <c r="F2628" s="27"/>
      <c r="G2628" s="27"/>
      <c r="H2628" s="99"/>
      <c r="M2628" s="27"/>
      <c r="N2628" s="48"/>
    </row>
    <row r="2629" spans="1:14" s="7" customFormat="1" x14ac:dyDescent="0.35">
      <c r="A2629" s="113"/>
      <c r="B2629" s="27"/>
      <c r="C2629" s="48"/>
      <c r="D2629" s="27"/>
      <c r="E2629" s="38"/>
      <c r="F2629" s="27"/>
      <c r="G2629" s="27"/>
      <c r="H2629" s="99"/>
      <c r="M2629" s="27"/>
      <c r="N2629" s="48"/>
    </row>
    <row r="2630" spans="1:14" s="7" customFormat="1" x14ac:dyDescent="0.35">
      <c r="A2630" s="113"/>
      <c r="B2630" s="27"/>
      <c r="C2630" s="48"/>
      <c r="D2630" s="27"/>
      <c r="E2630" s="38"/>
      <c r="F2630" s="27"/>
      <c r="G2630" s="27"/>
      <c r="H2630" s="99"/>
      <c r="M2630" s="27"/>
      <c r="N2630" s="48"/>
    </row>
    <row r="2631" spans="1:14" s="7" customFormat="1" x14ac:dyDescent="0.35">
      <c r="A2631" s="113"/>
      <c r="B2631" s="27"/>
      <c r="C2631" s="48"/>
      <c r="D2631" s="27"/>
      <c r="E2631" s="38"/>
      <c r="F2631" s="27"/>
      <c r="G2631" s="27"/>
      <c r="H2631" s="99"/>
      <c r="M2631" s="27"/>
      <c r="N2631" s="48"/>
    </row>
    <row r="2632" spans="1:14" s="7" customFormat="1" x14ac:dyDescent="0.35">
      <c r="A2632" s="113"/>
      <c r="B2632" s="27"/>
      <c r="C2632" s="48"/>
      <c r="D2632" s="27"/>
      <c r="E2632" s="38"/>
      <c r="F2632" s="27"/>
      <c r="G2632" s="27"/>
      <c r="H2632" s="99"/>
      <c r="M2632" s="27"/>
      <c r="N2632" s="48"/>
    </row>
    <row r="2633" spans="1:14" s="7" customFormat="1" x14ac:dyDescent="0.35">
      <c r="A2633" s="113"/>
      <c r="B2633" s="27"/>
      <c r="C2633" s="48"/>
      <c r="D2633" s="27"/>
      <c r="E2633" s="38"/>
      <c r="F2633" s="27"/>
      <c r="G2633" s="27"/>
      <c r="H2633" s="99"/>
      <c r="M2633" s="27"/>
      <c r="N2633" s="48"/>
    </row>
    <row r="2634" spans="1:14" s="7" customFormat="1" x14ac:dyDescent="0.35">
      <c r="A2634" s="113"/>
      <c r="B2634" s="27"/>
      <c r="C2634" s="48"/>
      <c r="D2634" s="27"/>
      <c r="E2634" s="38"/>
      <c r="F2634" s="27"/>
      <c r="G2634" s="27"/>
      <c r="H2634" s="99"/>
      <c r="M2634" s="27"/>
      <c r="N2634" s="48"/>
    </row>
    <row r="2635" spans="1:14" s="7" customFormat="1" x14ac:dyDescent="0.35">
      <c r="A2635" s="113"/>
      <c r="B2635" s="27"/>
      <c r="C2635" s="48"/>
      <c r="D2635" s="27"/>
      <c r="E2635" s="38"/>
      <c r="F2635" s="27"/>
      <c r="G2635" s="27"/>
      <c r="H2635" s="99"/>
      <c r="M2635" s="27"/>
      <c r="N2635" s="48"/>
    </row>
    <row r="2636" spans="1:14" s="7" customFormat="1" x14ac:dyDescent="0.35">
      <c r="A2636" s="113"/>
      <c r="B2636" s="27"/>
      <c r="C2636" s="48"/>
      <c r="D2636" s="27"/>
      <c r="E2636" s="38"/>
      <c r="F2636" s="27"/>
      <c r="G2636" s="27"/>
      <c r="H2636" s="99"/>
      <c r="M2636" s="27"/>
      <c r="N2636" s="48"/>
    </row>
    <row r="2637" spans="1:14" s="7" customFormat="1" x14ac:dyDescent="0.35">
      <c r="A2637" s="113"/>
      <c r="B2637" s="27"/>
      <c r="C2637" s="48"/>
      <c r="D2637" s="27"/>
      <c r="E2637" s="38"/>
      <c r="F2637" s="27"/>
      <c r="G2637" s="27"/>
      <c r="H2637" s="99"/>
      <c r="M2637" s="27"/>
      <c r="N2637" s="48"/>
    </row>
    <row r="2638" spans="1:14" s="7" customFormat="1" x14ac:dyDescent="0.35">
      <c r="A2638" s="113"/>
      <c r="B2638" s="27"/>
      <c r="C2638" s="48"/>
      <c r="D2638" s="27"/>
      <c r="E2638" s="38"/>
      <c r="F2638" s="27"/>
      <c r="G2638" s="27"/>
      <c r="H2638" s="99"/>
      <c r="M2638" s="27"/>
      <c r="N2638" s="48"/>
    </row>
    <row r="2639" spans="1:14" s="7" customFormat="1" x14ac:dyDescent="0.35">
      <c r="A2639" s="113"/>
      <c r="B2639" s="27"/>
      <c r="C2639" s="48"/>
      <c r="D2639" s="27"/>
      <c r="E2639" s="38"/>
      <c r="F2639" s="27"/>
      <c r="G2639" s="27"/>
      <c r="H2639" s="99"/>
      <c r="M2639" s="27"/>
      <c r="N2639" s="48"/>
    </row>
    <row r="2640" spans="1:14" s="7" customFormat="1" x14ac:dyDescent="0.35">
      <c r="A2640" s="113"/>
      <c r="B2640" s="27"/>
      <c r="C2640" s="48"/>
      <c r="D2640" s="27"/>
      <c r="E2640" s="38"/>
      <c r="F2640" s="27"/>
      <c r="G2640" s="27"/>
      <c r="H2640" s="99"/>
      <c r="M2640" s="27"/>
      <c r="N2640" s="48"/>
    </row>
    <row r="2641" spans="1:14" s="7" customFormat="1" x14ac:dyDescent="0.35">
      <c r="A2641" s="113"/>
      <c r="B2641" s="27"/>
      <c r="C2641" s="48"/>
      <c r="D2641" s="27"/>
      <c r="E2641" s="38"/>
      <c r="F2641" s="27"/>
      <c r="G2641" s="27"/>
      <c r="H2641" s="99"/>
      <c r="M2641" s="27"/>
      <c r="N2641" s="48"/>
    </row>
    <row r="2642" spans="1:14" s="7" customFormat="1" x14ac:dyDescent="0.35">
      <c r="A2642" s="113"/>
      <c r="B2642" s="27"/>
      <c r="C2642" s="48"/>
      <c r="D2642" s="27"/>
      <c r="E2642" s="38"/>
      <c r="F2642" s="27"/>
      <c r="G2642" s="27"/>
      <c r="H2642" s="99"/>
      <c r="M2642" s="27"/>
      <c r="N2642" s="48"/>
    </row>
    <row r="2643" spans="1:14" s="7" customFormat="1" x14ac:dyDescent="0.35">
      <c r="A2643" s="113"/>
      <c r="B2643" s="27"/>
      <c r="C2643" s="48"/>
      <c r="D2643" s="27"/>
      <c r="E2643" s="38"/>
      <c r="F2643" s="27"/>
      <c r="G2643" s="27"/>
      <c r="H2643" s="99"/>
      <c r="M2643" s="27"/>
      <c r="N2643" s="48"/>
    </row>
    <row r="2644" spans="1:14" s="7" customFormat="1" x14ac:dyDescent="0.35">
      <c r="A2644" s="113"/>
      <c r="B2644" s="27"/>
      <c r="C2644" s="48"/>
      <c r="D2644" s="27"/>
      <c r="E2644" s="38"/>
      <c r="F2644" s="27"/>
      <c r="G2644" s="27"/>
      <c r="H2644" s="99"/>
      <c r="M2644" s="27"/>
      <c r="N2644" s="48"/>
    </row>
    <row r="2645" spans="1:14" s="7" customFormat="1" x14ac:dyDescent="0.35">
      <c r="A2645" s="113"/>
      <c r="B2645" s="27"/>
      <c r="C2645" s="48"/>
      <c r="D2645" s="27"/>
      <c r="E2645" s="38"/>
      <c r="F2645" s="27"/>
      <c r="G2645" s="27"/>
      <c r="H2645" s="99"/>
      <c r="M2645" s="27"/>
      <c r="N2645" s="48"/>
    </row>
    <row r="2646" spans="1:14" s="7" customFormat="1" x14ac:dyDescent="0.35">
      <c r="A2646" s="113"/>
      <c r="B2646" s="27"/>
      <c r="C2646" s="48"/>
      <c r="D2646" s="27"/>
      <c r="E2646" s="38"/>
      <c r="F2646" s="27"/>
      <c r="G2646" s="27"/>
      <c r="H2646" s="99"/>
      <c r="M2646" s="27"/>
      <c r="N2646" s="48"/>
    </row>
    <row r="2647" spans="1:14" s="7" customFormat="1" x14ac:dyDescent="0.35">
      <c r="A2647" s="113"/>
      <c r="B2647" s="27"/>
      <c r="C2647" s="48"/>
      <c r="D2647" s="27"/>
      <c r="E2647" s="38"/>
      <c r="F2647" s="27"/>
      <c r="G2647" s="27"/>
      <c r="H2647" s="99"/>
      <c r="M2647" s="27"/>
      <c r="N2647" s="48"/>
    </row>
    <row r="2648" spans="1:14" s="7" customFormat="1" x14ac:dyDescent="0.35">
      <c r="A2648" s="113"/>
      <c r="B2648" s="27"/>
      <c r="C2648" s="48"/>
      <c r="D2648" s="27"/>
      <c r="E2648" s="38"/>
      <c r="F2648" s="27"/>
      <c r="G2648" s="27"/>
      <c r="H2648" s="99"/>
      <c r="M2648" s="27"/>
      <c r="N2648" s="48"/>
    </row>
    <row r="2649" spans="1:14" s="7" customFormat="1" x14ac:dyDescent="0.35">
      <c r="A2649" s="113"/>
      <c r="B2649" s="27"/>
      <c r="C2649" s="48"/>
      <c r="D2649" s="27"/>
      <c r="E2649" s="38"/>
      <c r="F2649" s="27"/>
      <c r="G2649" s="27"/>
      <c r="H2649" s="99"/>
      <c r="M2649" s="27"/>
      <c r="N2649" s="48"/>
    </row>
    <row r="2650" spans="1:14" s="7" customFormat="1" x14ac:dyDescent="0.35">
      <c r="A2650" s="113"/>
      <c r="B2650" s="27"/>
      <c r="C2650" s="48"/>
      <c r="D2650" s="27"/>
      <c r="E2650" s="38"/>
      <c r="F2650" s="27"/>
      <c r="G2650" s="27"/>
      <c r="H2650" s="99"/>
      <c r="M2650" s="27"/>
      <c r="N2650" s="48"/>
    </row>
    <row r="2651" spans="1:14" s="7" customFormat="1" x14ac:dyDescent="0.35">
      <c r="A2651" s="113"/>
      <c r="B2651" s="27"/>
      <c r="C2651" s="48"/>
      <c r="D2651" s="27"/>
      <c r="E2651" s="38"/>
      <c r="F2651" s="27"/>
      <c r="G2651" s="27"/>
      <c r="H2651" s="99"/>
      <c r="M2651" s="27"/>
      <c r="N2651" s="48"/>
    </row>
    <row r="2652" spans="1:14" s="7" customFormat="1" x14ac:dyDescent="0.35">
      <c r="A2652" s="113"/>
      <c r="B2652" s="27"/>
      <c r="C2652" s="48"/>
      <c r="D2652" s="27"/>
      <c r="E2652" s="38"/>
      <c r="F2652" s="27"/>
      <c r="G2652" s="27"/>
      <c r="H2652" s="99"/>
      <c r="M2652" s="27"/>
      <c r="N2652" s="48"/>
    </row>
    <row r="2653" spans="1:14" s="7" customFormat="1" x14ac:dyDescent="0.35">
      <c r="A2653" s="113"/>
      <c r="B2653" s="27"/>
      <c r="C2653" s="48"/>
      <c r="D2653" s="27"/>
      <c r="E2653" s="38"/>
      <c r="F2653" s="27"/>
      <c r="G2653" s="27"/>
      <c r="H2653" s="99"/>
      <c r="M2653" s="27"/>
      <c r="N2653" s="48"/>
    </row>
    <row r="2654" spans="1:14" s="7" customFormat="1" x14ac:dyDescent="0.35">
      <c r="A2654" s="113"/>
      <c r="B2654" s="27"/>
      <c r="C2654" s="48"/>
      <c r="D2654" s="27"/>
      <c r="E2654" s="38"/>
      <c r="F2654" s="27"/>
      <c r="G2654" s="27"/>
      <c r="H2654" s="99"/>
      <c r="M2654" s="27"/>
      <c r="N2654" s="48"/>
    </row>
    <row r="2655" spans="1:14" s="7" customFormat="1" x14ac:dyDescent="0.35">
      <c r="A2655" s="113"/>
      <c r="B2655" s="27"/>
      <c r="C2655" s="48"/>
      <c r="D2655" s="27"/>
      <c r="E2655" s="38"/>
      <c r="F2655" s="27"/>
      <c r="G2655" s="27"/>
      <c r="H2655" s="99"/>
      <c r="M2655" s="27"/>
      <c r="N2655" s="48"/>
    </row>
    <row r="2656" spans="1:14" s="7" customFormat="1" x14ac:dyDescent="0.35">
      <c r="A2656" s="113"/>
      <c r="B2656" s="27"/>
      <c r="C2656" s="48"/>
      <c r="D2656" s="27"/>
      <c r="E2656" s="38"/>
      <c r="F2656" s="27"/>
      <c r="G2656" s="27"/>
      <c r="H2656" s="99"/>
      <c r="M2656" s="27"/>
      <c r="N2656" s="48"/>
    </row>
    <row r="2657" spans="1:14" s="7" customFormat="1" x14ac:dyDescent="0.35">
      <c r="A2657" s="113"/>
      <c r="B2657" s="27"/>
      <c r="C2657" s="48"/>
      <c r="D2657" s="27"/>
      <c r="E2657" s="38"/>
      <c r="F2657" s="27"/>
      <c r="G2657" s="27"/>
      <c r="H2657" s="99"/>
      <c r="M2657" s="27"/>
      <c r="N2657" s="48"/>
    </row>
    <row r="2658" spans="1:14" s="7" customFormat="1" x14ac:dyDescent="0.35">
      <c r="A2658" s="113"/>
      <c r="B2658" s="27"/>
      <c r="C2658" s="48"/>
      <c r="D2658" s="27"/>
      <c r="E2658" s="38"/>
      <c r="F2658" s="27"/>
      <c r="G2658" s="27"/>
      <c r="H2658" s="99"/>
      <c r="M2658" s="27"/>
      <c r="N2658" s="48"/>
    </row>
    <row r="2659" spans="1:14" s="7" customFormat="1" x14ac:dyDescent="0.35">
      <c r="A2659" s="113"/>
      <c r="B2659" s="27"/>
      <c r="C2659" s="48"/>
      <c r="D2659" s="27"/>
      <c r="E2659" s="38"/>
      <c r="F2659" s="27"/>
      <c r="G2659" s="27"/>
      <c r="H2659" s="99"/>
      <c r="M2659" s="27"/>
      <c r="N2659" s="48"/>
    </row>
    <row r="2660" spans="1:14" s="7" customFormat="1" x14ac:dyDescent="0.35">
      <c r="A2660" s="113"/>
      <c r="B2660" s="27"/>
      <c r="C2660" s="48"/>
      <c r="D2660" s="27"/>
      <c r="E2660" s="38"/>
      <c r="F2660" s="27"/>
      <c r="G2660" s="27"/>
      <c r="H2660" s="99"/>
      <c r="M2660" s="27"/>
      <c r="N2660" s="48"/>
    </row>
    <row r="2661" spans="1:14" s="7" customFormat="1" x14ac:dyDescent="0.35">
      <c r="A2661" s="113"/>
      <c r="B2661" s="27"/>
      <c r="C2661" s="48"/>
      <c r="D2661" s="27"/>
      <c r="E2661" s="38"/>
      <c r="F2661" s="27"/>
      <c r="G2661" s="27"/>
      <c r="H2661" s="99"/>
      <c r="M2661" s="27"/>
      <c r="N2661" s="48"/>
    </row>
    <row r="2662" spans="1:14" s="7" customFormat="1" x14ac:dyDescent="0.35">
      <c r="A2662" s="113"/>
      <c r="B2662" s="27"/>
      <c r="C2662" s="48"/>
      <c r="D2662" s="27"/>
      <c r="E2662" s="38"/>
      <c r="F2662" s="27"/>
      <c r="G2662" s="27"/>
      <c r="H2662" s="99"/>
      <c r="M2662" s="27"/>
      <c r="N2662" s="48"/>
    </row>
    <row r="2663" spans="1:14" s="7" customFormat="1" x14ac:dyDescent="0.35">
      <c r="A2663" s="113"/>
      <c r="B2663" s="27"/>
      <c r="C2663" s="48"/>
      <c r="D2663" s="27"/>
      <c r="E2663" s="38"/>
      <c r="F2663" s="27"/>
      <c r="G2663" s="27"/>
      <c r="H2663" s="99"/>
      <c r="M2663" s="27"/>
      <c r="N2663" s="48"/>
    </row>
    <row r="2664" spans="1:14" s="7" customFormat="1" x14ac:dyDescent="0.35">
      <c r="A2664" s="113"/>
      <c r="B2664" s="27"/>
      <c r="C2664" s="48"/>
      <c r="D2664" s="27"/>
      <c r="E2664" s="38"/>
      <c r="F2664" s="27"/>
      <c r="G2664" s="27"/>
      <c r="H2664" s="99"/>
      <c r="M2664" s="27"/>
      <c r="N2664" s="48"/>
    </row>
    <row r="2665" spans="1:14" s="7" customFormat="1" x14ac:dyDescent="0.35">
      <c r="A2665" s="113"/>
      <c r="B2665" s="27"/>
      <c r="C2665" s="48"/>
      <c r="D2665" s="27"/>
      <c r="E2665" s="38"/>
      <c r="F2665" s="27"/>
      <c r="G2665" s="27"/>
      <c r="H2665" s="99"/>
      <c r="M2665" s="27"/>
      <c r="N2665" s="48"/>
    </row>
    <row r="2666" spans="1:14" s="7" customFormat="1" x14ac:dyDescent="0.35">
      <c r="A2666" s="113"/>
      <c r="B2666" s="27"/>
      <c r="C2666" s="48"/>
      <c r="D2666" s="27"/>
      <c r="E2666" s="38"/>
      <c r="F2666" s="27"/>
      <c r="G2666" s="27"/>
      <c r="H2666" s="99"/>
      <c r="M2666" s="27"/>
      <c r="N2666" s="48"/>
    </row>
    <row r="2667" spans="1:14" s="7" customFormat="1" x14ac:dyDescent="0.35">
      <c r="A2667" s="113"/>
      <c r="B2667" s="27"/>
      <c r="C2667" s="48"/>
      <c r="D2667" s="27"/>
      <c r="E2667" s="38"/>
      <c r="F2667" s="27"/>
      <c r="G2667" s="27"/>
      <c r="H2667" s="99"/>
      <c r="M2667" s="27"/>
      <c r="N2667" s="48"/>
    </row>
    <row r="2668" spans="1:14" s="7" customFormat="1" x14ac:dyDescent="0.35">
      <c r="A2668" s="113"/>
      <c r="B2668" s="27"/>
      <c r="C2668" s="48"/>
      <c r="D2668" s="27"/>
      <c r="E2668" s="38"/>
      <c r="F2668" s="27"/>
      <c r="G2668" s="27"/>
      <c r="H2668" s="99"/>
      <c r="M2668" s="27"/>
      <c r="N2668" s="48"/>
    </row>
    <row r="2669" spans="1:14" s="7" customFormat="1" x14ac:dyDescent="0.35">
      <c r="A2669" s="113"/>
      <c r="B2669" s="27"/>
      <c r="C2669" s="48"/>
      <c r="D2669" s="27"/>
      <c r="E2669" s="38"/>
      <c r="F2669" s="27"/>
      <c r="G2669" s="27"/>
      <c r="H2669" s="99"/>
      <c r="M2669" s="27"/>
      <c r="N2669" s="48"/>
    </row>
    <row r="2670" spans="1:14" s="7" customFormat="1" x14ac:dyDescent="0.35">
      <c r="A2670" s="113"/>
      <c r="B2670" s="27"/>
      <c r="C2670" s="48"/>
      <c r="D2670" s="27"/>
      <c r="E2670" s="38"/>
      <c r="F2670" s="27"/>
      <c r="G2670" s="27"/>
      <c r="H2670" s="99"/>
      <c r="M2670" s="27"/>
      <c r="N2670" s="48"/>
    </row>
    <row r="2671" spans="1:14" s="7" customFormat="1" x14ac:dyDescent="0.35">
      <c r="A2671" s="113"/>
      <c r="B2671" s="27"/>
      <c r="C2671" s="48"/>
      <c r="D2671" s="27"/>
      <c r="E2671" s="38"/>
      <c r="F2671" s="27"/>
      <c r="G2671" s="27"/>
      <c r="H2671" s="99"/>
      <c r="M2671" s="27"/>
      <c r="N2671" s="48"/>
    </row>
    <row r="2672" spans="1:14" s="7" customFormat="1" x14ac:dyDescent="0.35">
      <c r="A2672" s="113"/>
      <c r="B2672" s="27"/>
      <c r="C2672" s="48"/>
      <c r="D2672" s="27"/>
      <c r="E2672" s="38"/>
      <c r="F2672" s="27"/>
      <c r="G2672" s="27"/>
      <c r="H2672" s="99"/>
      <c r="M2672" s="27"/>
      <c r="N2672" s="48"/>
    </row>
    <row r="2673" spans="1:14" s="7" customFormat="1" x14ac:dyDescent="0.35">
      <c r="A2673" s="113"/>
      <c r="B2673" s="27"/>
      <c r="C2673" s="48"/>
      <c r="D2673" s="27"/>
      <c r="E2673" s="38"/>
      <c r="F2673" s="27"/>
      <c r="G2673" s="27"/>
      <c r="H2673" s="99"/>
      <c r="M2673" s="27"/>
      <c r="N2673" s="48"/>
    </row>
    <row r="2674" spans="1:14" s="7" customFormat="1" x14ac:dyDescent="0.35">
      <c r="A2674" s="113"/>
      <c r="B2674" s="27"/>
      <c r="C2674" s="48"/>
      <c r="D2674" s="27"/>
      <c r="E2674" s="38"/>
      <c r="F2674" s="27"/>
      <c r="G2674" s="27"/>
      <c r="H2674" s="99"/>
      <c r="M2674" s="27"/>
      <c r="N2674" s="48"/>
    </row>
    <row r="2675" spans="1:14" s="7" customFormat="1" x14ac:dyDescent="0.35">
      <c r="A2675" s="113"/>
      <c r="B2675" s="27"/>
      <c r="C2675" s="48"/>
      <c r="D2675" s="27"/>
      <c r="E2675" s="38"/>
      <c r="F2675" s="27"/>
      <c r="G2675" s="27"/>
      <c r="H2675" s="99"/>
      <c r="M2675" s="27"/>
      <c r="N2675" s="48"/>
    </row>
    <row r="2676" spans="1:14" s="7" customFormat="1" x14ac:dyDescent="0.35">
      <c r="A2676" s="113"/>
      <c r="B2676" s="27"/>
      <c r="C2676" s="48"/>
      <c r="D2676" s="27"/>
      <c r="E2676" s="38"/>
      <c r="F2676" s="27"/>
      <c r="G2676" s="27"/>
      <c r="H2676" s="99"/>
      <c r="M2676" s="27"/>
      <c r="N2676" s="48"/>
    </row>
    <row r="2677" spans="1:14" s="7" customFormat="1" x14ac:dyDescent="0.35">
      <c r="A2677" s="113"/>
      <c r="B2677" s="27"/>
      <c r="C2677" s="48"/>
      <c r="D2677" s="27"/>
      <c r="E2677" s="38"/>
      <c r="F2677" s="27"/>
      <c r="G2677" s="27"/>
      <c r="H2677" s="99"/>
      <c r="M2677" s="27"/>
      <c r="N2677" s="48"/>
    </row>
    <row r="2678" spans="1:14" s="7" customFormat="1" x14ac:dyDescent="0.35">
      <c r="A2678" s="113"/>
      <c r="B2678" s="27"/>
      <c r="C2678" s="48"/>
      <c r="D2678" s="27"/>
      <c r="E2678" s="38"/>
      <c r="F2678" s="27"/>
      <c r="G2678" s="27"/>
      <c r="H2678" s="99"/>
      <c r="M2678" s="27"/>
      <c r="N2678" s="48"/>
    </row>
    <row r="2679" spans="1:14" s="7" customFormat="1" x14ac:dyDescent="0.35">
      <c r="A2679" s="113"/>
      <c r="B2679" s="27"/>
      <c r="C2679" s="48"/>
      <c r="D2679" s="27"/>
      <c r="E2679" s="38"/>
      <c r="F2679" s="27"/>
      <c r="G2679" s="27"/>
      <c r="H2679" s="99"/>
      <c r="M2679" s="27"/>
      <c r="N2679" s="48"/>
    </row>
    <row r="2680" spans="1:14" s="7" customFormat="1" x14ac:dyDescent="0.35">
      <c r="A2680" s="113"/>
      <c r="B2680" s="27"/>
      <c r="C2680" s="48"/>
      <c r="D2680" s="27"/>
      <c r="E2680" s="38"/>
      <c r="F2680" s="27"/>
      <c r="G2680" s="27"/>
      <c r="H2680" s="99"/>
      <c r="M2680" s="27"/>
      <c r="N2680" s="48"/>
    </row>
    <row r="2681" spans="1:14" s="7" customFormat="1" x14ac:dyDescent="0.35">
      <c r="A2681" s="113"/>
      <c r="B2681" s="27"/>
      <c r="C2681" s="48"/>
      <c r="D2681" s="27"/>
      <c r="E2681" s="38"/>
      <c r="F2681" s="27"/>
      <c r="G2681" s="27"/>
      <c r="H2681" s="99"/>
      <c r="M2681" s="27"/>
      <c r="N2681" s="48"/>
    </row>
    <row r="2682" spans="1:14" s="7" customFormat="1" x14ac:dyDescent="0.35">
      <c r="A2682" s="113"/>
      <c r="B2682" s="27"/>
      <c r="C2682" s="48"/>
      <c r="D2682" s="27"/>
      <c r="E2682" s="38"/>
      <c r="F2682" s="27"/>
      <c r="G2682" s="27"/>
      <c r="H2682" s="99"/>
      <c r="M2682" s="27"/>
      <c r="N2682" s="48"/>
    </row>
    <row r="2683" spans="1:14" s="7" customFormat="1" x14ac:dyDescent="0.35">
      <c r="A2683" s="113"/>
      <c r="B2683" s="27"/>
      <c r="C2683" s="48"/>
      <c r="D2683" s="27"/>
      <c r="E2683" s="38"/>
      <c r="F2683" s="27"/>
      <c r="G2683" s="27"/>
      <c r="H2683" s="99"/>
      <c r="M2683" s="27"/>
      <c r="N2683" s="48"/>
    </row>
    <row r="2684" spans="1:14" s="7" customFormat="1" x14ac:dyDescent="0.35">
      <c r="A2684" s="113"/>
      <c r="B2684" s="27"/>
      <c r="C2684" s="48"/>
      <c r="D2684" s="27"/>
      <c r="E2684" s="38"/>
      <c r="F2684" s="27"/>
      <c r="G2684" s="27"/>
      <c r="H2684" s="99"/>
      <c r="M2684" s="27"/>
      <c r="N2684" s="48"/>
    </row>
    <row r="2685" spans="1:14" s="7" customFormat="1" x14ac:dyDescent="0.35">
      <c r="A2685" s="113"/>
      <c r="B2685" s="27"/>
      <c r="C2685" s="48"/>
      <c r="D2685" s="27"/>
      <c r="E2685" s="38"/>
      <c r="F2685" s="27"/>
      <c r="G2685" s="27"/>
      <c r="H2685" s="99"/>
      <c r="M2685" s="27"/>
      <c r="N2685" s="48"/>
    </row>
    <row r="2686" spans="1:14" s="7" customFormat="1" x14ac:dyDescent="0.35">
      <c r="A2686" s="113"/>
      <c r="B2686" s="27"/>
      <c r="C2686" s="48"/>
      <c r="D2686" s="27"/>
      <c r="E2686" s="38"/>
      <c r="F2686" s="27"/>
      <c r="G2686" s="27"/>
      <c r="H2686" s="99"/>
      <c r="M2686" s="27"/>
      <c r="N2686" s="48"/>
    </row>
    <row r="2687" spans="1:14" s="7" customFormat="1" x14ac:dyDescent="0.35">
      <c r="A2687" s="113"/>
      <c r="B2687" s="27"/>
      <c r="C2687" s="48"/>
      <c r="D2687" s="27"/>
      <c r="E2687" s="38"/>
      <c r="F2687" s="27"/>
      <c r="G2687" s="27"/>
      <c r="H2687" s="99"/>
      <c r="M2687" s="27"/>
      <c r="N2687" s="48"/>
    </row>
    <row r="2688" spans="1:14" s="7" customFormat="1" x14ac:dyDescent="0.35">
      <c r="A2688" s="113"/>
      <c r="B2688" s="27"/>
      <c r="C2688" s="48"/>
      <c r="D2688" s="27"/>
      <c r="E2688" s="38"/>
      <c r="F2688" s="27"/>
      <c r="G2688" s="27"/>
      <c r="H2688" s="99"/>
      <c r="M2688" s="27"/>
      <c r="N2688" s="48"/>
    </row>
    <row r="2689" spans="1:14" s="7" customFormat="1" x14ac:dyDescent="0.35">
      <c r="A2689" s="113"/>
      <c r="B2689" s="27"/>
      <c r="C2689" s="48"/>
      <c r="D2689" s="27"/>
      <c r="E2689" s="38"/>
      <c r="F2689" s="27"/>
      <c r="G2689" s="27"/>
      <c r="H2689" s="99"/>
      <c r="M2689" s="27"/>
      <c r="N2689" s="48"/>
    </row>
    <row r="2690" spans="1:14" s="7" customFormat="1" x14ac:dyDescent="0.35">
      <c r="A2690" s="113"/>
      <c r="B2690" s="27"/>
      <c r="C2690" s="48"/>
      <c r="D2690" s="27"/>
      <c r="E2690" s="38"/>
      <c r="F2690" s="27"/>
      <c r="G2690" s="27"/>
      <c r="H2690" s="99"/>
      <c r="M2690" s="27"/>
      <c r="N2690" s="48"/>
    </row>
    <row r="2691" spans="1:14" s="7" customFormat="1" x14ac:dyDescent="0.35">
      <c r="A2691" s="113"/>
      <c r="B2691" s="27"/>
      <c r="C2691" s="48"/>
      <c r="D2691" s="27"/>
      <c r="E2691" s="38"/>
      <c r="F2691" s="27"/>
      <c r="G2691" s="27"/>
      <c r="H2691" s="99"/>
      <c r="M2691" s="27"/>
      <c r="N2691" s="48"/>
    </row>
    <row r="2692" spans="1:14" s="7" customFormat="1" x14ac:dyDescent="0.35">
      <c r="A2692" s="113"/>
      <c r="B2692" s="27"/>
      <c r="C2692" s="48"/>
      <c r="D2692" s="27"/>
      <c r="E2692" s="38"/>
      <c r="F2692" s="27"/>
      <c r="G2692" s="27"/>
      <c r="H2692" s="99"/>
      <c r="M2692" s="27"/>
      <c r="N2692" s="48"/>
    </row>
    <row r="2693" spans="1:14" s="7" customFormat="1" x14ac:dyDescent="0.35">
      <c r="A2693" s="113"/>
      <c r="B2693" s="27"/>
      <c r="C2693" s="48"/>
      <c r="D2693" s="27"/>
      <c r="E2693" s="38"/>
      <c r="F2693" s="27"/>
      <c r="G2693" s="27"/>
      <c r="H2693" s="99"/>
      <c r="M2693" s="27"/>
      <c r="N2693" s="48"/>
    </row>
    <row r="2694" spans="1:14" s="7" customFormat="1" x14ac:dyDescent="0.35">
      <c r="A2694" s="113"/>
      <c r="B2694" s="27"/>
      <c r="C2694" s="48"/>
      <c r="D2694" s="27"/>
      <c r="E2694" s="38"/>
      <c r="F2694" s="27"/>
      <c r="G2694" s="27"/>
      <c r="H2694" s="99"/>
      <c r="M2694" s="27"/>
      <c r="N2694" s="48"/>
    </row>
    <row r="2695" spans="1:14" s="7" customFormat="1" x14ac:dyDescent="0.35">
      <c r="A2695" s="113"/>
      <c r="B2695" s="27"/>
      <c r="C2695" s="48"/>
      <c r="D2695" s="27"/>
      <c r="E2695" s="38"/>
      <c r="F2695" s="27"/>
      <c r="G2695" s="27"/>
      <c r="H2695" s="99"/>
      <c r="M2695" s="27"/>
      <c r="N2695" s="48"/>
    </row>
    <row r="2696" spans="1:14" s="7" customFormat="1" x14ac:dyDescent="0.35">
      <c r="A2696" s="113"/>
      <c r="B2696" s="27"/>
      <c r="C2696" s="48"/>
      <c r="D2696" s="27"/>
      <c r="E2696" s="38"/>
      <c r="F2696" s="27"/>
      <c r="G2696" s="27"/>
      <c r="H2696" s="99"/>
      <c r="M2696" s="27"/>
      <c r="N2696" s="48"/>
    </row>
    <row r="2697" spans="1:14" s="7" customFormat="1" x14ac:dyDescent="0.35">
      <c r="A2697" s="113"/>
      <c r="B2697" s="27"/>
      <c r="C2697" s="48"/>
      <c r="D2697" s="27"/>
      <c r="E2697" s="38"/>
      <c r="F2697" s="27"/>
      <c r="G2697" s="27"/>
      <c r="H2697" s="99"/>
      <c r="M2697" s="27"/>
      <c r="N2697" s="48"/>
    </row>
    <row r="2698" spans="1:14" s="7" customFormat="1" x14ac:dyDescent="0.35">
      <c r="A2698" s="113"/>
      <c r="B2698" s="27"/>
      <c r="C2698" s="48"/>
      <c r="D2698" s="27"/>
      <c r="E2698" s="38"/>
      <c r="F2698" s="27"/>
      <c r="G2698" s="27"/>
      <c r="H2698" s="99"/>
      <c r="M2698" s="27"/>
      <c r="N2698" s="48"/>
    </row>
    <row r="2699" spans="1:14" s="7" customFormat="1" x14ac:dyDescent="0.35">
      <c r="A2699" s="113"/>
      <c r="B2699" s="27"/>
      <c r="C2699" s="48"/>
      <c r="D2699" s="27"/>
      <c r="E2699" s="38"/>
      <c r="F2699" s="27"/>
      <c r="G2699" s="27"/>
      <c r="H2699" s="99"/>
      <c r="M2699" s="27"/>
      <c r="N2699" s="48"/>
    </row>
    <row r="2700" spans="1:14" s="7" customFormat="1" x14ac:dyDescent="0.35">
      <c r="A2700" s="113"/>
      <c r="B2700" s="27"/>
      <c r="C2700" s="48"/>
      <c r="D2700" s="27"/>
      <c r="E2700" s="38"/>
      <c r="F2700" s="27"/>
      <c r="G2700" s="27"/>
      <c r="H2700" s="99"/>
      <c r="M2700" s="27"/>
      <c r="N2700" s="48"/>
    </row>
    <row r="2701" spans="1:14" s="7" customFormat="1" x14ac:dyDescent="0.35">
      <c r="A2701" s="113"/>
      <c r="B2701" s="27"/>
      <c r="C2701" s="48"/>
      <c r="D2701" s="27"/>
      <c r="E2701" s="38"/>
      <c r="F2701" s="27"/>
      <c r="G2701" s="27"/>
      <c r="H2701" s="99"/>
      <c r="M2701" s="27"/>
      <c r="N2701" s="48"/>
    </row>
    <row r="2702" spans="1:14" s="7" customFormat="1" x14ac:dyDescent="0.35">
      <c r="A2702" s="113"/>
      <c r="B2702" s="27"/>
      <c r="C2702" s="48"/>
      <c r="D2702" s="27"/>
      <c r="E2702" s="38"/>
      <c r="F2702" s="27"/>
      <c r="G2702" s="27"/>
      <c r="H2702" s="99"/>
      <c r="M2702" s="27"/>
      <c r="N2702" s="48"/>
    </row>
    <row r="2703" spans="1:14" s="7" customFormat="1" x14ac:dyDescent="0.35">
      <c r="A2703" s="113"/>
      <c r="B2703" s="27"/>
      <c r="C2703" s="48"/>
      <c r="D2703" s="27"/>
      <c r="E2703" s="38"/>
      <c r="F2703" s="27"/>
      <c r="G2703" s="27"/>
      <c r="H2703" s="99"/>
      <c r="M2703" s="27"/>
      <c r="N2703" s="48"/>
    </row>
    <row r="2704" spans="1:14" s="7" customFormat="1" x14ac:dyDescent="0.35">
      <c r="A2704" s="113"/>
      <c r="B2704" s="27"/>
      <c r="C2704" s="48"/>
      <c r="D2704" s="27"/>
      <c r="E2704" s="38"/>
      <c r="F2704" s="27"/>
      <c r="G2704" s="27"/>
      <c r="H2704" s="99"/>
      <c r="M2704" s="27"/>
      <c r="N2704" s="48"/>
    </row>
    <row r="2705" spans="1:14" s="7" customFormat="1" x14ac:dyDescent="0.35">
      <c r="A2705" s="113"/>
      <c r="B2705" s="27"/>
      <c r="C2705" s="48"/>
      <c r="D2705" s="27"/>
      <c r="E2705" s="38"/>
      <c r="F2705" s="27"/>
      <c r="G2705" s="27"/>
      <c r="H2705" s="99"/>
      <c r="M2705" s="27"/>
      <c r="N2705" s="48"/>
    </row>
    <row r="2706" spans="1:14" s="7" customFormat="1" x14ac:dyDescent="0.35">
      <c r="A2706" s="113"/>
      <c r="B2706" s="27"/>
      <c r="C2706" s="48"/>
      <c r="D2706" s="27"/>
      <c r="E2706" s="38"/>
      <c r="F2706" s="27"/>
      <c r="G2706" s="27"/>
      <c r="H2706" s="99"/>
      <c r="M2706" s="27"/>
      <c r="N2706" s="48"/>
    </row>
    <row r="2707" spans="1:14" s="7" customFormat="1" x14ac:dyDescent="0.35">
      <c r="A2707" s="113"/>
      <c r="B2707" s="27"/>
      <c r="C2707" s="48"/>
      <c r="D2707" s="27"/>
      <c r="E2707" s="38"/>
      <c r="F2707" s="27"/>
      <c r="G2707" s="27"/>
      <c r="H2707" s="99"/>
      <c r="M2707" s="27"/>
      <c r="N2707" s="48"/>
    </row>
    <row r="2708" spans="1:14" s="7" customFormat="1" x14ac:dyDescent="0.35">
      <c r="A2708" s="113"/>
      <c r="B2708" s="27"/>
      <c r="C2708" s="48"/>
      <c r="D2708" s="27"/>
      <c r="E2708" s="38"/>
      <c r="F2708" s="27"/>
      <c r="G2708" s="27"/>
      <c r="H2708" s="99"/>
      <c r="M2708" s="27"/>
      <c r="N2708" s="48"/>
    </row>
    <row r="2709" spans="1:14" s="7" customFormat="1" x14ac:dyDescent="0.35">
      <c r="A2709" s="113"/>
      <c r="B2709" s="27"/>
      <c r="C2709" s="48"/>
      <c r="D2709" s="27"/>
      <c r="E2709" s="38"/>
      <c r="F2709" s="27"/>
      <c r="G2709" s="27"/>
      <c r="H2709" s="99"/>
      <c r="M2709" s="27"/>
      <c r="N2709" s="48"/>
    </row>
    <row r="2710" spans="1:14" s="7" customFormat="1" x14ac:dyDescent="0.35">
      <c r="A2710" s="113"/>
      <c r="B2710" s="27"/>
      <c r="C2710" s="48"/>
      <c r="D2710" s="27"/>
      <c r="E2710" s="38"/>
      <c r="F2710" s="27"/>
      <c r="G2710" s="27"/>
      <c r="H2710" s="99"/>
      <c r="M2710" s="27"/>
      <c r="N2710" s="48"/>
    </row>
    <row r="2711" spans="1:14" s="7" customFormat="1" x14ac:dyDescent="0.35">
      <c r="A2711" s="113"/>
      <c r="B2711" s="27"/>
      <c r="C2711" s="48"/>
      <c r="D2711" s="27"/>
      <c r="E2711" s="38"/>
      <c r="F2711" s="27"/>
      <c r="G2711" s="27"/>
      <c r="H2711" s="99"/>
      <c r="M2711" s="27"/>
      <c r="N2711" s="48"/>
    </row>
    <row r="2712" spans="1:14" s="7" customFormat="1" x14ac:dyDescent="0.35">
      <c r="A2712" s="113"/>
      <c r="B2712" s="27"/>
      <c r="C2712" s="48"/>
      <c r="D2712" s="27"/>
      <c r="E2712" s="38"/>
      <c r="F2712" s="27"/>
      <c r="G2712" s="27"/>
      <c r="H2712" s="99"/>
      <c r="M2712" s="27"/>
      <c r="N2712" s="48"/>
    </row>
    <row r="2713" spans="1:14" s="7" customFormat="1" x14ac:dyDescent="0.35">
      <c r="A2713" s="113"/>
      <c r="B2713" s="27"/>
      <c r="C2713" s="48"/>
      <c r="D2713" s="27"/>
      <c r="E2713" s="38"/>
      <c r="F2713" s="27"/>
      <c r="G2713" s="27"/>
      <c r="H2713" s="99"/>
      <c r="M2713" s="27"/>
      <c r="N2713" s="48"/>
    </row>
    <row r="2714" spans="1:14" s="7" customFormat="1" x14ac:dyDescent="0.35">
      <c r="A2714" s="113"/>
      <c r="B2714" s="27"/>
      <c r="C2714" s="48"/>
      <c r="D2714" s="27"/>
      <c r="E2714" s="38"/>
      <c r="F2714" s="27"/>
      <c r="G2714" s="27"/>
      <c r="H2714" s="99"/>
      <c r="M2714" s="27"/>
      <c r="N2714" s="48"/>
    </row>
    <row r="2715" spans="1:14" s="7" customFormat="1" x14ac:dyDescent="0.35">
      <c r="A2715" s="113"/>
      <c r="B2715" s="27"/>
      <c r="C2715" s="48"/>
      <c r="D2715" s="27"/>
      <c r="E2715" s="38"/>
      <c r="F2715" s="27"/>
      <c r="G2715" s="27"/>
      <c r="H2715" s="99"/>
      <c r="M2715" s="27"/>
      <c r="N2715" s="48"/>
    </row>
    <row r="2716" spans="1:14" s="7" customFormat="1" x14ac:dyDescent="0.35">
      <c r="A2716" s="113"/>
      <c r="B2716" s="27"/>
      <c r="C2716" s="48"/>
      <c r="D2716" s="27"/>
      <c r="E2716" s="38"/>
      <c r="F2716" s="27"/>
      <c r="G2716" s="27"/>
      <c r="H2716" s="99"/>
      <c r="M2716" s="27"/>
      <c r="N2716" s="48"/>
    </row>
    <row r="2717" spans="1:14" s="7" customFormat="1" x14ac:dyDescent="0.35">
      <c r="A2717" s="113"/>
      <c r="B2717" s="27"/>
      <c r="C2717" s="48"/>
      <c r="D2717" s="27"/>
      <c r="E2717" s="38"/>
      <c r="F2717" s="27"/>
      <c r="G2717" s="27"/>
      <c r="H2717" s="99"/>
      <c r="M2717" s="27"/>
      <c r="N2717" s="48"/>
    </row>
    <row r="2718" spans="1:14" s="7" customFormat="1" x14ac:dyDescent="0.35">
      <c r="A2718" s="113"/>
      <c r="B2718" s="27"/>
      <c r="C2718" s="48"/>
      <c r="D2718" s="27"/>
      <c r="E2718" s="38"/>
      <c r="F2718" s="27"/>
      <c r="G2718" s="27"/>
      <c r="H2718" s="99"/>
      <c r="M2718" s="27"/>
      <c r="N2718" s="48"/>
    </row>
    <row r="2719" spans="1:14" s="7" customFormat="1" x14ac:dyDescent="0.35">
      <c r="A2719" s="113"/>
      <c r="B2719" s="27"/>
      <c r="C2719" s="48"/>
      <c r="D2719" s="27"/>
      <c r="E2719" s="38"/>
      <c r="F2719" s="27"/>
      <c r="G2719" s="27"/>
      <c r="H2719" s="99"/>
      <c r="M2719" s="27"/>
      <c r="N2719" s="48"/>
    </row>
    <row r="2720" spans="1:14" s="7" customFormat="1" x14ac:dyDescent="0.35">
      <c r="A2720" s="113"/>
      <c r="B2720" s="27"/>
      <c r="C2720" s="48"/>
      <c r="D2720" s="27"/>
      <c r="E2720" s="38"/>
      <c r="F2720" s="27"/>
      <c r="G2720" s="27"/>
      <c r="H2720" s="99"/>
      <c r="M2720" s="27"/>
      <c r="N2720" s="48"/>
    </row>
    <row r="2721" spans="1:14" s="7" customFormat="1" x14ac:dyDescent="0.35">
      <c r="A2721" s="113"/>
      <c r="B2721" s="27"/>
      <c r="C2721" s="48"/>
      <c r="D2721" s="27"/>
      <c r="E2721" s="38"/>
      <c r="F2721" s="27"/>
      <c r="G2721" s="27"/>
      <c r="H2721" s="99"/>
      <c r="M2721" s="27"/>
      <c r="N2721" s="48"/>
    </row>
    <row r="2722" spans="1:14" s="7" customFormat="1" x14ac:dyDescent="0.35">
      <c r="A2722" s="113"/>
      <c r="B2722" s="27"/>
      <c r="C2722" s="48"/>
      <c r="D2722" s="27"/>
      <c r="E2722" s="38"/>
      <c r="F2722" s="27"/>
      <c r="G2722" s="27"/>
      <c r="H2722" s="99"/>
      <c r="M2722" s="27"/>
      <c r="N2722" s="48"/>
    </row>
    <row r="2723" spans="1:14" s="7" customFormat="1" x14ac:dyDescent="0.35">
      <c r="A2723" s="113"/>
      <c r="B2723" s="27"/>
      <c r="C2723" s="48"/>
      <c r="D2723" s="27"/>
      <c r="E2723" s="38"/>
      <c r="F2723" s="27"/>
      <c r="G2723" s="27"/>
      <c r="H2723" s="99"/>
      <c r="M2723" s="27"/>
      <c r="N2723" s="48"/>
    </row>
    <row r="2724" spans="1:14" s="7" customFormat="1" x14ac:dyDescent="0.35">
      <c r="A2724" s="113"/>
      <c r="B2724" s="27"/>
      <c r="C2724" s="48"/>
      <c r="D2724" s="27"/>
      <c r="E2724" s="38"/>
      <c r="F2724" s="27"/>
      <c r="G2724" s="27"/>
      <c r="H2724" s="99"/>
      <c r="M2724" s="27"/>
      <c r="N2724" s="48"/>
    </row>
    <row r="2725" spans="1:14" s="7" customFormat="1" x14ac:dyDescent="0.35">
      <c r="A2725" s="113"/>
      <c r="B2725" s="27"/>
      <c r="C2725" s="48"/>
      <c r="D2725" s="27"/>
      <c r="E2725" s="38"/>
      <c r="F2725" s="27"/>
      <c r="G2725" s="27"/>
      <c r="H2725" s="99"/>
      <c r="M2725" s="27"/>
      <c r="N2725" s="48"/>
    </row>
    <row r="2726" spans="1:14" s="7" customFormat="1" x14ac:dyDescent="0.35">
      <c r="A2726" s="113"/>
      <c r="B2726" s="27"/>
      <c r="C2726" s="48"/>
      <c r="D2726" s="27"/>
      <c r="E2726" s="38"/>
      <c r="F2726" s="27"/>
      <c r="G2726" s="27"/>
      <c r="H2726" s="99"/>
      <c r="M2726" s="27"/>
      <c r="N2726" s="48"/>
    </row>
    <row r="2727" spans="1:14" s="7" customFormat="1" x14ac:dyDescent="0.35">
      <c r="A2727" s="113"/>
      <c r="B2727" s="27"/>
      <c r="C2727" s="48"/>
      <c r="D2727" s="27"/>
      <c r="E2727" s="38"/>
      <c r="F2727" s="27"/>
      <c r="G2727" s="27"/>
      <c r="H2727" s="99"/>
      <c r="M2727" s="27"/>
      <c r="N2727" s="48"/>
    </row>
    <row r="2728" spans="1:14" s="7" customFormat="1" x14ac:dyDescent="0.35">
      <c r="A2728" s="113"/>
      <c r="B2728" s="27"/>
      <c r="C2728" s="48"/>
      <c r="D2728" s="27"/>
      <c r="E2728" s="38"/>
      <c r="F2728" s="27"/>
      <c r="G2728" s="27"/>
      <c r="H2728" s="99"/>
      <c r="M2728" s="27"/>
      <c r="N2728" s="48"/>
    </row>
    <row r="2729" spans="1:14" s="7" customFormat="1" x14ac:dyDescent="0.35">
      <c r="A2729" s="113"/>
      <c r="B2729" s="27"/>
      <c r="C2729" s="48"/>
      <c r="D2729" s="27"/>
      <c r="E2729" s="38"/>
      <c r="F2729" s="27"/>
      <c r="G2729" s="27"/>
      <c r="H2729" s="99"/>
      <c r="M2729" s="27"/>
      <c r="N2729" s="48"/>
    </row>
    <row r="2730" spans="1:14" s="7" customFormat="1" x14ac:dyDescent="0.35">
      <c r="A2730" s="113"/>
      <c r="B2730" s="27"/>
      <c r="C2730" s="48"/>
      <c r="D2730" s="27"/>
      <c r="E2730" s="38"/>
      <c r="F2730" s="27"/>
      <c r="G2730" s="27"/>
      <c r="H2730" s="99"/>
      <c r="M2730" s="27"/>
      <c r="N2730" s="48"/>
    </row>
    <row r="2731" spans="1:14" s="7" customFormat="1" x14ac:dyDescent="0.35">
      <c r="A2731" s="113"/>
      <c r="B2731" s="27"/>
      <c r="C2731" s="48"/>
      <c r="D2731" s="27"/>
      <c r="E2731" s="38"/>
      <c r="F2731" s="27"/>
      <c r="G2731" s="27"/>
      <c r="H2731" s="99"/>
      <c r="M2731" s="27"/>
      <c r="N2731" s="48"/>
    </row>
    <row r="2732" spans="1:14" s="7" customFormat="1" x14ac:dyDescent="0.35">
      <c r="A2732" s="113"/>
      <c r="B2732" s="27"/>
      <c r="C2732" s="48"/>
      <c r="D2732" s="27"/>
      <c r="E2732" s="38"/>
      <c r="F2732" s="27"/>
      <c r="G2732" s="27"/>
      <c r="H2732" s="99"/>
      <c r="M2732" s="27"/>
      <c r="N2732" s="48"/>
    </row>
    <row r="2733" spans="1:14" s="7" customFormat="1" x14ac:dyDescent="0.35">
      <c r="A2733" s="113"/>
      <c r="B2733" s="27"/>
      <c r="C2733" s="48"/>
      <c r="D2733" s="27"/>
      <c r="E2733" s="38"/>
      <c r="F2733" s="27"/>
      <c r="G2733" s="27"/>
      <c r="H2733" s="99"/>
      <c r="M2733" s="27"/>
      <c r="N2733" s="48"/>
    </row>
    <row r="2734" spans="1:14" s="7" customFormat="1" x14ac:dyDescent="0.35">
      <c r="A2734" s="113"/>
      <c r="B2734" s="27"/>
      <c r="C2734" s="48"/>
      <c r="D2734" s="27"/>
      <c r="E2734" s="38"/>
      <c r="F2734" s="27"/>
      <c r="G2734" s="27"/>
      <c r="H2734" s="99"/>
      <c r="M2734" s="27"/>
      <c r="N2734" s="48"/>
    </row>
    <row r="2735" spans="1:14" s="7" customFormat="1" x14ac:dyDescent="0.35">
      <c r="A2735" s="113"/>
      <c r="B2735" s="27"/>
      <c r="C2735" s="48"/>
      <c r="D2735" s="27"/>
      <c r="E2735" s="38"/>
      <c r="F2735" s="27"/>
      <c r="G2735" s="27"/>
      <c r="H2735" s="99"/>
      <c r="M2735" s="27"/>
      <c r="N2735" s="48"/>
    </row>
    <row r="2736" spans="1:14" s="7" customFormat="1" x14ac:dyDescent="0.35">
      <c r="A2736" s="113"/>
      <c r="B2736" s="27"/>
      <c r="C2736" s="48"/>
      <c r="D2736" s="27"/>
      <c r="E2736" s="38"/>
      <c r="F2736" s="27"/>
      <c r="G2736" s="27"/>
      <c r="H2736" s="99"/>
      <c r="M2736" s="27"/>
      <c r="N2736" s="48"/>
    </row>
    <row r="2737" spans="1:14" s="7" customFormat="1" x14ac:dyDescent="0.35">
      <c r="A2737" s="113"/>
      <c r="B2737" s="27"/>
      <c r="C2737" s="48"/>
      <c r="D2737" s="27"/>
      <c r="E2737" s="38"/>
      <c r="F2737" s="27"/>
      <c r="G2737" s="27"/>
      <c r="H2737" s="99"/>
      <c r="M2737" s="27"/>
      <c r="N2737" s="48"/>
    </row>
    <row r="2738" spans="1:14" s="7" customFormat="1" x14ac:dyDescent="0.35">
      <c r="A2738" s="113"/>
      <c r="B2738" s="27"/>
      <c r="C2738" s="48"/>
      <c r="D2738" s="27"/>
      <c r="E2738" s="38"/>
      <c r="F2738" s="27"/>
      <c r="G2738" s="27"/>
      <c r="H2738" s="99"/>
      <c r="M2738" s="27"/>
      <c r="N2738" s="48"/>
    </row>
    <row r="2739" spans="1:14" s="7" customFormat="1" x14ac:dyDescent="0.35">
      <c r="A2739" s="113"/>
      <c r="B2739" s="27"/>
      <c r="C2739" s="48"/>
      <c r="D2739" s="27"/>
      <c r="E2739" s="38"/>
      <c r="F2739" s="27"/>
      <c r="G2739" s="27"/>
      <c r="H2739" s="99"/>
      <c r="M2739" s="27"/>
      <c r="N2739" s="48"/>
    </row>
    <row r="2740" spans="1:14" s="7" customFormat="1" x14ac:dyDescent="0.35">
      <c r="A2740" s="113"/>
      <c r="B2740" s="27"/>
      <c r="C2740" s="48"/>
      <c r="D2740" s="27"/>
      <c r="E2740" s="38"/>
      <c r="F2740" s="27"/>
      <c r="G2740" s="27"/>
      <c r="H2740" s="99"/>
      <c r="M2740" s="27"/>
      <c r="N2740" s="48"/>
    </row>
    <row r="2741" spans="1:14" s="7" customFormat="1" x14ac:dyDescent="0.35">
      <c r="A2741" s="113"/>
      <c r="B2741" s="27"/>
      <c r="C2741" s="48"/>
      <c r="D2741" s="27"/>
      <c r="E2741" s="38"/>
      <c r="F2741" s="27"/>
      <c r="G2741" s="27"/>
      <c r="H2741" s="99"/>
      <c r="M2741" s="27"/>
      <c r="N2741" s="48"/>
    </row>
    <row r="2742" spans="1:14" s="7" customFormat="1" x14ac:dyDescent="0.35">
      <c r="A2742" s="113"/>
      <c r="B2742" s="27"/>
      <c r="C2742" s="48"/>
      <c r="D2742" s="27"/>
      <c r="E2742" s="38"/>
      <c r="F2742" s="27"/>
      <c r="G2742" s="27"/>
      <c r="H2742" s="99"/>
      <c r="M2742" s="27"/>
      <c r="N2742" s="48"/>
    </row>
    <row r="2743" spans="1:14" s="7" customFormat="1" x14ac:dyDescent="0.35">
      <c r="A2743" s="113"/>
      <c r="B2743" s="27"/>
      <c r="C2743" s="48"/>
      <c r="D2743" s="27"/>
      <c r="E2743" s="38"/>
      <c r="F2743" s="27"/>
      <c r="G2743" s="27"/>
      <c r="H2743" s="99"/>
      <c r="M2743" s="27"/>
      <c r="N2743" s="48"/>
    </row>
    <row r="2744" spans="1:14" s="7" customFormat="1" x14ac:dyDescent="0.35">
      <c r="A2744" s="113"/>
      <c r="B2744" s="27"/>
      <c r="C2744" s="48"/>
      <c r="D2744" s="27"/>
      <c r="E2744" s="38"/>
      <c r="F2744" s="27"/>
      <c r="G2744" s="27"/>
      <c r="H2744" s="99"/>
      <c r="M2744" s="27"/>
      <c r="N2744" s="48"/>
    </row>
    <row r="2745" spans="1:14" s="7" customFormat="1" x14ac:dyDescent="0.35">
      <c r="A2745" s="113"/>
      <c r="B2745" s="27"/>
      <c r="C2745" s="48"/>
      <c r="D2745" s="27"/>
      <c r="E2745" s="38"/>
      <c r="F2745" s="27"/>
      <c r="G2745" s="27"/>
      <c r="H2745" s="99"/>
      <c r="M2745" s="27"/>
      <c r="N2745" s="48"/>
    </row>
    <row r="2746" spans="1:14" s="7" customFormat="1" x14ac:dyDescent="0.35">
      <c r="A2746" s="113"/>
      <c r="B2746" s="27"/>
      <c r="C2746" s="48"/>
      <c r="D2746" s="27"/>
      <c r="E2746" s="38"/>
      <c r="F2746" s="27"/>
      <c r="G2746" s="27"/>
      <c r="H2746" s="99"/>
      <c r="M2746" s="27"/>
      <c r="N2746" s="48"/>
    </row>
    <row r="2747" spans="1:14" s="7" customFormat="1" x14ac:dyDescent="0.35">
      <c r="A2747" s="113"/>
      <c r="B2747" s="27"/>
      <c r="C2747" s="48"/>
      <c r="D2747" s="27"/>
      <c r="E2747" s="38"/>
      <c r="F2747" s="27"/>
      <c r="G2747" s="27"/>
      <c r="H2747" s="99"/>
      <c r="M2747" s="27"/>
      <c r="N2747" s="48"/>
    </row>
    <row r="2748" spans="1:14" s="7" customFormat="1" x14ac:dyDescent="0.35">
      <c r="A2748" s="113"/>
      <c r="B2748" s="27"/>
      <c r="C2748" s="48"/>
      <c r="D2748" s="27"/>
      <c r="E2748" s="38"/>
      <c r="F2748" s="27"/>
      <c r="G2748" s="27"/>
      <c r="H2748" s="99"/>
      <c r="M2748" s="27"/>
      <c r="N2748" s="48"/>
    </row>
    <row r="2749" spans="1:14" s="7" customFormat="1" x14ac:dyDescent="0.35">
      <c r="A2749" s="113"/>
      <c r="B2749" s="27"/>
      <c r="C2749" s="48"/>
      <c r="D2749" s="27"/>
      <c r="E2749" s="38"/>
      <c r="F2749" s="27"/>
      <c r="G2749" s="27"/>
      <c r="H2749" s="99"/>
      <c r="M2749" s="27"/>
      <c r="N2749" s="48"/>
    </row>
    <row r="2750" spans="1:14" s="7" customFormat="1" x14ac:dyDescent="0.35">
      <c r="A2750" s="113"/>
      <c r="B2750" s="27"/>
      <c r="C2750" s="48"/>
      <c r="D2750" s="27"/>
      <c r="E2750" s="38"/>
      <c r="F2750" s="27"/>
      <c r="G2750" s="27"/>
      <c r="H2750" s="99"/>
      <c r="M2750" s="27"/>
      <c r="N2750" s="48"/>
    </row>
    <row r="2751" spans="1:14" s="7" customFormat="1" x14ac:dyDescent="0.35">
      <c r="A2751" s="113"/>
      <c r="B2751" s="27"/>
      <c r="C2751" s="48"/>
      <c r="D2751" s="27"/>
      <c r="E2751" s="38"/>
      <c r="F2751" s="27"/>
      <c r="G2751" s="27"/>
      <c r="H2751" s="99"/>
      <c r="M2751" s="27"/>
      <c r="N2751" s="48"/>
    </row>
    <row r="2752" spans="1:14" s="7" customFormat="1" x14ac:dyDescent="0.35">
      <c r="A2752" s="113"/>
      <c r="B2752" s="27"/>
      <c r="C2752" s="48"/>
      <c r="D2752" s="27"/>
      <c r="E2752" s="38"/>
      <c r="F2752" s="27"/>
      <c r="G2752" s="27"/>
      <c r="H2752" s="99"/>
      <c r="M2752" s="27"/>
      <c r="N2752" s="48"/>
    </row>
    <row r="2753" spans="1:14" s="7" customFormat="1" x14ac:dyDescent="0.35">
      <c r="A2753" s="113"/>
      <c r="B2753" s="27"/>
      <c r="C2753" s="48"/>
      <c r="D2753" s="27"/>
      <c r="E2753" s="38"/>
      <c r="F2753" s="27"/>
      <c r="G2753" s="27"/>
      <c r="H2753" s="99"/>
      <c r="M2753" s="27"/>
      <c r="N2753" s="48"/>
    </row>
    <row r="2754" spans="1:14" s="7" customFormat="1" x14ac:dyDescent="0.35">
      <c r="A2754" s="113"/>
      <c r="B2754" s="27"/>
      <c r="C2754" s="48"/>
      <c r="D2754" s="27"/>
      <c r="E2754" s="38"/>
      <c r="F2754" s="27"/>
      <c r="G2754" s="27"/>
      <c r="H2754" s="99"/>
      <c r="M2754" s="27"/>
      <c r="N2754" s="48"/>
    </row>
    <row r="2755" spans="1:14" s="7" customFormat="1" x14ac:dyDescent="0.35">
      <c r="A2755" s="113"/>
      <c r="B2755" s="27"/>
      <c r="C2755" s="48"/>
      <c r="D2755" s="27"/>
      <c r="E2755" s="38"/>
      <c r="F2755" s="27"/>
      <c r="G2755" s="27"/>
      <c r="H2755" s="99"/>
      <c r="M2755" s="27"/>
      <c r="N2755" s="48"/>
    </row>
    <row r="2756" spans="1:14" s="7" customFormat="1" x14ac:dyDescent="0.35">
      <c r="A2756" s="113"/>
      <c r="B2756" s="27"/>
      <c r="C2756" s="48"/>
      <c r="D2756" s="27"/>
      <c r="E2756" s="38"/>
      <c r="F2756" s="27"/>
      <c r="G2756" s="27"/>
      <c r="H2756" s="99"/>
      <c r="M2756" s="27"/>
      <c r="N2756" s="48"/>
    </row>
    <row r="2757" spans="1:14" s="7" customFormat="1" x14ac:dyDescent="0.35">
      <c r="A2757" s="113"/>
      <c r="B2757" s="27"/>
      <c r="C2757" s="48"/>
      <c r="D2757" s="27"/>
      <c r="E2757" s="38"/>
      <c r="F2757" s="27"/>
      <c r="G2757" s="27"/>
      <c r="H2757" s="99"/>
      <c r="M2757" s="27"/>
      <c r="N2757" s="48"/>
    </row>
    <row r="2758" spans="1:14" s="7" customFormat="1" x14ac:dyDescent="0.35">
      <c r="A2758" s="113"/>
      <c r="B2758" s="27"/>
      <c r="C2758" s="48"/>
      <c r="D2758" s="27"/>
      <c r="E2758" s="38"/>
      <c r="F2758" s="27"/>
      <c r="G2758" s="27"/>
      <c r="H2758" s="99"/>
      <c r="M2758" s="27"/>
      <c r="N2758" s="48"/>
    </row>
    <row r="2759" spans="1:14" s="7" customFormat="1" x14ac:dyDescent="0.35">
      <c r="A2759" s="113"/>
      <c r="B2759" s="27"/>
      <c r="C2759" s="48"/>
      <c r="D2759" s="27"/>
      <c r="E2759" s="38"/>
      <c r="F2759" s="27"/>
      <c r="G2759" s="27"/>
      <c r="H2759" s="99"/>
      <c r="M2759" s="27"/>
      <c r="N2759" s="48"/>
    </row>
    <row r="2760" spans="1:14" s="7" customFormat="1" x14ac:dyDescent="0.35">
      <c r="A2760" s="113"/>
      <c r="B2760" s="27"/>
      <c r="C2760" s="48"/>
      <c r="D2760" s="27"/>
      <c r="E2760" s="38"/>
      <c r="F2760" s="27"/>
      <c r="G2760" s="27"/>
      <c r="H2760" s="99"/>
      <c r="M2760" s="27"/>
      <c r="N2760" s="48"/>
    </row>
    <row r="2761" spans="1:14" s="7" customFormat="1" x14ac:dyDescent="0.35">
      <c r="A2761" s="113"/>
      <c r="B2761" s="27"/>
      <c r="C2761" s="48"/>
      <c r="D2761" s="27"/>
      <c r="E2761" s="38"/>
      <c r="F2761" s="27"/>
      <c r="G2761" s="27"/>
      <c r="H2761" s="99"/>
      <c r="M2761" s="27"/>
      <c r="N2761" s="48"/>
    </row>
    <row r="2762" spans="1:14" s="7" customFormat="1" x14ac:dyDescent="0.35">
      <c r="A2762" s="113"/>
      <c r="B2762" s="27"/>
      <c r="C2762" s="48"/>
      <c r="D2762" s="27"/>
      <c r="E2762" s="38"/>
      <c r="F2762" s="27"/>
      <c r="G2762" s="27"/>
      <c r="H2762" s="99"/>
      <c r="M2762" s="27"/>
      <c r="N2762" s="48"/>
    </row>
    <row r="2763" spans="1:14" s="7" customFormat="1" x14ac:dyDescent="0.35">
      <c r="A2763" s="113"/>
      <c r="B2763" s="27"/>
      <c r="C2763" s="48"/>
      <c r="D2763" s="27"/>
      <c r="E2763" s="38"/>
      <c r="F2763" s="27"/>
      <c r="G2763" s="27"/>
      <c r="H2763" s="99"/>
      <c r="M2763" s="27"/>
      <c r="N2763" s="48"/>
    </row>
    <row r="2764" spans="1:14" s="7" customFormat="1" x14ac:dyDescent="0.35">
      <c r="A2764" s="113"/>
      <c r="B2764" s="27"/>
      <c r="C2764" s="48"/>
      <c r="D2764" s="27"/>
      <c r="E2764" s="38"/>
      <c r="F2764" s="27"/>
      <c r="G2764" s="27"/>
      <c r="H2764" s="99"/>
      <c r="M2764" s="27"/>
      <c r="N2764" s="48"/>
    </row>
    <row r="2765" spans="1:14" s="7" customFormat="1" x14ac:dyDescent="0.35">
      <c r="A2765" s="113"/>
      <c r="B2765" s="27"/>
      <c r="C2765" s="48"/>
      <c r="D2765" s="27"/>
      <c r="E2765" s="38"/>
      <c r="F2765" s="27"/>
      <c r="G2765" s="27"/>
      <c r="H2765" s="99"/>
      <c r="M2765" s="27"/>
      <c r="N2765" s="48"/>
    </row>
    <row r="2766" spans="1:14" s="7" customFormat="1" x14ac:dyDescent="0.35">
      <c r="A2766" s="113"/>
      <c r="B2766" s="27"/>
      <c r="C2766" s="48"/>
      <c r="D2766" s="27"/>
      <c r="E2766" s="38"/>
      <c r="F2766" s="27"/>
      <c r="G2766" s="27"/>
      <c r="H2766" s="99"/>
      <c r="M2766" s="27"/>
      <c r="N2766" s="48"/>
    </row>
    <row r="2767" spans="1:14" s="7" customFormat="1" x14ac:dyDescent="0.35">
      <c r="A2767" s="113"/>
      <c r="B2767" s="27"/>
      <c r="C2767" s="48"/>
      <c r="D2767" s="27"/>
      <c r="E2767" s="38"/>
      <c r="F2767" s="27"/>
      <c r="G2767" s="27"/>
      <c r="H2767" s="99"/>
      <c r="M2767" s="27"/>
      <c r="N2767" s="48"/>
    </row>
    <row r="2768" spans="1:14" s="7" customFormat="1" x14ac:dyDescent="0.35">
      <c r="A2768" s="113"/>
      <c r="B2768" s="27"/>
      <c r="C2768" s="48"/>
      <c r="D2768" s="27"/>
      <c r="E2768" s="38"/>
      <c r="F2768" s="27"/>
      <c r="G2768" s="27"/>
      <c r="H2768" s="99"/>
      <c r="M2768" s="27"/>
      <c r="N2768" s="48"/>
    </row>
    <row r="2769" spans="1:14" s="7" customFormat="1" x14ac:dyDescent="0.35">
      <c r="A2769" s="113"/>
      <c r="B2769" s="27"/>
      <c r="C2769" s="48"/>
      <c r="D2769" s="27"/>
      <c r="E2769" s="38"/>
      <c r="F2769" s="27"/>
      <c r="G2769" s="27"/>
      <c r="H2769" s="99"/>
      <c r="M2769" s="27"/>
      <c r="N2769" s="48"/>
    </row>
    <row r="2770" spans="1:14" s="7" customFormat="1" x14ac:dyDescent="0.35">
      <c r="A2770" s="113"/>
      <c r="B2770" s="27"/>
      <c r="C2770" s="48"/>
      <c r="D2770" s="27"/>
      <c r="E2770" s="38"/>
      <c r="F2770" s="27"/>
      <c r="G2770" s="27"/>
      <c r="H2770" s="99"/>
      <c r="M2770" s="27"/>
      <c r="N2770" s="48"/>
    </row>
    <row r="2771" spans="1:14" s="7" customFormat="1" x14ac:dyDescent="0.35">
      <c r="A2771" s="113"/>
      <c r="B2771" s="27"/>
      <c r="C2771" s="48"/>
      <c r="D2771" s="27"/>
      <c r="E2771" s="38"/>
      <c r="F2771" s="27"/>
      <c r="G2771" s="27"/>
      <c r="H2771" s="99"/>
      <c r="M2771" s="27"/>
      <c r="N2771" s="48"/>
    </row>
    <row r="2772" spans="1:14" s="7" customFormat="1" x14ac:dyDescent="0.35">
      <c r="A2772" s="113"/>
      <c r="B2772" s="27"/>
      <c r="C2772" s="48"/>
      <c r="D2772" s="27"/>
      <c r="E2772" s="38"/>
      <c r="F2772" s="27"/>
      <c r="G2772" s="27"/>
      <c r="H2772" s="99"/>
      <c r="M2772" s="27"/>
      <c r="N2772" s="48"/>
    </row>
    <row r="2773" spans="1:14" s="7" customFormat="1" x14ac:dyDescent="0.35">
      <c r="A2773" s="113"/>
      <c r="B2773" s="27"/>
      <c r="C2773" s="48"/>
      <c r="D2773" s="27"/>
      <c r="E2773" s="38"/>
      <c r="F2773" s="27"/>
      <c r="G2773" s="27"/>
      <c r="H2773" s="99"/>
      <c r="M2773" s="27"/>
      <c r="N2773" s="48"/>
    </row>
    <row r="2774" spans="1:14" s="7" customFormat="1" x14ac:dyDescent="0.35">
      <c r="A2774" s="113"/>
      <c r="B2774" s="27"/>
      <c r="C2774" s="48"/>
      <c r="D2774" s="27"/>
      <c r="E2774" s="38"/>
      <c r="F2774" s="27"/>
      <c r="G2774" s="27"/>
      <c r="H2774" s="99"/>
      <c r="M2774" s="27"/>
      <c r="N2774" s="48"/>
    </row>
    <row r="2775" spans="1:14" s="7" customFormat="1" x14ac:dyDescent="0.35">
      <c r="A2775" s="113"/>
      <c r="B2775" s="27"/>
      <c r="C2775" s="48"/>
      <c r="D2775" s="27"/>
      <c r="E2775" s="38"/>
      <c r="F2775" s="27"/>
      <c r="G2775" s="27"/>
      <c r="H2775" s="99"/>
      <c r="M2775" s="27"/>
      <c r="N2775" s="48"/>
    </row>
    <row r="2776" spans="1:14" s="7" customFormat="1" x14ac:dyDescent="0.35">
      <c r="A2776" s="113"/>
      <c r="B2776" s="27"/>
      <c r="C2776" s="48"/>
      <c r="D2776" s="27"/>
      <c r="E2776" s="38"/>
      <c r="F2776" s="27"/>
      <c r="G2776" s="27"/>
      <c r="H2776" s="99"/>
      <c r="M2776" s="27"/>
      <c r="N2776" s="48"/>
    </row>
    <row r="2777" spans="1:14" s="7" customFormat="1" x14ac:dyDescent="0.35">
      <c r="A2777" s="113"/>
      <c r="B2777" s="27"/>
      <c r="C2777" s="48"/>
      <c r="D2777" s="27"/>
      <c r="E2777" s="38"/>
      <c r="F2777" s="27"/>
      <c r="G2777" s="27"/>
      <c r="H2777" s="99"/>
      <c r="M2777" s="27"/>
      <c r="N2777" s="48"/>
    </row>
    <row r="2778" spans="1:14" s="7" customFormat="1" x14ac:dyDescent="0.35">
      <c r="A2778" s="113"/>
      <c r="B2778" s="27"/>
      <c r="C2778" s="48"/>
      <c r="D2778" s="27"/>
      <c r="E2778" s="38"/>
      <c r="F2778" s="27"/>
      <c r="G2778" s="27"/>
      <c r="H2778" s="99"/>
      <c r="M2778" s="27"/>
      <c r="N2778" s="48"/>
    </row>
    <row r="2779" spans="1:14" s="7" customFormat="1" x14ac:dyDescent="0.35">
      <c r="A2779" s="113"/>
      <c r="B2779" s="27"/>
      <c r="C2779" s="48"/>
      <c r="D2779" s="27"/>
      <c r="E2779" s="38"/>
      <c r="F2779" s="27"/>
      <c r="G2779" s="27"/>
      <c r="H2779" s="99"/>
      <c r="M2779" s="27"/>
      <c r="N2779" s="48"/>
    </row>
    <row r="2780" spans="1:14" s="7" customFormat="1" x14ac:dyDescent="0.35">
      <c r="A2780" s="113"/>
      <c r="B2780" s="27"/>
      <c r="C2780" s="48"/>
      <c r="D2780" s="27"/>
      <c r="E2780" s="38"/>
      <c r="F2780" s="27"/>
      <c r="G2780" s="27"/>
      <c r="H2780" s="99"/>
      <c r="M2780" s="27"/>
      <c r="N2780" s="48"/>
    </row>
    <row r="2781" spans="1:14" s="7" customFormat="1" x14ac:dyDescent="0.35">
      <c r="A2781" s="113"/>
      <c r="B2781" s="27"/>
      <c r="C2781" s="48"/>
      <c r="D2781" s="27"/>
      <c r="E2781" s="38"/>
      <c r="F2781" s="27"/>
      <c r="G2781" s="27"/>
      <c r="H2781" s="99"/>
      <c r="M2781" s="27"/>
      <c r="N2781" s="48"/>
    </row>
    <row r="2782" spans="1:14" s="7" customFormat="1" x14ac:dyDescent="0.35">
      <c r="A2782" s="113"/>
      <c r="B2782" s="27"/>
      <c r="C2782" s="48"/>
      <c r="D2782" s="27"/>
      <c r="E2782" s="38"/>
      <c r="F2782" s="27"/>
      <c r="G2782" s="27"/>
      <c r="H2782" s="99"/>
      <c r="M2782" s="27"/>
      <c r="N2782" s="48"/>
    </row>
    <row r="2783" spans="1:14" s="7" customFormat="1" x14ac:dyDescent="0.35">
      <c r="A2783" s="113"/>
      <c r="B2783" s="27"/>
      <c r="C2783" s="48"/>
      <c r="D2783" s="27"/>
      <c r="E2783" s="38"/>
      <c r="F2783" s="27"/>
      <c r="G2783" s="27"/>
      <c r="H2783" s="99"/>
      <c r="M2783" s="27"/>
      <c r="N2783" s="48"/>
    </row>
    <row r="2784" spans="1:14" s="7" customFormat="1" x14ac:dyDescent="0.35">
      <c r="A2784" s="113"/>
      <c r="B2784" s="27"/>
      <c r="C2784" s="48"/>
      <c r="D2784" s="27"/>
      <c r="E2784" s="38"/>
      <c r="F2784" s="27"/>
      <c r="G2784" s="27"/>
      <c r="H2784" s="99"/>
      <c r="M2784" s="27"/>
      <c r="N2784" s="48"/>
    </row>
    <row r="2785" spans="1:14" s="7" customFormat="1" x14ac:dyDescent="0.35">
      <c r="A2785" s="113"/>
      <c r="B2785" s="27"/>
      <c r="C2785" s="48"/>
      <c r="D2785" s="27"/>
      <c r="E2785" s="38"/>
      <c r="F2785" s="27"/>
      <c r="G2785" s="27"/>
      <c r="H2785" s="99"/>
      <c r="M2785" s="27"/>
      <c r="N2785" s="48"/>
    </row>
    <row r="2786" spans="1:14" s="7" customFormat="1" x14ac:dyDescent="0.35">
      <c r="A2786" s="113"/>
      <c r="B2786" s="27"/>
      <c r="C2786" s="48"/>
      <c r="D2786" s="27"/>
      <c r="E2786" s="38"/>
      <c r="F2786" s="27"/>
      <c r="G2786" s="27"/>
      <c r="H2786" s="99"/>
      <c r="M2786" s="27"/>
      <c r="N2786" s="48"/>
    </row>
    <row r="2787" spans="1:14" s="7" customFormat="1" x14ac:dyDescent="0.35">
      <c r="A2787" s="113"/>
      <c r="B2787" s="27"/>
      <c r="C2787" s="48"/>
      <c r="D2787" s="27"/>
      <c r="E2787" s="38"/>
      <c r="F2787" s="27"/>
      <c r="G2787" s="27"/>
      <c r="H2787" s="99"/>
      <c r="M2787" s="27"/>
      <c r="N2787" s="48"/>
    </row>
    <row r="2788" spans="1:14" s="7" customFormat="1" x14ac:dyDescent="0.35">
      <c r="A2788" s="113"/>
      <c r="B2788" s="27"/>
      <c r="C2788" s="48"/>
      <c r="D2788" s="27"/>
      <c r="E2788" s="38"/>
      <c r="F2788" s="27"/>
      <c r="G2788" s="27"/>
      <c r="H2788" s="99"/>
      <c r="M2788" s="27"/>
      <c r="N2788" s="48"/>
    </row>
    <row r="2789" spans="1:14" s="7" customFormat="1" x14ac:dyDescent="0.35">
      <c r="A2789" s="113"/>
      <c r="B2789" s="27"/>
      <c r="C2789" s="48"/>
      <c r="D2789" s="27"/>
      <c r="E2789" s="38"/>
      <c r="F2789" s="27"/>
      <c r="G2789" s="27"/>
      <c r="H2789" s="99"/>
      <c r="M2789" s="27"/>
      <c r="N2789" s="48"/>
    </row>
    <row r="2790" spans="1:14" s="7" customFormat="1" x14ac:dyDescent="0.35">
      <c r="A2790" s="113"/>
      <c r="B2790" s="27"/>
      <c r="C2790" s="48"/>
      <c r="D2790" s="27"/>
      <c r="E2790" s="38"/>
      <c r="F2790" s="27"/>
      <c r="G2790" s="27"/>
      <c r="H2790" s="99"/>
      <c r="M2790" s="27"/>
      <c r="N2790" s="48"/>
    </row>
    <row r="2791" spans="1:14" s="7" customFormat="1" x14ac:dyDescent="0.35">
      <c r="A2791" s="113"/>
      <c r="B2791" s="27"/>
      <c r="C2791" s="48"/>
      <c r="D2791" s="27"/>
      <c r="E2791" s="38"/>
      <c r="F2791" s="27"/>
      <c r="G2791" s="27"/>
      <c r="H2791" s="99"/>
      <c r="M2791" s="27"/>
      <c r="N2791" s="48"/>
    </row>
    <row r="2792" spans="1:14" s="7" customFormat="1" x14ac:dyDescent="0.35">
      <c r="A2792" s="113"/>
      <c r="B2792" s="27"/>
      <c r="C2792" s="48"/>
      <c r="D2792" s="27"/>
      <c r="E2792" s="38"/>
      <c r="F2792" s="27"/>
      <c r="G2792" s="27"/>
      <c r="H2792" s="99"/>
      <c r="M2792" s="27"/>
      <c r="N2792" s="48"/>
    </row>
    <row r="2793" spans="1:14" s="7" customFormat="1" x14ac:dyDescent="0.35">
      <c r="A2793" s="113"/>
      <c r="B2793" s="27"/>
      <c r="C2793" s="48"/>
      <c r="D2793" s="27"/>
      <c r="E2793" s="38"/>
      <c r="F2793" s="27"/>
      <c r="G2793" s="27"/>
      <c r="H2793" s="99"/>
      <c r="M2793" s="27"/>
      <c r="N2793" s="48"/>
    </row>
    <row r="2794" spans="1:14" s="7" customFormat="1" x14ac:dyDescent="0.35">
      <c r="A2794" s="113"/>
      <c r="B2794" s="27"/>
      <c r="C2794" s="48"/>
      <c r="D2794" s="27"/>
      <c r="E2794" s="38"/>
      <c r="F2794" s="27"/>
      <c r="G2794" s="27"/>
      <c r="H2794" s="99"/>
      <c r="M2794" s="27"/>
      <c r="N2794" s="48"/>
    </row>
    <row r="2795" spans="1:14" s="7" customFormat="1" x14ac:dyDescent="0.35">
      <c r="A2795" s="113"/>
      <c r="B2795" s="27"/>
      <c r="C2795" s="48"/>
      <c r="D2795" s="27"/>
      <c r="E2795" s="38"/>
      <c r="F2795" s="27"/>
      <c r="G2795" s="27"/>
      <c r="H2795" s="99"/>
      <c r="M2795" s="27"/>
      <c r="N2795" s="48"/>
    </row>
    <row r="2796" spans="1:14" s="7" customFormat="1" x14ac:dyDescent="0.35">
      <c r="A2796" s="113"/>
      <c r="B2796" s="27"/>
      <c r="C2796" s="48"/>
      <c r="D2796" s="27"/>
      <c r="E2796" s="38"/>
      <c r="F2796" s="27"/>
      <c r="G2796" s="27"/>
      <c r="H2796" s="99"/>
      <c r="M2796" s="27"/>
      <c r="N2796" s="48"/>
    </row>
    <row r="2797" spans="1:14" s="7" customFormat="1" x14ac:dyDescent="0.35">
      <c r="A2797" s="113"/>
      <c r="B2797" s="27"/>
      <c r="C2797" s="48"/>
      <c r="D2797" s="27"/>
      <c r="E2797" s="38"/>
      <c r="F2797" s="27"/>
      <c r="G2797" s="27"/>
      <c r="H2797" s="99"/>
      <c r="M2797" s="27"/>
      <c r="N2797" s="48"/>
    </row>
    <row r="2798" spans="1:14" s="7" customFormat="1" x14ac:dyDescent="0.35">
      <c r="A2798" s="113"/>
      <c r="B2798" s="27"/>
      <c r="C2798" s="48"/>
      <c r="D2798" s="27"/>
      <c r="E2798" s="38"/>
      <c r="F2798" s="27"/>
      <c r="G2798" s="27"/>
      <c r="H2798" s="99"/>
      <c r="M2798" s="27"/>
      <c r="N2798" s="48"/>
    </row>
    <row r="2799" spans="1:14" s="7" customFormat="1" x14ac:dyDescent="0.35">
      <c r="A2799" s="113"/>
      <c r="B2799" s="27"/>
      <c r="C2799" s="48"/>
      <c r="D2799" s="27"/>
      <c r="E2799" s="38"/>
      <c r="F2799" s="27"/>
      <c r="G2799" s="27"/>
      <c r="H2799" s="99"/>
      <c r="M2799" s="27"/>
      <c r="N2799" s="48"/>
    </row>
    <row r="2800" spans="1:14" s="7" customFormat="1" x14ac:dyDescent="0.35">
      <c r="A2800" s="113"/>
      <c r="B2800" s="27"/>
      <c r="C2800" s="48"/>
      <c r="D2800" s="27"/>
      <c r="E2800" s="38"/>
      <c r="F2800" s="27"/>
      <c r="G2800" s="27"/>
      <c r="H2800" s="99"/>
      <c r="M2800" s="27"/>
      <c r="N2800" s="48"/>
    </row>
    <row r="2801" spans="1:14" s="7" customFormat="1" x14ac:dyDescent="0.35">
      <c r="A2801" s="113"/>
      <c r="B2801" s="27"/>
      <c r="C2801" s="48"/>
      <c r="D2801" s="27"/>
      <c r="E2801" s="38"/>
      <c r="F2801" s="27"/>
      <c r="G2801" s="27"/>
      <c r="H2801" s="99"/>
      <c r="M2801" s="27"/>
      <c r="N2801" s="48"/>
    </row>
    <row r="2802" spans="1:14" s="7" customFormat="1" x14ac:dyDescent="0.35">
      <c r="A2802" s="113"/>
      <c r="B2802" s="27"/>
      <c r="C2802" s="48"/>
      <c r="D2802" s="27"/>
      <c r="E2802" s="38"/>
      <c r="F2802" s="27"/>
      <c r="G2802" s="27"/>
      <c r="H2802" s="99"/>
      <c r="M2802" s="27"/>
      <c r="N2802" s="48"/>
    </row>
    <row r="2803" spans="1:14" s="7" customFormat="1" x14ac:dyDescent="0.35">
      <c r="A2803" s="113"/>
      <c r="B2803" s="27"/>
      <c r="C2803" s="48"/>
      <c r="D2803" s="27"/>
      <c r="E2803" s="38"/>
      <c r="F2803" s="27"/>
      <c r="G2803" s="27"/>
      <c r="H2803" s="99"/>
      <c r="M2803" s="27"/>
      <c r="N2803" s="48"/>
    </row>
    <row r="2804" spans="1:14" s="7" customFormat="1" x14ac:dyDescent="0.35">
      <c r="A2804" s="113"/>
      <c r="B2804" s="27"/>
      <c r="C2804" s="48"/>
      <c r="D2804" s="27"/>
      <c r="E2804" s="38"/>
      <c r="F2804" s="27"/>
      <c r="G2804" s="27"/>
      <c r="H2804" s="99"/>
      <c r="M2804" s="27"/>
      <c r="N2804" s="48"/>
    </row>
    <row r="2805" spans="1:14" s="7" customFormat="1" x14ac:dyDescent="0.35">
      <c r="A2805" s="113"/>
      <c r="B2805" s="27"/>
      <c r="C2805" s="48"/>
      <c r="D2805" s="27"/>
      <c r="E2805" s="38"/>
      <c r="F2805" s="27"/>
      <c r="G2805" s="27"/>
      <c r="H2805" s="99"/>
      <c r="M2805" s="27"/>
      <c r="N2805" s="48"/>
    </row>
    <row r="2806" spans="1:14" s="7" customFormat="1" x14ac:dyDescent="0.35">
      <c r="A2806" s="113"/>
      <c r="B2806" s="27"/>
      <c r="C2806" s="48"/>
      <c r="D2806" s="27"/>
      <c r="E2806" s="38"/>
      <c r="F2806" s="27"/>
      <c r="G2806" s="27"/>
      <c r="H2806" s="99"/>
      <c r="M2806" s="27"/>
      <c r="N2806" s="48"/>
    </row>
    <row r="2807" spans="1:14" s="7" customFormat="1" x14ac:dyDescent="0.35">
      <c r="A2807" s="113"/>
      <c r="B2807" s="27"/>
      <c r="C2807" s="48"/>
      <c r="D2807" s="27"/>
      <c r="E2807" s="38"/>
      <c r="F2807" s="27"/>
      <c r="G2807" s="27"/>
      <c r="H2807" s="99"/>
      <c r="M2807" s="27"/>
      <c r="N2807" s="48"/>
    </row>
    <row r="2808" spans="1:14" s="7" customFormat="1" x14ac:dyDescent="0.35">
      <c r="A2808" s="113"/>
      <c r="B2808" s="27"/>
      <c r="C2808" s="48"/>
      <c r="D2808" s="27"/>
      <c r="E2808" s="38"/>
      <c r="F2808" s="27"/>
      <c r="G2808" s="27"/>
      <c r="H2808" s="99"/>
      <c r="M2808" s="27"/>
      <c r="N2808" s="48"/>
    </row>
    <row r="2809" spans="1:14" s="7" customFormat="1" x14ac:dyDescent="0.35">
      <c r="A2809" s="113"/>
      <c r="B2809" s="27"/>
      <c r="C2809" s="48"/>
      <c r="D2809" s="27"/>
      <c r="E2809" s="38"/>
      <c r="F2809" s="27"/>
      <c r="G2809" s="27"/>
      <c r="H2809" s="99"/>
      <c r="M2809" s="27"/>
      <c r="N2809" s="48"/>
    </row>
    <row r="2810" spans="1:14" s="7" customFormat="1" x14ac:dyDescent="0.35">
      <c r="A2810" s="113"/>
      <c r="B2810" s="27"/>
      <c r="C2810" s="48"/>
      <c r="D2810" s="27"/>
      <c r="E2810" s="38"/>
      <c r="F2810" s="27"/>
      <c r="G2810" s="27"/>
      <c r="H2810" s="99"/>
      <c r="M2810" s="27"/>
      <c r="N2810" s="48"/>
    </row>
    <row r="2811" spans="1:14" s="7" customFormat="1" x14ac:dyDescent="0.35">
      <c r="A2811" s="113"/>
      <c r="B2811" s="27"/>
      <c r="C2811" s="48"/>
      <c r="D2811" s="27"/>
      <c r="E2811" s="38"/>
      <c r="F2811" s="27"/>
      <c r="G2811" s="27"/>
      <c r="H2811" s="99"/>
      <c r="M2811" s="27"/>
      <c r="N2811" s="48"/>
    </row>
    <row r="2812" spans="1:14" s="7" customFormat="1" x14ac:dyDescent="0.35">
      <c r="A2812" s="113"/>
      <c r="B2812" s="27"/>
      <c r="C2812" s="48"/>
      <c r="D2812" s="27"/>
      <c r="E2812" s="38"/>
      <c r="F2812" s="27"/>
      <c r="G2812" s="27"/>
      <c r="H2812" s="99"/>
      <c r="M2812" s="27"/>
      <c r="N2812" s="48"/>
    </row>
    <row r="2813" spans="1:14" s="7" customFormat="1" x14ac:dyDescent="0.35">
      <c r="A2813" s="113"/>
      <c r="B2813" s="27"/>
      <c r="C2813" s="48"/>
      <c r="D2813" s="27"/>
      <c r="E2813" s="38"/>
      <c r="F2813" s="27"/>
      <c r="G2813" s="27"/>
      <c r="H2813" s="99"/>
      <c r="M2813" s="27"/>
      <c r="N2813" s="48"/>
    </row>
    <row r="2814" spans="1:14" s="7" customFormat="1" x14ac:dyDescent="0.35">
      <c r="A2814" s="113"/>
      <c r="B2814" s="27"/>
      <c r="C2814" s="48"/>
      <c r="D2814" s="27"/>
      <c r="E2814" s="38"/>
      <c r="F2814" s="27"/>
      <c r="G2814" s="27"/>
      <c r="H2814" s="99"/>
      <c r="M2814" s="27"/>
      <c r="N2814" s="48"/>
    </row>
    <row r="2815" spans="1:14" s="7" customFormat="1" x14ac:dyDescent="0.35">
      <c r="A2815" s="113"/>
      <c r="B2815" s="27"/>
      <c r="C2815" s="48"/>
      <c r="D2815" s="27"/>
      <c r="E2815" s="38"/>
      <c r="F2815" s="27"/>
      <c r="G2815" s="27"/>
      <c r="H2815" s="99"/>
      <c r="M2815" s="27"/>
      <c r="N2815" s="48"/>
    </row>
    <row r="2816" spans="1:14" s="7" customFormat="1" x14ac:dyDescent="0.35">
      <c r="A2816" s="113"/>
      <c r="B2816" s="27"/>
      <c r="C2816" s="48"/>
      <c r="D2816" s="27"/>
      <c r="E2816" s="38"/>
      <c r="F2816" s="27"/>
      <c r="G2816" s="27"/>
      <c r="H2816" s="99"/>
      <c r="M2816" s="27"/>
      <c r="N2816" s="48"/>
    </row>
    <row r="2817" spans="1:14" s="7" customFormat="1" x14ac:dyDescent="0.35">
      <c r="A2817" s="113"/>
      <c r="B2817" s="27"/>
      <c r="C2817" s="48"/>
      <c r="D2817" s="27"/>
      <c r="E2817" s="38"/>
      <c r="F2817" s="27"/>
      <c r="G2817" s="27"/>
      <c r="H2817" s="99"/>
      <c r="M2817" s="27"/>
      <c r="N2817" s="48"/>
    </row>
    <row r="2818" spans="1:14" s="7" customFormat="1" x14ac:dyDescent="0.35">
      <c r="A2818" s="113"/>
      <c r="B2818" s="27"/>
      <c r="C2818" s="48"/>
      <c r="D2818" s="27"/>
      <c r="E2818" s="38"/>
      <c r="F2818" s="27"/>
      <c r="G2818" s="27"/>
      <c r="H2818" s="99"/>
      <c r="M2818" s="27"/>
      <c r="N2818" s="48"/>
    </row>
    <row r="2819" spans="1:14" s="7" customFormat="1" x14ac:dyDescent="0.35">
      <c r="A2819" s="113"/>
      <c r="B2819" s="27"/>
      <c r="C2819" s="48"/>
      <c r="D2819" s="27"/>
      <c r="E2819" s="38"/>
      <c r="F2819" s="27"/>
      <c r="G2819" s="27"/>
      <c r="H2819" s="99"/>
      <c r="M2819" s="27"/>
      <c r="N2819" s="48"/>
    </row>
    <row r="2820" spans="1:14" s="7" customFormat="1" x14ac:dyDescent="0.35">
      <c r="A2820" s="113"/>
      <c r="B2820" s="27"/>
      <c r="C2820" s="48"/>
      <c r="D2820" s="27"/>
      <c r="E2820" s="38"/>
      <c r="F2820" s="27"/>
      <c r="G2820" s="27"/>
      <c r="H2820" s="99"/>
      <c r="M2820" s="27"/>
      <c r="N2820" s="48"/>
    </row>
    <row r="2821" spans="1:14" s="7" customFormat="1" x14ac:dyDescent="0.35">
      <c r="A2821" s="113"/>
      <c r="B2821" s="27"/>
      <c r="C2821" s="48"/>
      <c r="D2821" s="27"/>
      <c r="E2821" s="38"/>
      <c r="F2821" s="27"/>
      <c r="G2821" s="27"/>
      <c r="H2821" s="99"/>
      <c r="M2821" s="27"/>
      <c r="N2821" s="48"/>
    </row>
    <row r="2822" spans="1:14" s="7" customFormat="1" x14ac:dyDescent="0.35">
      <c r="A2822" s="113"/>
      <c r="B2822" s="27"/>
      <c r="C2822" s="48"/>
      <c r="D2822" s="27"/>
      <c r="E2822" s="38"/>
      <c r="F2822" s="27"/>
      <c r="G2822" s="27"/>
      <c r="H2822" s="99"/>
      <c r="M2822" s="27"/>
      <c r="N2822" s="48"/>
    </row>
    <row r="2823" spans="1:14" s="7" customFormat="1" x14ac:dyDescent="0.35">
      <c r="A2823" s="113"/>
      <c r="B2823" s="27"/>
      <c r="C2823" s="48"/>
      <c r="D2823" s="27"/>
      <c r="E2823" s="38"/>
      <c r="F2823" s="27"/>
      <c r="G2823" s="27"/>
      <c r="H2823" s="99"/>
      <c r="M2823" s="27"/>
      <c r="N2823" s="48"/>
    </row>
    <row r="2824" spans="1:14" s="7" customFormat="1" x14ac:dyDescent="0.35">
      <c r="A2824" s="113"/>
      <c r="B2824" s="27"/>
      <c r="C2824" s="48"/>
      <c r="D2824" s="27"/>
      <c r="E2824" s="38"/>
      <c r="F2824" s="27"/>
      <c r="G2824" s="27"/>
      <c r="H2824" s="99"/>
      <c r="M2824" s="27"/>
      <c r="N2824" s="48"/>
    </row>
    <row r="2825" spans="1:14" s="7" customFormat="1" x14ac:dyDescent="0.35">
      <c r="A2825" s="113"/>
      <c r="B2825" s="27"/>
      <c r="C2825" s="48"/>
      <c r="D2825" s="27"/>
      <c r="E2825" s="38"/>
      <c r="F2825" s="27"/>
      <c r="G2825" s="27"/>
      <c r="H2825" s="99"/>
      <c r="M2825" s="27"/>
      <c r="N2825" s="48"/>
    </row>
    <row r="2826" spans="1:14" s="7" customFormat="1" x14ac:dyDescent="0.35">
      <c r="A2826" s="113"/>
      <c r="B2826" s="27"/>
      <c r="C2826" s="48"/>
      <c r="D2826" s="27"/>
      <c r="E2826" s="38"/>
      <c r="F2826" s="27"/>
      <c r="G2826" s="27"/>
      <c r="H2826" s="99"/>
      <c r="M2826" s="27"/>
      <c r="N2826" s="48"/>
    </row>
    <row r="2827" spans="1:14" s="7" customFormat="1" x14ac:dyDescent="0.35">
      <c r="A2827" s="113"/>
      <c r="B2827" s="27"/>
      <c r="C2827" s="48"/>
      <c r="D2827" s="27"/>
      <c r="E2827" s="38"/>
      <c r="F2827" s="27"/>
      <c r="G2827" s="27"/>
      <c r="H2827" s="99"/>
      <c r="M2827" s="27"/>
      <c r="N2827" s="48"/>
    </row>
    <row r="2828" spans="1:14" s="7" customFormat="1" x14ac:dyDescent="0.35">
      <c r="A2828" s="113"/>
      <c r="B2828" s="27"/>
      <c r="C2828" s="48"/>
      <c r="D2828" s="27"/>
      <c r="E2828" s="38"/>
      <c r="F2828" s="27"/>
      <c r="G2828" s="27"/>
      <c r="H2828" s="99"/>
      <c r="M2828" s="27"/>
      <c r="N2828" s="48"/>
    </row>
    <row r="2829" spans="1:14" s="7" customFormat="1" x14ac:dyDescent="0.35">
      <c r="A2829" s="113"/>
      <c r="B2829" s="27"/>
      <c r="C2829" s="48"/>
      <c r="D2829" s="27"/>
      <c r="E2829" s="38"/>
      <c r="F2829" s="27"/>
      <c r="G2829" s="27"/>
      <c r="H2829" s="99"/>
      <c r="M2829" s="27"/>
      <c r="N2829" s="48"/>
    </row>
    <row r="2830" spans="1:14" s="7" customFormat="1" x14ac:dyDescent="0.35">
      <c r="A2830" s="113"/>
      <c r="B2830" s="27"/>
      <c r="C2830" s="48"/>
      <c r="D2830" s="27"/>
      <c r="E2830" s="38"/>
      <c r="F2830" s="27"/>
      <c r="G2830" s="27"/>
      <c r="H2830" s="99"/>
      <c r="M2830" s="27"/>
      <c r="N2830" s="48"/>
    </row>
    <row r="2831" spans="1:14" s="7" customFormat="1" x14ac:dyDescent="0.35">
      <c r="A2831" s="113"/>
      <c r="B2831" s="27"/>
      <c r="C2831" s="48"/>
      <c r="D2831" s="27"/>
      <c r="E2831" s="38"/>
      <c r="F2831" s="27"/>
      <c r="G2831" s="27"/>
      <c r="H2831" s="99"/>
      <c r="M2831" s="27"/>
      <c r="N2831" s="48"/>
    </row>
    <row r="2832" spans="1:14" s="7" customFormat="1" x14ac:dyDescent="0.35">
      <c r="A2832" s="113"/>
      <c r="B2832" s="27"/>
      <c r="C2832" s="48"/>
      <c r="D2832" s="27"/>
      <c r="E2832" s="38"/>
      <c r="F2832" s="27"/>
      <c r="G2832" s="27"/>
      <c r="H2832" s="99"/>
      <c r="M2832" s="27"/>
      <c r="N2832" s="48"/>
    </row>
    <row r="2833" spans="1:14" s="7" customFormat="1" x14ac:dyDescent="0.35">
      <c r="A2833" s="113"/>
      <c r="B2833" s="27"/>
      <c r="C2833" s="48"/>
      <c r="D2833" s="27"/>
      <c r="E2833" s="38"/>
      <c r="F2833" s="27"/>
      <c r="G2833" s="27"/>
      <c r="H2833" s="99"/>
      <c r="M2833" s="27"/>
      <c r="N2833" s="48"/>
    </row>
    <row r="2834" spans="1:14" s="7" customFormat="1" x14ac:dyDescent="0.35">
      <c r="A2834" s="113"/>
      <c r="B2834" s="27"/>
      <c r="C2834" s="48"/>
      <c r="D2834" s="27"/>
      <c r="E2834" s="38"/>
      <c r="F2834" s="27"/>
      <c r="G2834" s="27"/>
      <c r="H2834" s="99"/>
      <c r="M2834" s="27"/>
      <c r="N2834" s="48"/>
    </row>
    <row r="2835" spans="1:14" s="7" customFormat="1" x14ac:dyDescent="0.35">
      <c r="A2835" s="113"/>
      <c r="B2835" s="27"/>
      <c r="C2835" s="48"/>
      <c r="D2835" s="27"/>
      <c r="E2835" s="38"/>
      <c r="F2835" s="27"/>
      <c r="G2835" s="27"/>
      <c r="H2835" s="99"/>
      <c r="M2835" s="27"/>
      <c r="N2835" s="48"/>
    </row>
    <row r="2836" spans="1:14" s="7" customFormat="1" x14ac:dyDescent="0.35">
      <c r="A2836" s="113"/>
      <c r="B2836" s="27"/>
      <c r="C2836" s="48"/>
      <c r="D2836" s="27"/>
      <c r="E2836" s="38"/>
      <c r="F2836" s="27"/>
      <c r="G2836" s="27"/>
      <c r="H2836" s="99"/>
      <c r="M2836" s="27"/>
      <c r="N2836" s="48"/>
    </row>
    <row r="2837" spans="1:14" s="7" customFormat="1" x14ac:dyDescent="0.35">
      <c r="A2837" s="113"/>
      <c r="B2837" s="27"/>
      <c r="C2837" s="48"/>
      <c r="D2837" s="27"/>
      <c r="E2837" s="38"/>
      <c r="F2837" s="27"/>
      <c r="G2837" s="27"/>
      <c r="H2837" s="99"/>
      <c r="M2837" s="27"/>
      <c r="N2837" s="48"/>
    </row>
    <row r="2838" spans="1:14" s="7" customFormat="1" x14ac:dyDescent="0.35">
      <c r="A2838" s="113"/>
      <c r="B2838" s="27"/>
      <c r="C2838" s="48"/>
      <c r="D2838" s="27"/>
      <c r="E2838" s="38"/>
      <c r="F2838" s="27"/>
      <c r="G2838" s="27"/>
      <c r="H2838" s="99"/>
      <c r="M2838" s="27"/>
      <c r="N2838" s="48"/>
    </row>
    <row r="2839" spans="1:14" s="7" customFormat="1" x14ac:dyDescent="0.35">
      <c r="A2839" s="113"/>
      <c r="B2839" s="27"/>
      <c r="C2839" s="48"/>
      <c r="D2839" s="27"/>
      <c r="E2839" s="38"/>
      <c r="F2839" s="27"/>
      <c r="G2839" s="27"/>
      <c r="H2839" s="99"/>
      <c r="M2839" s="27"/>
      <c r="N2839" s="48"/>
    </row>
    <row r="2840" spans="1:14" s="7" customFormat="1" x14ac:dyDescent="0.35">
      <c r="A2840" s="113"/>
      <c r="B2840" s="27"/>
      <c r="C2840" s="48"/>
      <c r="D2840" s="27"/>
      <c r="E2840" s="38"/>
      <c r="F2840" s="27"/>
      <c r="G2840" s="27"/>
      <c r="H2840" s="99"/>
      <c r="M2840" s="27"/>
      <c r="N2840" s="48"/>
    </row>
    <row r="2841" spans="1:14" s="7" customFormat="1" x14ac:dyDescent="0.35">
      <c r="A2841" s="113"/>
      <c r="B2841" s="27"/>
      <c r="C2841" s="48"/>
      <c r="D2841" s="27"/>
      <c r="E2841" s="38"/>
      <c r="F2841" s="27"/>
      <c r="G2841" s="27"/>
      <c r="H2841" s="99"/>
      <c r="M2841" s="27"/>
      <c r="N2841" s="48"/>
    </row>
    <row r="2842" spans="1:14" s="7" customFormat="1" x14ac:dyDescent="0.35">
      <c r="A2842" s="113"/>
      <c r="B2842" s="27"/>
      <c r="C2842" s="48"/>
      <c r="D2842" s="27"/>
      <c r="E2842" s="38"/>
      <c r="F2842" s="27"/>
      <c r="G2842" s="27"/>
      <c r="H2842" s="99"/>
      <c r="M2842" s="27"/>
      <c r="N2842" s="48"/>
    </row>
    <row r="2843" spans="1:14" s="7" customFormat="1" x14ac:dyDescent="0.35">
      <c r="A2843" s="113"/>
      <c r="B2843" s="27"/>
      <c r="C2843" s="48"/>
      <c r="D2843" s="27"/>
      <c r="E2843" s="38"/>
      <c r="F2843" s="27"/>
      <c r="G2843" s="27"/>
      <c r="H2843" s="99"/>
      <c r="M2843" s="27"/>
      <c r="N2843" s="48"/>
    </row>
    <row r="2844" spans="1:14" s="7" customFormat="1" x14ac:dyDescent="0.35">
      <c r="A2844" s="113"/>
      <c r="B2844" s="27"/>
      <c r="C2844" s="48"/>
      <c r="D2844" s="27"/>
      <c r="E2844" s="38"/>
      <c r="F2844" s="27"/>
      <c r="G2844" s="27"/>
      <c r="H2844" s="99"/>
      <c r="M2844" s="27"/>
      <c r="N2844" s="48"/>
    </row>
    <row r="2845" spans="1:14" s="7" customFormat="1" x14ac:dyDescent="0.35">
      <c r="A2845" s="113"/>
      <c r="B2845" s="27"/>
      <c r="C2845" s="48"/>
      <c r="D2845" s="27"/>
      <c r="E2845" s="38"/>
      <c r="F2845" s="27"/>
      <c r="G2845" s="27"/>
      <c r="H2845" s="99"/>
      <c r="M2845" s="27"/>
      <c r="N2845" s="48"/>
    </row>
    <row r="2846" spans="1:14" s="7" customFormat="1" x14ac:dyDescent="0.35">
      <c r="A2846" s="113"/>
      <c r="B2846" s="27"/>
      <c r="C2846" s="48"/>
      <c r="D2846" s="27"/>
      <c r="E2846" s="38"/>
      <c r="F2846" s="27"/>
      <c r="G2846" s="27"/>
      <c r="H2846" s="99"/>
      <c r="M2846" s="27"/>
      <c r="N2846" s="48"/>
    </row>
    <row r="2847" spans="1:14" s="7" customFormat="1" x14ac:dyDescent="0.35">
      <c r="A2847" s="113"/>
      <c r="B2847" s="27"/>
      <c r="C2847" s="48"/>
      <c r="D2847" s="27"/>
      <c r="E2847" s="38"/>
      <c r="F2847" s="27"/>
      <c r="G2847" s="27"/>
      <c r="H2847" s="99"/>
      <c r="M2847" s="27"/>
      <c r="N2847" s="48"/>
    </row>
    <row r="2848" spans="1:14" s="7" customFormat="1" x14ac:dyDescent="0.35">
      <c r="A2848" s="113"/>
      <c r="B2848" s="27"/>
      <c r="C2848" s="48"/>
      <c r="D2848" s="27"/>
      <c r="E2848" s="38"/>
      <c r="F2848" s="27"/>
      <c r="G2848" s="27"/>
      <c r="H2848" s="99"/>
      <c r="M2848" s="27"/>
      <c r="N2848" s="48"/>
    </row>
    <row r="2849" spans="1:14" s="7" customFormat="1" x14ac:dyDescent="0.35">
      <c r="A2849" s="113"/>
      <c r="B2849" s="27"/>
      <c r="C2849" s="48"/>
      <c r="D2849" s="27"/>
      <c r="E2849" s="38"/>
      <c r="F2849" s="27"/>
      <c r="G2849" s="27"/>
      <c r="H2849" s="99"/>
      <c r="M2849" s="27"/>
      <c r="N2849" s="48"/>
    </row>
    <row r="2850" spans="1:14" s="7" customFormat="1" x14ac:dyDescent="0.35">
      <c r="A2850" s="113"/>
      <c r="B2850" s="27"/>
      <c r="C2850" s="48"/>
      <c r="D2850" s="27"/>
      <c r="E2850" s="38"/>
      <c r="F2850" s="27"/>
      <c r="G2850" s="27"/>
      <c r="H2850" s="99"/>
      <c r="M2850" s="27"/>
      <c r="N2850" s="48"/>
    </row>
    <row r="2851" spans="1:14" s="7" customFormat="1" x14ac:dyDescent="0.35">
      <c r="A2851" s="113"/>
      <c r="B2851" s="27"/>
      <c r="C2851" s="48"/>
      <c r="D2851" s="27"/>
      <c r="E2851" s="38"/>
      <c r="F2851" s="27"/>
      <c r="G2851" s="27"/>
      <c r="H2851" s="99"/>
      <c r="M2851" s="27"/>
      <c r="N2851" s="48"/>
    </row>
    <row r="2852" spans="1:14" s="7" customFormat="1" x14ac:dyDescent="0.35">
      <c r="A2852" s="113"/>
      <c r="B2852" s="27"/>
      <c r="C2852" s="48"/>
      <c r="D2852" s="27"/>
      <c r="E2852" s="38"/>
      <c r="F2852" s="27"/>
      <c r="G2852" s="27"/>
      <c r="H2852" s="99"/>
      <c r="M2852" s="27"/>
      <c r="N2852" s="48"/>
    </row>
    <row r="2853" spans="1:14" s="7" customFormat="1" x14ac:dyDescent="0.35">
      <c r="A2853" s="113"/>
      <c r="B2853" s="27"/>
      <c r="C2853" s="48"/>
      <c r="D2853" s="27"/>
      <c r="E2853" s="38"/>
      <c r="F2853" s="27"/>
      <c r="G2853" s="27"/>
      <c r="H2853" s="99"/>
      <c r="M2853" s="27"/>
      <c r="N2853" s="48"/>
    </row>
    <row r="2854" spans="1:14" s="7" customFormat="1" x14ac:dyDescent="0.35">
      <c r="A2854" s="113"/>
      <c r="B2854" s="27"/>
      <c r="C2854" s="48"/>
      <c r="D2854" s="27"/>
      <c r="E2854" s="38"/>
      <c r="F2854" s="27"/>
      <c r="G2854" s="27"/>
      <c r="H2854" s="99"/>
      <c r="M2854" s="27"/>
      <c r="N2854" s="48"/>
    </row>
    <row r="2855" spans="1:14" s="7" customFormat="1" x14ac:dyDescent="0.35">
      <c r="A2855" s="113"/>
      <c r="B2855" s="27"/>
      <c r="C2855" s="48"/>
      <c r="D2855" s="27"/>
      <c r="E2855" s="38"/>
      <c r="F2855" s="27"/>
      <c r="G2855" s="27"/>
      <c r="H2855" s="99"/>
      <c r="M2855" s="27"/>
      <c r="N2855" s="48"/>
    </row>
    <row r="2856" spans="1:14" s="7" customFormat="1" x14ac:dyDescent="0.35">
      <c r="A2856" s="113"/>
      <c r="B2856" s="27"/>
      <c r="C2856" s="48"/>
      <c r="D2856" s="27"/>
      <c r="E2856" s="38"/>
      <c r="F2856" s="27"/>
      <c r="G2856" s="27"/>
      <c r="H2856" s="99"/>
      <c r="M2856" s="27"/>
      <c r="N2856" s="48"/>
    </row>
    <row r="2857" spans="1:14" s="7" customFormat="1" x14ac:dyDescent="0.35">
      <c r="A2857" s="113"/>
      <c r="B2857" s="27"/>
      <c r="C2857" s="48"/>
      <c r="D2857" s="27"/>
      <c r="E2857" s="38"/>
      <c r="F2857" s="27"/>
      <c r="G2857" s="27"/>
      <c r="H2857" s="99"/>
      <c r="M2857" s="27"/>
      <c r="N2857" s="48"/>
    </row>
    <row r="2858" spans="1:14" s="7" customFormat="1" x14ac:dyDescent="0.35">
      <c r="A2858" s="113"/>
      <c r="B2858" s="27"/>
      <c r="C2858" s="48"/>
      <c r="D2858" s="27"/>
      <c r="E2858" s="38"/>
      <c r="F2858" s="27"/>
      <c r="G2858" s="27"/>
      <c r="H2858" s="99"/>
      <c r="M2858" s="27"/>
      <c r="N2858" s="48"/>
    </row>
    <row r="2859" spans="1:14" s="7" customFormat="1" x14ac:dyDescent="0.35">
      <c r="A2859" s="113"/>
      <c r="B2859" s="27"/>
      <c r="C2859" s="48"/>
      <c r="D2859" s="27"/>
      <c r="E2859" s="38"/>
      <c r="F2859" s="27"/>
      <c r="G2859" s="27"/>
      <c r="H2859" s="99"/>
      <c r="M2859" s="27"/>
      <c r="N2859" s="48"/>
    </row>
    <row r="2860" spans="1:14" s="7" customFormat="1" x14ac:dyDescent="0.35">
      <c r="A2860" s="113"/>
      <c r="B2860" s="27"/>
      <c r="C2860" s="48"/>
      <c r="D2860" s="27"/>
      <c r="E2860" s="38"/>
      <c r="F2860" s="27"/>
      <c r="G2860" s="27"/>
      <c r="H2860" s="99"/>
      <c r="M2860" s="27"/>
      <c r="N2860" s="48"/>
    </row>
    <row r="2861" spans="1:14" s="7" customFormat="1" x14ac:dyDescent="0.35">
      <c r="A2861" s="113"/>
      <c r="B2861" s="27"/>
      <c r="C2861" s="48"/>
      <c r="D2861" s="27"/>
      <c r="E2861" s="38"/>
      <c r="F2861" s="27"/>
      <c r="G2861" s="27"/>
      <c r="H2861" s="99"/>
      <c r="M2861" s="27"/>
      <c r="N2861" s="48"/>
    </row>
    <row r="2862" spans="1:14" s="7" customFormat="1" x14ac:dyDescent="0.35">
      <c r="A2862" s="113"/>
      <c r="B2862" s="27"/>
      <c r="C2862" s="48"/>
      <c r="D2862" s="27"/>
      <c r="E2862" s="38"/>
      <c r="F2862" s="27"/>
      <c r="G2862" s="27"/>
      <c r="H2862" s="99"/>
      <c r="M2862" s="27"/>
      <c r="N2862" s="48"/>
    </row>
    <row r="2863" spans="1:14" s="7" customFormat="1" x14ac:dyDescent="0.35">
      <c r="A2863" s="113"/>
      <c r="B2863" s="27"/>
      <c r="C2863" s="48"/>
      <c r="D2863" s="27"/>
      <c r="E2863" s="38"/>
      <c r="F2863" s="27"/>
      <c r="G2863" s="27"/>
      <c r="H2863" s="99"/>
      <c r="M2863" s="27"/>
      <c r="N2863" s="48"/>
    </row>
    <row r="2864" spans="1:14" s="7" customFormat="1" x14ac:dyDescent="0.35">
      <c r="A2864" s="113"/>
      <c r="B2864" s="27"/>
      <c r="C2864" s="48"/>
      <c r="D2864" s="27"/>
      <c r="E2864" s="38"/>
      <c r="F2864" s="27"/>
      <c r="G2864" s="27"/>
      <c r="H2864" s="99"/>
      <c r="M2864" s="27"/>
      <c r="N2864" s="48"/>
    </row>
    <row r="2865" spans="1:14" s="7" customFormat="1" x14ac:dyDescent="0.35">
      <c r="A2865" s="113"/>
      <c r="B2865" s="27"/>
      <c r="C2865" s="48"/>
      <c r="D2865" s="27"/>
      <c r="E2865" s="38"/>
      <c r="F2865" s="27"/>
      <c r="G2865" s="27"/>
      <c r="H2865" s="99"/>
      <c r="M2865" s="27"/>
      <c r="N2865" s="48"/>
    </row>
    <row r="2866" spans="1:14" s="7" customFormat="1" x14ac:dyDescent="0.35">
      <c r="A2866" s="113"/>
      <c r="B2866" s="27"/>
      <c r="C2866" s="48"/>
      <c r="D2866" s="27"/>
      <c r="E2866" s="38"/>
      <c r="F2866" s="27"/>
      <c r="G2866" s="27"/>
      <c r="H2866" s="99"/>
      <c r="M2866" s="27"/>
      <c r="N2866" s="48"/>
    </row>
    <row r="2867" spans="1:14" s="7" customFormat="1" x14ac:dyDescent="0.35">
      <c r="A2867" s="113"/>
      <c r="B2867" s="27"/>
      <c r="C2867" s="48"/>
      <c r="D2867" s="27"/>
      <c r="E2867" s="38"/>
      <c r="F2867" s="27"/>
      <c r="G2867" s="27"/>
      <c r="H2867" s="99"/>
      <c r="M2867" s="27"/>
      <c r="N2867" s="48"/>
    </row>
    <row r="2868" spans="1:14" s="7" customFormat="1" x14ac:dyDescent="0.35">
      <c r="A2868" s="113"/>
      <c r="B2868" s="27"/>
      <c r="C2868" s="48"/>
      <c r="D2868" s="27"/>
      <c r="E2868" s="38"/>
      <c r="F2868" s="27"/>
      <c r="G2868" s="27"/>
      <c r="H2868" s="99"/>
      <c r="M2868" s="27"/>
      <c r="N2868" s="48"/>
    </row>
    <row r="2869" spans="1:14" s="7" customFormat="1" x14ac:dyDescent="0.35">
      <c r="A2869" s="113"/>
      <c r="B2869" s="27"/>
      <c r="C2869" s="48"/>
      <c r="D2869" s="27"/>
      <c r="E2869" s="38"/>
      <c r="F2869" s="27"/>
      <c r="G2869" s="27"/>
      <c r="H2869" s="99"/>
      <c r="M2869" s="27"/>
      <c r="N2869" s="48"/>
    </row>
    <row r="2870" spans="1:14" s="7" customFormat="1" x14ac:dyDescent="0.35">
      <c r="A2870" s="113"/>
      <c r="B2870" s="27"/>
      <c r="C2870" s="48"/>
      <c r="D2870" s="27"/>
      <c r="E2870" s="38"/>
      <c r="F2870" s="27"/>
      <c r="G2870" s="27"/>
      <c r="H2870" s="99"/>
      <c r="M2870" s="27"/>
      <c r="N2870" s="48"/>
    </row>
    <row r="2871" spans="1:14" s="7" customFormat="1" x14ac:dyDescent="0.35">
      <c r="A2871" s="113"/>
      <c r="B2871" s="27"/>
      <c r="C2871" s="48"/>
      <c r="D2871" s="27"/>
      <c r="E2871" s="38"/>
      <c r="F2871" s="27"/>
      <c r="G2871" s="27"/>
      <c r="H2871" s="99"/>
      <c r="M2871" s="27"/>
      <c r="N2871" s="48"/>
    </row>
    <row r="2872" spans="1:14" s="7" customFormat="1" x14ac:dyDescent="0.35">
      <c r="A2872" s="113"/>
      <c r="B2872" s="27"/>
      <c r="C2872" s="48"/>
      <c r="D2872" s="27"/>
      <c r="E2872" s="38"/>
      <c r="F2872" s="27"/>
      <c r="G2872" s="27"/>
      <c r="H2872" s="99"/>
      <c r="M2872" s="27"/>
      <c r="N2872" s="48"/>
    </row>
    <row r="2873" spans="1:14" s="7" customFormat="1" x14ac:dyDescent="0.35">
      <c r="A2873" s="113"/>
      <c r="B2873" s="27"/>
      <c r="C2873" s="48"/>
      <c r="D2873" s="27"/>
      <c r="E2873" s="38"/>
      <c r="F2873" s="27"/>
      <c r="G2873" s="27"/>
      <c r="H2873" s="99"/>
      <c r="M2873" s="27"/>
      <c r="N2873" s="48"/>
    </row>
    <row r="2874" spans="1:14" s="7" customFormat="1" x14ac:dyDescent="0.35">
      <c r="A2874" s="113"/>
      <c r="B2874" s="27"/>
      <c r="C2874" s="48"/>
      <c r="D2874" s="27"/>
      <c r="E2874" s="38"/>
      <c r="F2874" s="27"/>
      <c r="G2874" s="27"/>
      <c r="H2874" s="99"/>
      <c r="M2874" s="27"/>
      <c r="N2874" s="48"/>
    </row>
    <row r="2875" spans="1:14" s="7" customFormat="1" x14ac:dyDescent="0.35">
      <c r="A2875" s="113"/>
      <c r="B2875" s="27"/>
      <c r="C2875" s="48"/>
      <c r="D2875" s="27"/>
      <c r="E2875" s="38"/>
      <c r="F2875" s="27"/>
      <c r="G2875" s="27"/>
      <c r="H2875" s="99"/>
      <c r="M2875" s="27"/>
      <c r="N2875" s="48"/>
    </row>
    <row r="2876" spans="1:14" s="7" customFormat="1" x14ac:dyDescent="0.35">
      <c r="A2876" s="113"/>
      <c r="B2876" s="27"/>
      <c r="C2876" s="48"/>
      <c r="D2876" s="27"/>
      <c r="E2876" s="38"/>
      <c r="F2876" s="27"/>
      <c r="G2876" s="27"/>
      <c r="H2876" s="99"/>
      <c r="M2876" s="27"/>
      <c r="N2876" s="48"/>
    </row>
    <row r="2877" spans="1:14" s="7" customFormat="1" x14ac:dyDescent="0.35">
      <c r="A2877" s="113"/>
      <c r="B2877" s="27"/>
      <c r="C2877" s="48"/>
      <c r="D2877" s="27"/>
      <c r="E2877" s="38"/>
      <c r="F2877" s="27"/>
      <c r="G2877" s="27"/>
      <c r="H2877" s="99"/>
      <c r="M2877" s="27"/>
      <c r="N2877" s="48"/>
    </row>
    <row r="2878" spans="1:14" s="7" customFormat="1" x14ac:dyDescent="0.35">
      <c r="A2878" s="113"/>
      <c r="B2878" s="27"/>
      <c r="C2878" s="48"/>
      <c r="D2878" s="27"/>
      <c r="E2878" s="38"/>
      <c r="F2878" s="27"/>
      <c r="G2878" s="27"/>
      <c r="H2878" s="99"/>
      <c r="M2878" s="27"/>
      <c r="N2878" s="48"/>
    </row>
    <row r="2879" spans="1:14" s="7" customFormat="1" x14ac:dyDescent="0.35">
      <c r="A2879" s="113"/>
      <c r="B2879" s="27"/>
      <c r="C2879" s="48"/>
      <c r="D2879" s="27"/>
      <c r="E2879" s="38"/>
      <c r="F2879" s="27"/>
      <c r="G2879" s="27"/>
      <c r="H2879" s="99"/>
      <c r="M2879" s="27"/>
      <c r="N2879" s="48"/>
    </row>
    <row r="2880" spans="1:14" s="7" customFormat="1" x14ac:dyDescent="0.35">
      <c r="A2880" s="113"/>
      <c r="B2880" s="27"/>
      <c r="C2880" s="48"/>
      <c r="D2880" s="27"/>
      <c r="E2880" s="38"/>
      <c r="F2880" s="27"/>
      <c r="G2880" s="27"/>
      <c r="H2880" s="99"/>
      <c r="M2880" s="27"/>
      <c r="N2880" s="48"/>
    </row>
    <row r="2881" spans="1:14" s="7" customFormat="1" x14ac:dyDescent="0.35">
      <c r="A2881" s="113"/>
      <c r="B2881" s="27"/>
      <c r="C2881" s="48"/>
      <c r="D2881" s="27"/>
      <c r="E2881" s="38"/>
      <c r="F2881" s="27"/>
      <c r="G2881" s="27"/>
      <c r="H2881" s="99"/>
      <c r="M2881" s="27"/>
      <c r="N2881" s="48"/>
    </row>
    <row r="2882" spans="1:14" s="7" customFormat="1" x14ac:dyDescent="0.35">
      <c r="A2882" s="113"/>
      <c r="B2882" s="27"/>
      <c r="C2882" s="48"/>
      <c r="D2882" s="27"/>
      <c r="E2882" s="38"/>
      <c r="F2882" s="27"/>
      <c r="G2882" s="27"/>
      <c r="H2882" s="99"/>
      <c r="M2882" s="27"/>
      <c r="N2882" s="48"/>
    </row>
    <row r="2883" spans="1:14" s="7" customFormat="1" x14ac:dyDescent="0.35">
      <c r="A2883" s="113"/>
      <c r="B2883" s="27"/>
      <c r="C2883" s="48"/>
      <c r="D2883" s="27"/>
      <c r="E2883" s="38"/>
      <c r="F2883" s="27"/>
      <c r="G2883" s="27"/>
      <c r="H2883" s="99"/>
      <c r="M2883" s="27"/>
      <c r="N2883" s="48"/>
    </row>
    <row r="2884" spans="1:14" s="7" customFormat="1" x14ac:dyDescent="0.35">
      <c r="A2884" s="113"/>
      <c r="B2884" s="27"/>
      <c r="C2884" s="48"/>
      <c r="D2884" s="27"/>
      <c r="E2884" s="38"/>
      <c r="F2884" s="27"/>
      <c r="G2884" s="27"/>
      <c r="H2884" s="99"/>
      <c r="M2884" s="27"/>
      <c r="N2884" s="48"/>
    </row>
    <row r="2885" spans="1:14" s="7" customFormat="1" x14ac:dyDescent="0.35">
      <c r="A2885" s="113"/>
      <c r="B2885" s="27"/>
      <c r="C2885" s="48"/>
      <c r="D2885" s="27"/>
      <c r="E2885" s="38"/>
      <c r="F2885" s="27"/>
      <c r="G2885" s="27"/>
      <c r="H2885" s="99"/>
      <c r="M2885" s="27"/>
      <c r="N2885" s="48"/>
    </row>
    <row r="2886" spans="1:14" s="7" customFormat="1" x14ac:dyDescent="0.35">
      <c r="A2886" s="113"/>
      <c r="B2886" s="27"/>
      <c r="C2886" s="48"/>
      <c r="D2886" s="27"/>
      <c r="E2886" s="38"/>
      <c r="F2886" s="27"/>
      <c r="G2886" s="27"/>
      <c r="H2886" s="99"/>
      <c r="M2886" s="27"/>
      <c r="N2886" s="48"/>
    </row>
    <row r="2887" spans="1:14" s="7" customFormat="1" x14ac:dyDescent="0.35">
      <c r="A2887" s="113"/>
      <c r="B2887" s="27"/>
      <c r="C2887" s="48"/>
      <c r="D2887" s="27"/>
      <c r="E2887" s="38"/>
      <c r="F2887" s="27"/>
      <c r="G2887" s="27"/>
      <c r="H2887" s="99"/>
      <c r="M2887" s="27"/>
      <c r="N2887" s="48"/>
    </row>
    <row r="2888" spans="1:14" s="7" customFormat="1" x14ac:dyDescent="0.35">
      <c r="A2888" s="113"/>
      <c r="B2888" s="27"/>
      <c r="C2888" s="48"/>
      <c r="D2888" s="27"/>
      <c r="E2888" s="38"/>
      <c r="F2888" s="27"/>
      <c r="G2888" s="27"/>
      <c r="H2888" s="99"/>
      <c r="M2888" s="27"/>
      <c r="N2888" s="48"/>
    </row>
    <row r="2889" spans="1:14" s="7" customFormat="1" x14ac:dyDescent="0.35">
      <c r="A2889" s="113"/>
      <c r="B2889" s="27"/>
      <c r="C2889" s="48"/>
      <c r="D2889" s="27"/>
      <c r="E2889" s="38"/>
      <c r="F2889" s="27"/>
      <c r="G2889" s="27"/>
      <c r="H2889" s="99"/>
      <c r="M2889" s="27"/>
      <c r="N2889" s="48"/>
    </row>
    <row r="2890" spans="1:14" s="7" customFormat="1" x14ac:dyDescent="0.35">
      <c r="A2890" s="113"/>
      <c r="B2890" s="27"/>
      <c r="C2890" s="48"/>
      <c r="D2890" s="27"/>
      <c r="E2890" s="38"/>
      <c r="F2890" s="27"/>
      <c r="G2890" s="27"/>
      <c r="H2890" s="99"/>
      <c r="M2890" s="27"/>
      <c r="N2890" s="48"/>
    </row>
    <row r="2891" spans="1:14" s="7" customFormat="1" x14ac:dyDescent="0.35">
      <c r="A2891" s="113"/>
      <c r="B2891" s="27"/>
      <c r="C2891" s="48"/>
      <c r="D2891" s="27"/>
      <c r="E2891" s="38"/>
      <c r="F2891" s="27"/>
      <c r="G2891" s="27"/>
      <c r="H2891" s="99"/>
      <c r="M2891" s="27"/>
      <c r="N2891" s="48"/>
    </row>
    <row r="2892" spans="1:14" s="7" customFormat="1" x14ac:dyDescent="0.35">
      <c r="A2892" s="113"/>
      <c r="B2892" s="27"/>
      <c r="C2892" s="48"/>
      <c r="D2892" s="27"/>
      <c r="E2892" s="38"/>
      <c r="F2892" s="27"/>
      <c r="G2892" s="27"/>
      <c r="H2892" s="99"/>
      <c r="M2892" s="27"/>
      <c r="N2892" s="48"/>
    </row>
    <row r="2893" spans="1:14" s="7" customFormat="1" x14ac:dyDescent="0.35">
      <c r="A2893" s="113"/>
      <c r="B2893" s="27"/>
      <c r="C2893" s="48"/>
      <c r="D2893" s="27"/>
      <c r="E2893" s="38"/>
      <c r="F2893" s="27"/>
      <c r="G2893" s="27"/>
      <c r="H2893" s="99"/>
      <c r="M2893" s="27"/>
      <c r="N2893" s="48"/>
    </row>
    <row r="2894" spans="1:14" s="7" customFormat="1" x14ac:dyDescent="0.35">
      <c r="A2894" s="113"/>
      <c r="B2894" s="27"/>
      <c r="C2894" s="48"/>
      <c r="D2894" s="27"/>
      <c r="E2894" s="38"/>
      <c r="F2894" s="27"/>
      <c r="G2894" s="27"/>
      <c r="H2894" s="99"/>
      <c r="M2894" s="27"/>
      <c r="N2894" s="48"/>
    </row>
    <row r="2895" spans="1:14" s="7" customFormat="1" x14ac:dyDescent="0.35">
      <c r="A2895" s="113"/>
      <c r="B2895" s="27"/>
      <c r="C2895" s="48"/>
      <c r="D2895" s="27"/>
      <c r="E2895" s="38"/>
      <c r="F2895" s="27"/>
      <c r="G2895" s="27"/>
      <c r="H2895" s="99"/>
      <c r="M2895" s="27"/>
      <c r="N2895" s="48"/>
    </row>
    <row r="2896" spans="1:14" s="7" customFormat="1" x14ac:dyDescent="0.35">
      <c r="A2896" s="113"/>
      <c r="B2896" s="27"/>
      <c r="C2896" s="48"/>
      <c r="D2896" s="27"/>
      <c r="E2896" s="38"/>
      <c r="F2896" s="27"/>
      <c r="G2896" s="27"/>
      <c r="H2896" s="99"/>
      <c r="M2896" s="27"/>
      <c r="N2896" s="48"/>
    </row>
    <row r="2897" spans="1:14" s="7" customFormat="1" x14ac:dyDescent="0.35">
      <c r="A2897" s="113"/>
      <c r="B2897" s="27"/>
      <c r="C2897" s="48"/>
      <c r="D2897" s="27"/>
      <c r="E2897" s="38"/>
      <c r="F2897" s="27"/>
      <c r="G2897" s="27"/>
      <c r="H2897" s="99"/>
      <c r="M2897" s="27"/>
      <c r="N2897" s="48"/>
    </row>
    <row r="2898" spans="1:14" s="7" customFormat="1" x14ac:dyDescent="0.35">
      <c r="A2898" s="113"/>
      <c r="B2898" s="27"/>
      <c r="C2898" s="48"/>
      <c r="D2898" s="27"/>
      <c r="E2898" s="38"/>
      <c r="F2898" s="27"/>
      <c r="G2898" s="27"/>
      <c r="H2898" s="99"/>
      <c r="M2898" s="27"/>
      <c r="N2898" s="48"/>
    </row>
    <row r="2899" spans="1:14" s="7" customFormat="1" x14ac:dyDescent="0.35">
      <c r="A2899" s="113"/>
      <c r="B2899" s="27"/>
      <c r="C2899" s="48"/>
      <c r="D2899" s="27"/>
      <c r="E2899" s="38"/>
      <c r="F2899" s="27"/>
      <c r="G2899" s="27"/>
      <c r="H2899" s="99"/>
      <c r="M2899" s="27"/>
      <c r="N2899" s="48"/>
    </row>
    <row r="2900" spans="1:14" s="7" customFormat="1" x14ac:dyDescent="0.35">
      <c r="A2900" s="113"/>
      <c r="B2900" s="27"/>
      <c r="C2900" s="48"/>
      <c r="D2900" s="27"/>
      <c r="E2900" s="38"/>
      <c r="F2900" s="27"/>
      <c r="G2900" s="27"/>
      <c r="H2900" s="99"/>
      <c r="M2900" s="27"/>
      <c r="N2900" s="48"/>
    </row>
    <row r="2901" spans="1:14" s="7" customFormat="1" x14ac:dyDescent="0.35">
      <c r="A2901" s="113"/>
      <c r="B2901" s="27"/>
      <c r="C2901" s="48"/>
      <c r="D2901" s="27"/>
      <c r="E2901" s="38"/>
      <c r="F2901" s="27"/>
      <c r="G2901" s="27"/>
      <c r="H2901" s="99"/>
      <c r="M2901" s="27"/>
      <c r="N2901" s="48"/>
    </row>
    <row r="2902" spans="1:14" s="7" customFormat="1" x14ac:dyDescent="0.35">
      <c r="A2902" s="113"/>
      <c r="B2902" s="27"/>
      <c r="C2902" s="48"/>
      <c r="D2902" s="27"/>
      <c r="E2902" s="38"/>
      <c r="F2902" s="27"/>
      <c r="G2902" s="27"/>
      <c r="H2902" s="99"/>
      <c r="M2902" s="27"/>
      <c r="N2902" s="48"/>
    </row>
    <row r="2903" spans="1:14" s="7" customFormat="1" x14ac:dyDescent="0.35">
      <c r="A2903" s="113"/>
      <c r="B2903" s="27"/>
      <c r="C2903" s="48"/>
      <c r="D2903" s="27"/>
      <c r="E2903" s="38"/>
      <c r="F2903" s="27"/>
      <c r="G2903" s="27"/>
      <c r="H2903" s="99"/>
      <c r="M2903" s="27"/>
      <c r="N2903" s="48"/>
    </row>
    <row r="2904" spans="1:14" s="7" customFormat="1" x14ac:dyDescent="0.35">
      <c r="A2904" s="113"/>
      <c r="B2904" s="27"/>
      <c r="C2904" s="48"/>
      <c r="D2904" s="27"/>
      <c r="E2904" s="38"/>
      <c r="F2904" s="27"/>
      <c r="G2904" s="27"/>
      <c r="H2904" s="99"/>
      <c r="M2904" s="27"/>
      <c r="N2904" s="48"/>
    </row>
    <row r="2905" spans="1:14" s="7" customFormat="1" x14ac:dyDescent="0.35">
      <c r="A2905" s="113"/>
      <c r="B2905" s="27"/>
      <c r="C2905" s="48"/>
      <c r="D2905" s="27"/>
      <c r="E2905" s="38"/>
      <c r="F2905" s="27"/>
      <c r="G2905" s="27"/>
      <c r="H2905" s="99"/>
      <c r="M2905" s="27"/>
      <c r="N2905" s="48"/>
    </row>
    <row r="2906" spans="1:14" s="7" customFormat="1" x14ac:dyDescent="0.35">
      <c r="A2906" s="113"/>
      <c r="B2906" s="27"/>
      <c r="C2906" s="48"/>
      <c r="D2906" s="27"/>
      <c r="E2906" s="38"/>
      <c r="F2906" s="27"/>
      <c r="G2906" s="27"/>
      <c r="H2906" s="99"/>
      <c r="M2906" s="27"/>
      <c r="N2906" s="48"/>
    </row>
    <row r="2907" spans="1:14" s="7" customFormat="1" x14ac:dyDescent="0.35">
      <c r="A2907" s="113"/>
      <c r="B2907" s="27"/>
      <c r="C2907" s="48"/>
      <c r="D2907" s="27"/>
      <c r="E2907" s="38"/>
      <c r="F2907" s="27"/>
      <c r="G2907" s="27"/>
      <c r="H2907" s="99"/>
      <c r="M2907" s="27"/>
      <c r="N2907" s="48"/>
    </row>
    <row r="2908" spans="1:14" s="7" customFormat="1" x14ac:dyDescent="0.35">
      <c r="A2908" s="113"/>
      <c r="B2908" s="27"/>
      <c r="C2908" s="48"/>
      <c r="D2908" s="27"/>
      <c r="E2908" s="38"/>
      <c r="F2908" s="27"/>
      <c r="G2908" s="27"/>
      <c r="H2908" s="99"/>
      <c r="M2908" s="27"/>
      <c r="N2908" s="48"/>
    </row>
    <row r="2909" spans="1:14" s="7" customFormat="1" x14ac:dyDescent="0.35">
      <c r="A2909" s="113"/>
      <c r="B2909" s="27"/>
      <c r="C2909" s="48"/>
      <c r="D2909" s="27"/>
      <c r="E2909" s="38"/>
      <c r="F2909" s="27"/>
      <c r="G2909" s="27"/>
      <c r="H2909" s="99"/>
      <c r="M2909" s="27"/>
      <c r="N2909" s="48"/>
    </row>
    <row r="2910" spans="1:14" s="7" customFormat="1" x14ac:dyDescent="0.35">
      <c r="A2910" s="113"/>
      <c r="B2910" s="27"/>
      <c r="C2910" s="48"/>
      <c r="D2910" s="27"/>
      <c r="E2910" s="38"/>
      <c r="F2910" s="27"/>
      <c r="G2910" s="27"/>
      <c r="H2910" s="99"/>
      <c r="M2910" s="27"/>
      <c r="N2910" s="48"/>
    </row>
    <row r="2911" spans="1:14" s="7" customFormat="1" x14ac:dyDescent="0.35">
      <c r="A2911" s="113"/>
      <c r="B2911" s="27"/>
      <c r="C2911" s="48"/>
      <c r="D2911" s="27"/>
      <c r="E2911" s="38"/>
      <c r="F2911" s="27"/>
      <c r="G2911" s="27"/>
      <c r="H2911" s="99"/>
      <c r="M2911" s="27"/>
      <c r="N2911" s="48"/>
    </row>
    <row r="2912" spans="1:14" s="7" customFormat="1" x14ac:dyDescent="0.35">
      <c r="A2912" s="113"/>
      <c r="B2912" s="27"/>
      <c r="C2912" s="48"/>
      <c r="D2912" s="27"/>
      <c r="E2912" s="38"/>
      <c r="F2912" s="27"/>
      <c r="G2912" s="27"/>
      <c r="H2912" s="99"/>
      <c r="M2912" s="27"/>
      <c r="N2912" s="48"/>
    </row>
    <row r="2913" spans="1:581" s="7" customFormat="1" x14ac:dyDescent="0.35">
      <c r="A2913" s="113"/>
      <c r="B2913" s="27"/>
      <c r="C2913" s="48"/>
      <c r="D2913" s="27"/>
      <c r="E2913" s="38"/>
      <c r="F2913" s="27"/>
      <c r="G2913" s="27"/>
      <c r="H2913" s="99"/>
      <c r="M2913" s="27"/>
      <c r="N2913" s="48"/>
    </row>
    <row r="2914" spans="1:581" s="7" customFormat="1" x14ac:dyDescent="0.35">
      <c r="A2914" s="113"/>
      <c r="B2914" s="27"/>
      <c r="C2914" s="48"/>
      <c r="D2914" s="27"/>
      <c r="E2914" s="38"/>
      <c r="F2914" s="27"/>
      <c r="G2914" s="27"/>
      <c r="H2914" s="99"/>
      <c r="M2914" s="27"/>
      <c r="N2914" s="48"/>
    </row>
    <row r="2915" spans="1:581" s="7" customFormat="1" x14ac:dyDescent="0.35">
      <c r="A2915" s="113"/>
      <c r="B2915" s="27"/>
      <c r="C2915" s="48"/>
      <c r="D2915" s="27"/>
      <c r="E2915" s="38"/>
      <c r="F2915" s="27"/>
      <c r="G2915" s="27"/>
      <c r="H2915" s="99"/>
      <c r="M2915" s="27"/>
      <c r="N2915" s="48"/>
    </row>
    <row r="2916" spans="1:581" s="7" customFormat="1" x14ac:dyDescent="0.35">
      <c r="A2916" s="113"/>
      <c r="B2916" s="27"/>
      <c r="C2916" s="48"/>
      <c r="D2916" s="27"/>
      <c r="E2916" s="38"/>
      <c r="F2916" s="27"/>
      <c r="G2916" s="27"/>
      <c r="H2916" s="99"/>
      <c r="M2916" s="27"/>
      <c r="N2916" s="48"/>
    </row>
    <row r="2917" spans="1:581" s="7" customFormat="1" x14ac:dyDescent="0.35">
      <c r="A2917" s="113"/>
      <c r="B2917" s="27"/>
      <c r="C2917" s="48"/>
      <c r="D2917" s="27"/>
      <c r="E2917" s="38"/>
      <c r="F2917" s="27"/>
      <c r="G2917" s="27"/>
      <c r="H2917" s="99"/>
      <c r="M2917" s="27"/>
      <c r="N2917" s="48"/>
    </row>
    <row r="2918" spans="1:581" s="7" customFormat="1" x14ac:dyDescent="0.35">
      <c r="A2918" s="113"/>
      <c r="B2918" s="27"/>
      <c r="C2918" s="48"/>
      <c r="D2918" s="27"/>
      <c r="E2918" s="38"/>
      <c r="F2918" s="27"/>
      <c r="G2918" s="27"/>
      <c r="H2918" s="99"/>
      <c r="M2918" s="27"/>
      <c r="N2918" s="48"/>
    </row>
    <row r="2919" spans="1:581" s="7" customFormat="1" x14ac:dyDescent="0.35">
      <c r="A2919" s="113"/>
      <c r="B2919" s="27"/>
      <c r="C2919" s="48"/>
      <c r="D2919" s="27"/>
      <c r="E2919" s="38"/>
      <c r="F2919" s="27"/>
      <c r="G2919" s="27"/>
      <c r="H2919" s="99"/>
      <c r="M2919" s="27"/>
      <c r="N2919" s="48"/>
    </row>
    <row r="2920" spans="1:581" s="7" customFormat="1" x14ac:dyDescent="0.35">
      <c r="A2920" s="113"/>
      <c r="B2920" s="27"/>
      <c r="C2920" s="48"/>
      <c r="D2920" s="27"/>
      <c r="E2920" s="38"/>
      <c r="F2920" s="27"/>
      <c r="G2920" s="27"/>
      <c r="H2920" s="99"/>
      <c r="M2920" s="27"/>
      <c r="N2920" s="48"/>
    </row>
    <row r="2921" spans="1:581" s="7" customFormat="1" x14ac:dyDescent="0.35">
      <c r="A2921" s="113"/>
      <c r="B2921" s="27"/>
      <c r="C2921" s="48"/>
      <c r="D2921" s="27"/>
      <c r="E2921" s="38"/>
      <c r="F2921" s="27"/>
      <c r="G2921" s="27"/>
      <c r="H2921" s="99"/>
      <c r="M2921" s="27"/>
      <c r="N2921" s="48"/>
    </row>
    <row r="2922" spans="1:581" s="7" customFormat="1" x14ac:dyDescent="0.35">
      <c r="A2922" s="113"/>
      <c r="B2922" s="27"/>
      <c r="C2922" s="48"/>
      <c r="D2922" s="27"/>
      <c r="E2922" s="38"/>
      <c r="F2922" s="27"/>
      <c r="G2922" s="27"/>
      <c r="H2922" s="99"/>
      <c r="M2922" s="27"/>
      <c r="N2922" s="48"/>
    </row>
    <row r="2923" spans="1:581" s="7" customFormat="1" x14ac:dyDescent="0.35">
      <c r="A2923" s="113"/>
      <c r="B2923" s="27"/>
      <c r="C2923" s="48"/>
      <c r="D2923" s="27"/>
      <c r="E2923" s="38"/>
      <c r="F2923" s="27"/>
      <c r="G2923" s="27"/>
      <c r="H2923" s="99"/>
      <c r="M2923" s="27"/>
      <c r="N2923" s="48"/>
    </row>
    <row r="2924" spans="1:581" s="7" customFormat="1" x14ac:dyDescent="0.35">
      <c r="A2924" s="113"/>
      <c r="B2924" s="27"/>
      <c r="C2924" s="48"/>
      <c r="D2924" s="27"/>
      <c r="E2924" s="38"/>
      <c r="F2924" s="27"/>
      <c r="G2924" s="27"/>
      <c r="H2924" s="99"/>
      <c r="M2924" s="27"/>
      <c r="N2924" s="48"/>
    </row>
    <row r="2925" spans="1:581" s="7" customFormat="1" x14ac:dyDescent="0.35">
      <c r="A2925" s="113"/>
      <c r="B2925" s="27"/>
      <c r="C2925" s="48"/>
      <c r="D2925" s="27"/>
      <c r="E2925" s="38"/>
      <c r="F2925" s="27"/>
      <c r="G2925" s="27"/>
      <c r="H2925" s="99"/>
      <c r="M2925" s="27"/>
      <c r="N2925" s="48"/>
    </row>
    <row r="2926" spans="1:581" s="7" customFormat="1" x14ac:dyDescent="0.35">
      <c r="A2926" s="113"/>
      <c r="B2926" s="27"/>
      <c r="C2926" s="48"/>
      <c r="D2926" s="27"/>
      <c r="E2926" s="38"/>
      <c r="F2926" s="27"/>
      <c r="G2926" s="27"/>
      <c r="H2926" s="99"/>
      <c r="M2926" s="27"/>
      <c r="N2926" s="48"/>
    </row>
    <row r="2927" spans="1:581" s="7" customFormat="1" x14ac:dyDescent="0.35">
      <c r="A2927" s="113"/>
      <c r="B2927" s="27"/>
      <c r="C2927" s="48"/>
      <c r="D2927" s="27"/>
      <c r="E2927" s="38"/>
      <c r="F2927" s="27"/>
      <c r="G2927" s="27"/>
      <c r="H2927" s="99"/>
      <c r="M2927" s="27"/>
      <c r="N2927" s="48"/>
    </row>
    <row r="2928" spans="1:581" s="7" customFormat="1" x14ac:dyDescent="0.35">
      <c r="A2928" s="113"/>
      <c r="B2928" s="27"/>
      <c r="C2928" s="48"/>
      <c r="D2928" s="27"/>
      <c r="E2928" s="38"/>
      <c r="F2928" s="27"/>
      <c r="G2928" s="27"/>
      <c r="H2928" s="99"/>
      <c r="M2928" s="27"/>
      <c r="N2928" s="48"/>
      <c r="LA2928" s="43"/>
      <c r="LB2928" s="43"/>
      <c r="LC2928" s="43"/>
      <c r="LD2928" s="43"/>
      <c r="LE2928" s="43"/>
      <c r="LF2928" s="43"/>
      <c r="LG2928" s="43"/>
      <c r="LH2928" s="43"/>
      <c r="LI2928" s="43"/>
      <c r="LJ2928" s="43"/>
      <c r="LK2928" s="43"/>
      <c r="LL2928" s="43"/>
      <c r="LM2928" s="43"/>
      <c r="LN2928" s="43"/>
      <c r="LO2928" s="43"/>
      <c r="LP2928" s="43"/>
      <c r="LQ2928" s="43"/>
      <c r="LR2928" s="43"/>
      <c r="LS2928" s="43"/>
      <c r="LT2928" s="43"/>
      <c r="LU2928" s="43"/>
      <c r="LV2928" s="43"/>
      <c r="LW2928" s="43"/>
      <c r="LX2928" s="43"/>
      <c r="LY2928" s="43"/>
      <c r="LZ2928" s="43"/>
      <c r="MA2928" s="43"/>
      <c r="MB2928" s="43"/>
      <c r="MC2928" s="43"/>
      <c r="MD2928" s="43"/>
      <c r="ME2928" s="43"/>
      <c r="MF2928" s="43"/>
      <c r="MG2928" s="43"/>
      <c r="MH2928" s="43"/>
      <c r="MI2928" s="43"/>
      <c r="MJ2928" s="43"/>
      <c r="MK2928" s="43"/>
      <c r="ML2928" s="43"/>
      <c r="MM2928" s="43"/>
      <c r="MN2928" s="43"/>
      <c r="MO2928" s="43"/>
      <c r="MP2928" s="43"/>
      <c r="MQ2928" s="43"/>
      <c r="MR2928" s="43"/>
      <c r="MS2928" s="43"/>
      <c r="MT2928" s="43"/>
      <c r="MU2928" s="43"/>
      <c r="MV2928" s="43"/>
      <c r="MW2928" s="43"/>
      <c r="MX2928" s="43"/>
      <c r="MY2928" s="43"/>
      <c r="MZ2928" s="43"/>
      <c r="NA2928" s="43"/>
      <c r="NB2928" s="43"/>
      <c r="NC2928" s="43"/>
      <c r="ND2928" s="43"/>
      <c r="NE2928" s="43"/>
      <c r="NF2928" s="43"/>
      <c r="NG2928" s="43"/>
      <c r="NH2928" s="43"/>
      <c r="NI2928" s="43"/>
      <c r="NJ2928" s="43"/>
      <c r="NK2928" s="43"/>
      <c r="NL2928" s="43"/>
      <c r="NM2928" s="43"/>
      <c r="NN2928" s="43"/>
      <c r="NO2928" s="43"/>
      <c r="NP2928" s="43"/>
      <c r="NQ2928" s="43"/>
      <c r="NR2928" s="43"/>
      <c r="NS2928" s="43"/>
      <c r="NT2928" s="43"/>
      <c r="NU2928" s="43"/>
      <c r="NV2928" s="43"/>
      <c r="NW2928" s="43"/>
      <c r="NX2928" s="43"/>
      <c r="NY2928" s="43"/>
      <c r="NZ2928" s="43"/>
      <c r="OA2928" s="43"/>
      <c r="OB2928" s="43"/>
      <c r="OC2928" s="43"/>
      <c r="OD2928" s="43"/>
      <c r="OE2928" s="43"/>
      <c r="OF2928" s="43"/>
      <c r="OG2928" s="43"/>
      <c r="OH2928" s="43"/>
      <c r="OI2928" s="43"/>
      <c r="OJ2928" s="43"/>
      <c r="OK2928" s="43"/>
      <c r="OL2928" s="43"/>
      <c r="OM2928" s="43"/>
      <c r="ON2928" s="43"/>
      <c r="OO2928" s="43"/>
      <c r="OP2928" s="43"/>
      <c r="OQ2928" s="43"/>
      <c r="OR2928" s="43"/>
      <c r="OS2928" s="43"/>
      <c r="OT2928" s="43"/>
      <c r="OU2928" s="43"/>
      <c r="OV2928" s="43"/>
      <c r="OW2928" s="43"/>
      <c r="OX2928" s="43"/>
      <c r="OY2928" s="43"/>
      <c r="OZ2928" s="43"/>
      <c r="PA2928" s="43"/>
      <c r="PB2928" s="43"/>
      <c r="PC2928" s="43"/>
      <c r="PD2928" s="43"/>
      <c r="PE2928" s="43"/>
      <c r="PF2928" s="43"/>
      <c r="PG2928" s="43"/>
      <c r="PH2928" s="43"/>
      <c r="PI2928" s="43"/>
      <c r="PJ2928" s="43"/>
      <c r="PK2928" s="43"/>
      <c r="PL2928" s="43"/>
      <c r="PM2928" s="43"/>
      <c r="PN2928" s="43"/>
      <c r="PO2928" s="43"/>
      <c r="PP2928" s="43"/>
      <c r="PQ2928" s="43"/>
      <c r="PR2928" s="43"/>
      <c r="PS2928" s="43"/>
      <c r="PT2928" s="43"/>
      <c r="PU2928" s="43"/>
      <c r="PV2928" s="43"/>
      <c r="PW2928" s="43"/>
      <c r="PX2928" s="43"/>
      <c r="PY2928" s="43"/>
      <c r="PZ2928" s="43"/>
      <c r="QA2928" s="43"/>
      <c r="QB2928" s="43"/>
      <c r="QC2928" s="43"/>
      <c r="QD2928" s="43"/>
      <c r="QE2928" s="43"/>
      <c r="QF2928" s="43"/>
      <c r="QG2928" s="43"/>
      <c r="QH2928" s="43"/>
      <c r="QI2928" s="43"/>
      <c r="QJ2928" s="43"/>
      <c r="QK2928" s="43"/>
      <c r="QL2928" s="43"/>
      <c r="QM2928" s="43"/>
      <c r="QN2928" s="43"/>
      <c r="QO2928" s="43"/>
      <c r="QP2928" s="43"/>
      <c r="QQ2928" s="43"/>
      <c r="QR2928" s="43"/>
      <c r="QS2928" s="43"/>
      <c r="QT2928" s="43"/>
      <c r="QU2928" s="43"/>
      <c r="QV2928" s="43"/>
      <c r="QW2928" s="43"/>
      <c r="QX2928" s="43"/>
      <c r="QY2928" s="43"/>
      <c r="QZ2928" s="43"/>
      <c r="RA2928" s="43"/>
      <c r="RB2928" s="43"/>
      <c r="RC2928" s="43"/>
      <c r="RD2928" s="43"/>
      <c r="RE2928" s="43"/>
      <c r="RF2928" s="43"/>
      <c r="RG2928" s="43"/>
      <c r="RH2928" s="43"/>
      <c r="RI2928" s="43"/>
      <c r="RJ2928" s="43"/>
      <c r="RK2928" s="43"/>
      <c r="RL2928" s="43"/>
      <c r="RM2928" s="43"/>
      <c r="RN2928" s="43"/>
      <c r="RO2928" s="43"/>
      <c r="RP2928" s="43"/>
      <c r="RQ2928" s="43"/>
      <c r="RR2928" s="43"/>
      <c r="RS2928" s="43"/>
      <c r="RT2928" s="43"/>
      <c r="RU2928" s="43"/>
      <c r="RV2928" s="43"/>
      <c r="RW2928" s="43"/>
      <c r="RX2928" s="43"/>
      <c r="RY2928" s="43"/>
      <c r="RZ2928" s="43"/>
      <c r="SA2928" s="43"/>
      <c r="SB2928" s="43"/>
      <c r="SC2928" s="43"/>
      <c r="SD2928" s="43"/>
      <c r="SE2928" s="43"/>
      <c r="SF2928" s="43"/>
      <c r="SG2928" s="43"/>
      <c r="SH2928" s="43"/>
      <c r="SI2928" s="43"/>
      <c r="SJ2928" s="43"/>
      <c r="SK2928" s="43"/>
      <c r="SL2928" s="43"/>
      <c r="SM2928" s="43"/>
      <c r="SN2928" s="43"/>
      <c r="SO2928" s="43"/>
      <c r="SP2928" s="43"/>
      <c r="SQ2928" s="43"/>
      <c r="SR2928" s="43"/>
      <c r="SS2928" s="43"/>
      <c r="ST2928" s="43"/>
      <c r="SU2928" s="43"/>
      <c r="SV2928" s="43"/>
      <c r="SW2928" s="43"/>
      <c r="SX2928" s="43"/>
      <c r="SY2928" s="43"/>
      <c r="SZ2928" s="43"/>
      <c r="TA2928" s="43"/>
      <c r="TB2928" s="43"/>
      <c r="TC2928" s="43"/>
      <c r="TD2928" s="43"/>
      <c r="TE2928" s="43"/>
      <c r="TF2928" s="43"/>
      <c r="TG2928" s="43"/>
      <c r="TH2928" s="43"/>
      <c r="TI2928" s="43"/>
      <c r="TJ2928" s="43"/>
      <c r="TK2928" s="43"/>
      <c r="TL2928" s="43"/>
      <c r="TM2928" s="43"/>
      <c r="TN2928" s="43"/>
      <c r="TO2928" s="43"/>
      <c r="TP2928" s="43"/>
      <c r="TQ2928" s="43"/>
      <c r="TR2928" s="43"/>
      <c r="TS2928" s="43"/>
      <c r="TT2928" s="43"/>
      <c r="TU2928" s="43"/>
      <c r="TV2928" s="43"/>
      <c r="TW2928" s="43"/>
      <c r="TX2928" s="43"/>
      <c r="TY2928" s="43"/>
      <c r="TZ2928" s="43"/>
      <c r="UA2928" s="43"/>
      <c r="UB2928" s="43"/>
      <c r="UC2928" s="43"/>
      <c r="UD2928" s="43"/>
      <c r="UE2928" s="43"/>
      <c r="UF2928" s="43"/>
      <c r="UG2928" s="43"/>
      <c r="UH2928" s="43"/>
      <c r="UI2928" s="43"/>
      <c r="UJ2928" s="43"/>
      <c r="UK2928" s="43"/>
      <c r="UL2928" s="43"/>
      <c r="UM2928" s="43"/>
      <c r="UN2928" s="43"/>
      <c r="UO2928" s="43"/>
      <c r="UP2928" s="43"/>
      <c r="UQ2928" s="43"/>
      <c r="UR2928" s="43"/>
      <c r="US2928" s="43"/>
      <c r="UT2928" s="43"/>
      <c r="UU2928" s="43"/>
      <c r="UV2928" s="43"/>
      <c r="UW2928" s="43"/>
      <c r="UX2928" s="43"/>
      <c r="UY2928" s="43"/>
      <c r="UZ2928" s="43"/>
      <c r="VA2928" s="43"/>
      <c r="VB2928" s="43"/>
      <c r="VC2928" s="43"/>
      <c r="VD2928" s="43"/>
      <c r="VE2928" s="43"/>
      <c r="VF2928" s="43"/>
      <c r="VG2928" s="43"/>
      <c r="VH2928" s="43"/>
      <c r="VI2928" s="43"/>
    </row>
    <row r="2929" spans="1:581" s="7" customFormat="1" x14ac:dyDescent="0.35">
      <c r="A2929" s="113"/>
      <c r="B2929" s="27"/>
      <c r="C2929" s="48"/>
      <c r="D2929" s="27"/>
      <c r="E2929" s="38"/>
      <c r="F2929" s="27"/>
      <c r="G2929" s="27"/>
      <c r="H2929" s="99"/>
      <c r="M2929" s="27"/>
      <c r="N2929" s="48"/>
      <c r="LA2929" s="43"/>
      <c r="LB2929" s="43"/>
      <c r="LC2929" s="43"/>
      <c r="LD2929" s="43"/>
      <c r="LE2929" s="43"/>
      <c r="LF2929" s="43"/>
      <c r="LG2929" s="43"/>
      <c r="LH2929" s="43"/>
      <c r="LI2929" s="43"/>
      <c r="LJ2929" s="43"/>
      <c r="LK2929" s="43"/>
      <c r="LL2929" s="43"/>
      <c r="LM2929" s="43"/>
      <c r="LN2929" s="43"/>
      <c r="LO2929" s="43"/>
      <c r="LP2929" s="43"/>
      <c r="LQ2929" s="43"/>
      <c r="LR2929" s="43"/>
      <c r="LS2929" s="43"/>
      <c r="LT2929" s="43"/>
      <c r="LU2929" s="43"/>
      <c r="LV2929" s="43"/>
      <c r="LW2929" s="43"/>
      <c r="LX2929" s="43"/>
      <c r="LY2929" s="43"/>
      <c r="LZ2929" s="43"/>
      <c r="MA2929" s="43"/>
      <c r="MB2929" s="43"/>
      <c r="MC2929" s="43"/>
      <c r="MD2929" s="43"/>
      <c r="ME2929" s="43"/>
      <c r="MF2929" s="43"/>
      <c r="MG2929" s="43"/>
      <c r="MH2929" s="43"/>
      <c r="MI2929" s="43"/>
      <c r="MJ2929" s="43"/>
      <c r="MK2929" s="43"/>
      <c r="ML2929" s="43"/>
      <c r="MM2929" s="43"/>
      <c r="MN2929" s="43"/>
      <c r="MO2929" s="43"/>
      <c r="MP2929" s="43"/>
      <c r="MQ2929" s="43"/>
      <c r="MR2929" s="43"/>
      <c r="MS2929" s="43"/>
      <c r="MT2929" s="43"/>
      <c r="MU2929" s="43"/>
      <c r="MV2929" s="43"/>
      <c r="MW2929" s="43"/>
      <c r="MX2929" s="43"/>
      <c r="MY2929" s="43"/>
      <c r="MZ2929" s="43"/>
      <c r="NA2929" s="43"/>
      <c r="NB2929" s="43"/>
      <c r="NC2929" s="43"/>
      <c r="ND2929" s="43"/>
      <c r="NE2929" s="43"/>
      <c r="NF2929" s="43"/>
      <c r="NG2929" s="43"/>
      <c r="NH2929" s="43"/>
      <c r="NI2929" s="43"/>
      <c r="NJ2929" s="43"/>
      <c r="NK2929" s="43"/>
      <c r="NL2929" s="43"/>
      <c r="NM2929" s="43"/>
      <c r="NN2929" s="43"/>
      <c r="NO2929" s="43"/>
      <c r="NP2929" s="43"/>
      <c r="NQ2929" s="43"/>
      <c r="NR2929" s="43"/>
      <c r="NS2929" s="43"/>
      <c r="NT2929" s="43"/>
      <c r="NU2929" s="43"/>
      <c r="NV2929" s="43"/>
      <c r="NW2929" s="43"/>
      <c r="NX2929" s="43"/>
      <c r="NY2929" s="43"/>
      <c r="NZ2929" s="43"/>
      <c r="OA2929" s="43"/>
      <c r="OB2929" s="43"/>
      <c r="OC2929" s="43"/>
      <c r="OD2929" s="43"/>
      <c r="OE2929" s="43"/>
      <c r="OF2929" s="43"/>
      <c r="OG2929" s="43"/>
      <c r="OH2929" s="43"/>
      <c r="OI2929" s="43"/>
      <c r="OJ2929" s="43"/>
      <c r="OK2929" s="43"/>
      <c r="OL2929" s="43"/>
      <c r="OM2929" s="43"/>
      <c r="ON2929" s="43"/>
      <c r="OO2929" s="43"/>
      <c r="OP2929" s="43"/>
      <c r="OQ2929" s="43"/>
      <c r="OR2929" s="43"/>
      <c r="OS2929" s="43"/>
      <c r="OT2929" s="43"/>
      <c r="OU2929" s="43"/>
      <c r="OV2929" s="43"/>
      <c r="OW2929" s="43"/>
      <c r="OX2929" s="43"/>
      <c r="OY2929" s="43"/>
      <c r="OZ2929" s="43"/>
      <c r="PA2929" s="43"/>
      <c r="PB2929" s="43"/>
      <c r="PC2929" s="43"/>
      <c r="PD2929" s="43"/>
      <c r="PE2929" s="43"/>
      <c r="PF2929" s="43"/>
      <c r="PG2929" s="43"/>
      <c r="PH2929" s="43"/>
      <c r="PI2929" s="43"/>
      <c r="PJ2929" s="43"/>
      <c r="PK2929" s="43"/>
      <c r="PL2929" s="43"/>
      <c r="PM2929" s="43"/>
      <c r="PN2929" s="43"/>
      <c r="PO2929" s="43"/>
      <c r="PP2929" s="43"/>
      <c r="PQ2929" s="43"/>
      <c r="PR2929" s="43"/>
      <c r="PS2929" s="43"/>
      <c r="PT2929" s="43"/>
      <c r="PU2929" s="43"/>
      <c r="PV2929" s="43"/>
      <c r="PW2929" s="43"/>
      <c r="PX2929" s="43"/>
      <c r="PY2929" s="43"/>
      <c r="PZ2929" s="43"/>
      <c r="QA2929" s="43"/>
      <c r="QB2929" s="43"/>
      <c r="QC2929" s="43"/>
      <c r="QD2929" s="43"/>
      <c r="QE2929" s="43"/>
      <c r="QF2929" s="43"/>
      <c r="QG2929" s="43"/>
      <c r="QH2929" s="43"/>
      <c r="QI2929" s="43"/>
      <c r="QJ2929" s="43"/>
      <c r="QK2929" s="43"/>
      <c r="QL2929" s="43"/>
      <c r="QM2929" s="43"/>
      <c r="QN2929" s="43"/>
      <c r="QO2929" s="43"/>
      <c r="QP2929" s="43"/>
      <c r="QQ2929" s="43"/>
      <c r="QR2929" s="43"/>
      <c r="QS2929" s="43"/>
      <c r="QT2929" s="43"/>
      <c r="QU2929" s="43"/>
      <c r="QV2929" s="43"/>
      <c r="QW2929" s="43"/>
      <c r="QX2929" s="43"/>
      <c r="QY2929" s="43"/>
      <c r="QZ2929" s="43"/>
      <c r="RA2929" s="43"/>
      <c r="RB2929" s="43"/>
      <c r="RC2929" s="43"/>
      <c r="RD2929" s="43"/>
      <c r="RE2929" s="43"/>
      <c r="RF2929" s="43"/>
      <c r="RG2929" s="43"/>
      <c r="RH2929" s="43"/>
      <c r="RI2929" s="43"/>
      <c r="RJ2929" s="43"/>
      <c r="RK2929" s="43"/>
      <c r="RL2929" s="43"/>
      <c r="RM2929" s="43"/>
      <c r="RN2929" s="43"/>
      <c r="RO2929" s="43"/>
      <c r="RP2929" s="43"/>
      <c r="RQ2929" s="43"/>
      <c r="RR2929" s="43"/>
      <c r="RS2929" s="43"/>
      <c r="RT2929" s="43"/>
      <c r="RU2929" s="43"/>
      <c r="RV2929" s="43"/>
      <c r="RW2929" s="43"/>
      <c r="RX2929" s="43"/>
      <c r="RY2929" s="43"/>
      <c r="RZ2929" s="43"/>
      <c r="SA2929" s="43"/>
      <c r="SB2929" s="43"/>
      <c r="SC2929" s="43"/>
      <c r="SD2929" s="43"/>
      <c r="SE2929" s="43"/>
      <c r="SF2929" s="43"/>
      <c r="SG2929" s="43"/>
      <c r="SH2929" s="43"/>
      <c r="SI2929" s="43"/>
      <c r="SJ2929" s="43"/>
      <c r="SK2929" s="43"/>
      <c r="SL2929" s="43"/>
      <c r="SM2929" s="43"/>
      <c r="SN2929" s="43"/>
      <c r="SO2929" s="43"/>
      <c r="SP2929" s="43"/>
      <c r="SQ2929" s="43"/>
      <c r="SR2929" s="43"/>
      <c r="SS2929" s="43"/>
      <c r="ST2929" s="43"/>
      <c r="SU2929" s="43"/>
      <c r="SV2929" s="43"/>
      <c r="SW2929" s="43"/>
      <c r="SX2929" s="43"/>
      <c r="SY2929" s="43"/>
      <c r="SZ2929" s="43"/>
      <c r="TA2929" s="43"/>
      <c r="TB2929" s="43"/>
      <c r="TC2929" s="43"/>
      <c r="TD2929" s="43"/>
      <c r="TE2929" s="43"/>
      <c r="TF2929" s="43"/>
      <c r="TG2929" s="43"/>
      <c r="TH2929" s="43"/>
      <c r="TI2929" s="43"/>
      <c r="TJ2929" s="43"/>
      <c r="TK2929" s="43"/>
      <c r="TL2929" s="43"/>
      <c r="TM2929" s="43"/>
      <c r="TN2929" s="43"/>
      <c r="TO2929" s="43"/>
      <c r="TP2929" s="43"/>
      <c r="TQ2929" s="43"/>
      <c r="TR2929" s="43"/>
      <c r="TS2929" s="43"/>
      <c r="TT2929" s="43"/>
      <c r="TU2929" s="43"/>
      <c r="TV2929" s="43"/>
      <c r="TW2929" s="43"/>
      <c r="TX2929" s="43"/>
      <c r="TY2929" s="43"/>
      <c r="TZ2929" s="43"/>
      <c r="UA2929" s="43"/>
      <c r="UB2929" s="43"/>
      <c r="UC2929" s="43"/>
      <c r="UD2929" s="43"/>
      <c r="UE2929" s="43"/>
      <c r="UF2929" s="43"/>
      <c r="UG2929" s="43"/>
      <c r="UH2929" s="43"/>
      <c r="UI2929" s="43"/>
      <c r="UJ2929" s="43"/>
      <c r="UK2929" s="43"/>
      <c r="UL2929" s="43"/>
      <c r="UM2929" s="43"/>
      <c r="UN2929" s="43"/>
      <c r="UO2929" s="43"/>
      <c r="UP2929" s="43"/>
      <c r="UQ2929" s="43"/>
      <c r="UR2929" s="43"/>
      <c r="US2929" s="43"/>
      <c r="UT2929" s="43"/>
      <c r="UU2929" s="43"/>
      <c r="UV2929" s="43"/>
      <c r="UW2929" s="43"/>
      <c r="UX2929" s="43"/>
      <c r="UY2929" s="43"/>
      <c r="UZ2929" s="43"/>
      <c r="VA2929" s="43"/>
      <c r="VB2929" s="43"/>
      <c r="VC2929" s="43"/>
      <c r="VD2929" s="43"/>
      <c r="VE2929" s="43"/>
      <c r="VF2929" s="43"/>
      <c r="VG2929" s="43"/>
      <c r="VH2929" s="43"/>
      <c r="VI2929" s="43"/>
    </row>
    <row r="2930" spans="1:581" s="7" customFormat="1" x14ac:dyDescent="0.35">
      <c r="A2930" s="113"/>
      <c r="B2930" s="27"/>
      <c r="C2930" s="48"/>
      <c r="D2930" s="27"/>
      <c r="E2930" s="38"/>
      <c r="F2930" s="27"/>
      <c r="G2930" s="27"/>
      <c r="H2930" s="99"/>
      <c r="M2930" s="27"/>
      <c r="N2930" s="48"/>
      <c r="LA2930" s="43"/>
      <c r="LB2930" s="43"/>
      <c r="LC2930" s="43"/>
      <c r="LD2930" s="43"/>
      <c r="LE2930" s="43"/>
      <c r="LF2930" s="43"/>
      <c r="LG2930" s="43"/>
      <c r="LH2930" s="43"/>
      <c r="LI2930" s="43"/>
      <c r="LJ2930" s="43"/>
      <c r="LK2930" s="43"/>
      <c r="LL2930" s="43"/>
      <c r="LM2930" s="43"/>
      <c r="LN2930" s="43"/>
      <c r="LO2930" s="43"/>
      <c r="LP2930" s="43"/>
      <c r="LQ2930" s="43"/>
      <c r="LR2930" s="43"/>
      <c r="LS2930" s="43"/>
      <c r="LT2930" s="43"/>
      <c r="LU2930" s="43"/>
      <c r="LV2930" s="43"/>
      <c r="LW2930" s="43"/>
      <c r="LX2930" s="43"/>
      <c r="LY2930" s="43"/>
      <c r="LZ2930" s="43"/>
      <c r="MA2930" s="43"/>
      <c r="MB2930" s="43"/>
      <c r="MC2930" s="43"/>
      <c r="MD2930" s="43"/>
      <c r="ME2930" s="43"/>
      <c r="MF2930" s="43"/>
      <c r="MG2930" s="43"/>
      <c r="MH2930" s="43"/>
      <c r="MI2930" s="43"/>
      <c r="MJ2930" s="43"/>
      <c r="MK2930" s="43"/>
      <c r="ML2930" s="43"/>
      <c r="MM2930" s="43"/>
      <c r="MN2930" s="43"/>
      <c r="MO2930" s="43"/>
      <c r="MP2930" s="43"/>
      <c r="MQ2930" s="43"/>
      <c r="MR2930" s="43"/>
      <c r="MS2930" s="43"/>
      <c r="MT2930" s="43"/>
      <c r="MU2930" s="43"/>
      <c r="MV2930" s="43"/>
      <c r="MW2930" s="43"/>
      <c r="MX2930" s="43"/>
      <c r="MY2930" s="43"/>
      <c r="MZ2930" s="43"/>
      <c r="NA2930" s="43"/>
      <c r="NB2930" s="43"/>
      <c r="NC2930" s="43"/>
      <c r="ND2930" s="43"/>
      <c r="NE2930" s="43"/>
      <c r="NF2930" s="43"/>
      <c r="NG2930" s="43"/>
      <c r="NH2930" s="43"/>
      <c r="NI2930" s="43"/>
      <c r="NJ2930" s="43"/>
      <c r="NK2930" s="43"/>
      <c r="NL2930" s="43"/>
      <c r="NM2930" s="43"/>
      <c r="NN2930" s="43"/>
      <c r="NO2930" s="43"/>
      <c r="NP2930" s="43"/>
      <c r="NQ2930" s="43"/>
      <c r="NR2930" s="43"/>
      <c r="NS2930" s="43"/>
      <c r="NT2930" s="43"/>
      <c r="NU2930" s="43"/>
      <c r="NV2930" s="43"/>
      <c r="NW2930" s="43"/>
      <c r="NX2930" s="43"/>
      <c r="NY2930" s="43"/>
      <c r="NZ2930" s="43"/>
      <c r="OA2930" s="43"/>
      <c r="OB2930" s="43"/>
      <c r="OC2930" s="43"/>
      <c r="OD2930" s="43"/>
      <c r="OE2930" s="43"/>
      <c r="OF2930" s="43"/>
      <c r="OG2930" s="43"/>
      <c r="OH2930" s="43"/>
      <c r="OI2930" s="43"/>
      <c r="OJ2930" s="43"/>
      <c r="OK2930" s="43"/>
      <c r="OL2930" s="43"/>
      <c r="OM2930" s="43"/>
      <c r="ON2930" s="43"/>
      <c r="OO2930" s="43"/>
      <c r="OP2930" s="43"/>
      <c r="OQ2930" s="43"/>
      <c r="OR2930" s="43"/>
      <c r="OS2930" s="43"/>
      <c r="OT2930" s="43"/>
      <c r="OU2930" s="43"/>
      <c r="OV2930" s="43"/>
      <c r="OW2930" s="43"/>
      <c r="OX2930" s="43"/>
      <c r="OY2930" s="43"/>
      <c r="OZ2930" s="43"/>
      <c r="PA2930" s="43"/>
      <c r="PB2930" s="43"/>
      <c r="PC2930" s="43"/>
      <c r="PD2930" s="43"/>
      <c r="PE2930" s="43"/>
      <c r="PF2930" s="43"/>
      <c r="PG2930" s="43"/>
      <c r="PH2930" s="43"/>
      <c r="PI2930" s="43"/>
      <c r="PJ2930" s="43"/>
      <c r="PK2930" s="43"/>
      <c r="PL2930" s="43"/>
      <c r="PM2930" s="43"/>
      <c r="PN2930" s="43"/>
      <c r="PO2930" s="43"/>
      <c r="PP2930" s="43"/>
      <c r="PQ2930" s="43"/>
      <c r="PR2930" s="43"/>
      <c r="PS2930" s="43"/>
      <c r="PT2930" s="43"/>
      <c r="PU2930" s="43"/>
      <c r="PV2930" s="43"/>
      <c r="PW2930" s="43"/>
      <c r="PX2930" s="43"/>
      <c r="PY2930" s="43"/>
      <c r="PZ2930" s="43"/>
      <c r="QA2930" s="43"/>
      <c r="QB2930" s="43"/>
      <c r="QC2930" s="43"/>
      <c r="QD2930" s="43"/>
      <c r="QE2930" s="43"/>
      <c r="QF2930" s="43"/>
      <c r="QG2930" s="43"/>
      <c r="QH2930" s="43"/>
      <c r="QI2930" s="43"/>
      <c r="QJ2930" s="43"/>
      <c r="QK2930" s="43"/>
      <c r="QL2930" s="43"/>
      <c r="QM2930" s="43"/>
      <c r="QN2930" s="43"/>
      <c r="QO2930" s="43"/>
      <c r="QP2930" s="43"/>
      <c r="QQ2930" s="43"/>
      <c r="QR2930" s="43"/>
      <c r="QS2930" s="43"/>
      <c r="QT2930" s="43"/>
      <c r="QU2930" s="43"/>
      <c r="QV2930" s="43"/>
      <c r="QW2930" s="43"/>
      <c r="QX2930" s="43"/>
      <c r="QY2930" s="43"/>
      <c r="QZ2930" s="43"/>
      <c r="RA2930" s="43"/>
      <c r="RB2930" s="43"/>
      <c r="RC2930" s="43"/>
      <c r="RD2930" s="43"/>
      <c r="RE2930" s="43"/>
      <c r="RF2930" s="43"/>
      <c r="RG2930" s="43"/>
      <c r="RH2930" s="43"/>
      <c r="RI2930" s="43"/>
      <c r="RJ2930" s="43"/>
      <c r="RK2930" s="43"/>
      <c r="RL2930" s="43"/>
      <c r="RM2930" s="43"/>
      <c r="RN2930" s="43"/>
      <c r="RO2930" s="43"/>
      <c r="RP2930" s="43"/>
      <c r="RQ2930" s="43"/>
      <c r="RR2930" s="43"/>
      <c r="RS2930" s="43"/>
      <c r="RT2930" s="43"/>
      <c r="RU2930" s="43"/>
      <c r="RV2930" s="43"/>
      <c r="RW2930" s="43"/>
      <c r="RX2930" s="43"/>
      <c r="RY2930" s="43"/>
      <c r="RZ2930" s="43"/>
      <c r="SA2930" s="43"/>
      <c r="SB2930" s="43"/>
      <c r="SC2930" s="43"/>
      <c r="SD2930" s="43"/>
      <c r="SE2930" s="43"/>
      <c r="SF2930" s="43"/>
      <c r="SG2930" s="43"/>
      <c r="SH2930" s="43"/>
      <c r="SI2930" s="43"/>
      <c r="SJ2930" s="43"/>
      <c r="SK2930" s="43"/>
      <c r="SL2930" s="43"/>
      <c r="SM2930" s="43"/>
      <c r="SN2930" s="43"/>
      <c r="SO2930" s="43"/>
      <c r="SP2930" s="43"/>
      <c r="SQ2930" s="43"/>
      <c r="SR2930" s="43"/>
      <c r="SS2930" s="43"/>
      <c r="ST2930" s="43"/>
      <c r="SU2930" s="43"/>
      <c r="SV2930" s="43"/>
      <c r="SW2930" s="43"/>
      <c r="SX2930" s="43"/>
      <c r="SY2930" s="43"/>
      <c r="SZ2930" s="43"/>
      <c r="TA2930" s="43"/>
      <c r="TB2930" s="43"/>
      <c r="TC2930" s="43"/>
      <c r="TD2930" s="43"/>
      <c r="TE2930" s="43"/>
      <c r="TF2930" s="43"/>
      <c r="TG2930" s="43"/>
      <c r="TH2930" s="43"/>
      <c r="TI2930" s="43"/>
      <c r="TJ2930" s="43"/>
      <c r="TK2930" s="43"/>
      <c r="TL2930" s="43"/>
      <c r="TM2930" s="43"/>
      <c r="TN2930" s="43"/>
      <c r="TO2930" s="43"/>
      <c r="TP2930" s="43"/>
      <c r="TQ2930" s="43"/>
      <c r="TR2930" s="43"/>
      <c r="TS2930" s="43"/>
      <c r="TT2930" s="43"/>
      <c r="TU2930" s="43"/>
      <c r="TV2930" s="43"/>
      <c r="TW2930" s="43"/>
      <c r="TX2930" s="43"/>
      <c r="TY2930" s="43"/>
      <c r="TZ2930" s="43"/>
      <c r="UA2930" s="43"/>
      <c r="UB2930" s="43"/>
      <c r="UC2930" s="43"/>
      <c r="UD2930" s="43"/>
      <c r="UE2930" s="43"/>
      <c r="UF2930" s="43"/>
      <c r="UG2930" s="43"/>
      <c r="UH2930" s="43"/>
      <c r="UI2930" s="43"/>
      <c r="UJ2930" s="43"/>
      <c r="UK2930" s="43"/>
      <c r="UL2930" s="43"/>
      <c r="UM2930" s="43"/>
      <c r="UN2930" s="43"/>
      <c r="UO2930" s="43"/>
      <c r="UP2930" s="43"/>
      <c r="UQ2930" s="43"/>
      <c r="UR2930" s="43"/>
      <c r="US2930" s="43"/>
      <c r="UT2930" s="43"/>
      <c r="UU2930" s="43"/>
      <c r="UV2930" s="43"/>
      <c r="UW2930" s="43"/>
      <c r="UX2930" s="43"/>
      <c r="UY2930" s="43"/>
      <c r="UZ2930" s="43"/>
      <c r="VA2930" s="43"/>
      <c r="VB2930" s="43"/>
      <c r="VC2930" s="43"/>
      <c r="VD2930" s="43"/>
      <c r="VE2930" s="43"/>
      <c r="VF2930" s="43"/>
      <c r="VG2930" s="43"/>
      <c r="VH2930" s="43"/>
      <c r="VI2930" s="43"/>
    </row>
    <row r="2931" spans="1:581" s="7" customFormat="1" x14ac:dyDescent="0.35">
      <c r="A2931" s="113"/>
      <c r="B2931" s="27"/>
      <c r="C2931" s="48"/>
      <c r="D2931" s="27"/>
      <c r="E2931" s="38"/>
      <c r="F2931" s="27"/>
      <c r="G2931" s="27"/>
      <c r="H2931" s="99"/>
      <c r="M2931" s="27"/>
      <c r="N2931" s="48"/>
      <c r="LA2931" s="43"/>
      <c r="LB2931" s="43"/>
      <c r="LC2931" s="43"/>
      <c r="LD2931" s="43"/>
      <c r="LE2931" s="43"/>
      <c r="LF2931" s="43"/>
      <c r="LG2931" s="43"/>
      <c r="LH2931" s="43"/>
      <c r="LI2931" s="43"/>
      <c r="LJ2931" s="43"/>
      <c r="LK2931" s="43"/>
      <c r="LL2931" s="43"/>
      <c r="LM2931" s="43"/>
      <c r="LN2931" s="43"/>
      <c r="LO2931" s="43"/>
      <c r="LP2931" s="43"/>
      <c r="LQ2931" s="43"/>
      <c r="LR2931" s="43"/>
      <c r="LS2931" s="43"/>
      <c r="LT2931" s="43"/>
      <c r="LU2931" s="43"/>
      <c r="LV2931" s="43"/>
      <c r="LW2931" s="43"/>
      <c r="LX2931" s="43"/>
      <c r="LY2931" s="43"/>
      <c r="LZ2931" s="43"/>
      <c r="MA2931" s="43"/>
      <c r="MB2931" s="43"/>
      <c r="MC2931" s="43"/>
      <c r="MD2931" s="43"/>
      <c r="ME2931" s="43"/>
      <c r="MF2931" s="43"/>
      <c r="MG2931" s="43"/>
      <c r="MH2931" s="43"/>
      <c r="MI2931" s="43"/>
      <c r="MJ2931" s="43"/>
      <c r="MK2931" s="43"/>
      <c r="ML2931" s="43"/>
      <c r="MM2931" s="43"/>
      <c r="MN2931" s="43"/>
      <c r="MO2931" s="43"/>
      <c r="MP2931" s="43"/>
      <c r="MQ2931" s="43"/>
      <c r="MR2931" s="43"/>
      <c r="MS2931" s="43"/>
      <c r="MT2931" s="43"/>
      <c r="MU2931" s="43"/>
      <c r="MV2931" s="43"/>
      <c r="MW2931" s="43"/>
      <c r="MX2931" s="43"/>
      <c r="MY2931" s="43"/>
      <c r="MZ2931" s="43"/>
      <c r="NA2931" s="43"/>
      <c r="NB2931" s="43"/>
      <c r="NC2931" s="43"/>
      <c r="ND2931" s="43"/>
      <c r="NE2931" s="43"/>
      <c r="NF2931" s="43"/>
      <c r="NG2931" s="43"/>
      <c r="NH2931" s="43"/>
      <c r="NI2931" s="43"/>
      <c r="NJ2931" s="43"/>
      <c r="NK2931" s="43"/>
      <c r="NL2931" s="43"/>
      <c r="NM2931" s="43"/>
      <c r="NN2931" s="43"/>
      <c r="NO2931" s="43"/>
      <c r="NP2931" s="43"/>
      <c r="NQ2931" s="43"/>
      <c r="NR2931" s="43"/>
      <c r="NS2931" s="43"/>
      <c r="NT2931" s="43"/>
      <c r="NU2931" s="43"/>
      <c r="NV2931" s="43"/>
      <c r="NW2931" s="43"/>
      <c r="NX2931" s="43"/>
      <c r="NY2931" s="43"/>
      <c r="NZ2931" s="43"/>
      <c r="OA2931" s="43"/>
      <c r="OB2931" s="43"/>
      <c r="OC2931" s="43"/>
      <c r="OD2931" s="43"/>
      <c r="OE2931" s="43"/>
      <c r="OF2931" s="43"/>
      <c r="OG2931" s="43"/>
      <c r="OH2931" s="43"/>
      <c r="OI2931" s="43"/>
      <c r="OJ2931" s="43"/>
      <c r="OK2931" s="43"/>
      <c r="OL2931" s="43"/>
      <c r="OM2931" s="43"/>
      <c r="ON2931" s="43"/>
      <c r="OO2931" s="43"/>
      <c r="OP2931" s="43"/>
      <c r="OQ2931" s="43"/>
      <c r="OR2931" s="43"/>
      <c r="OS2931" s="43"/>
      <c r="OT2931" s="43"/>
      <c r="OU2931" s="43"/>
      <c r="OV2931" s="43"/>
      <c r="OW2931" s="43"/>
      <c r="OX2931" s="43"/>
      <c r="OY2931" s="43"/>
      <c r="OZ2931" s="43"/>
      <c r="PA2931" s="43"/>
      <c r="PB2931" s="43"/>
      <c r="PC2931" s="43"/>
      <c r="PD2931" s="43"/>
      <c r="PE2931" s="43"/>
      <c r="PF2931" s="43"/>
      <c r="PG2931" s="43"/>
      <c r="PH2931" s="43"/>
      <c r="PI2931" s="43"/>
      <c r="PJ2931" s="43"/>
      <c r="PK2931" s="43"/>
      <c r="PL2931" s="43"/>
      <c r="PM2931" s="43"/>
      <c r="PN2931" s="43"/>
      <c r="PO2931" s="43"/>
      <c r="PP2931" s="43"/>
      <c r="PQ2931" s="43"/>
      <c r="PR2931" s="43"/>
      <c r="PS2931" s="43"/>
      <c r="PT2931" s="43"/>
      <c r="PU2931" s="43"/>
      <c r="PV2931" s="43"/>
      <c r="PW2931" s="43"/>
      <c r="PX2931" s="43"/>
      <c r="PY2931" s="43"/>
      <c r="PZ2931" s="43"/>
      <c r="QA2931" s="43"/>
      <c r="QB2931" s="43"/>
      <c r="QC2931" s="43"/>
      <c r="QD2931" s="43"/>
      <c r="QE2931" s="43"/>
      <c r="QF2931" s="43"/>
      <c r="QG2931" s="43"/>
      <c r="QH2931" s="43"/>
      <c r="QI2931" s="43"/>
      <c r="QJ2931" s="43"/>
      <c r="QK2931" s="43"/>
      <c r="QL2931" s="43"/>
      <c r="QM2931" s="43"/>
      <c r="QN2931" s="43"/>
      <c r="QO2931" s="43"/>
      <c r="QP2931" s="43"/>
      <c r="QQ2931" s="43"/>
      <c r="QR2931" s="43"/>
      <c r="QS2931" s="43"/>
      <c r="QT2931" s="43"/>
      <c r="QU2931" s="43"/>
      <c r="QV2931" s="43"/>
      <c r="QW2931" s="43"/>
      <c r="QX2931" s="43"/>
      <c r="QY2931" s="43"/>
      <c r="QZ2931" s="43"/>
      <c r="RA2931" s="43"/>
      <c r="RB2931" s="43"/>
      <c r="RC2931" s="43"/>
      <c r="RD2931" s="43"/>
      <c r="RE2931" s="43"/>
      <c r="RF2931" s="43"/>
      <c r="RG2931" s="43"/>
      <c r="RH2931" s="43"/>
      <c r="RI2931" s="43"/>
      <c r="RJ2931" s="43"/>
      <c r="RK2931" s="43"/>
      <c r="RL2931" s="43"/>
      <c r="RM2931" s="43"/>
      <c r="RN2931" s="43"/>
      <c r="RO2931" s="43"/>
      <c r="RP2931" s="43"/>
      <c r="RQ2931" s="43"/>
      <c r="RR2931" s="43"/>
      <c r="RS2931" s="43"/>
      <c r="RT2931" s="43"/>
      <c r="RU2931" s="43"/>
      <c r="RV2931" s="43"/>
      <c r="RW2931" s="43"/>
      <c r="RX2931" s="43"/>
      <c r="RY2931" s="43"/>
      <c r="RZ2931" s="43"/>
      <c r="SA2931" s="43"/>
      <c r="SB2931" s="43"/>
      <c r="SC2931" s="43"/>
      <c r="SD2931" s="43"/>
      <c r="SE2931" s="43"/>
      <c r="SF2931" s="43"/>
      <c r="SG2931" s="43"/>
      <c r="SH2931" s="43"/>
      <c r="SI2931" s="43"/>
      <c r="SJ2931" s="43"/>
      <c r="SK2931" s="43"/>
      <c r="SL2931" s="43"/>
      <c r="SM2931" s="43"/>
      <c r="SN2931" s="43"/>
      <c r="SO2931" s="43"/>
      <c r="SP2931" s="43"/>
      <c r="SQ2931" s="43"/>
      <c r="SR2931" s="43"/>
      <c r="SS2931" s="43"/>
      <c r="ST2931" s="43"/>
      <c r="SU2931" s="43"/>
      <c r="SV2931" s="43"/>
      <c r="SW2931" s="43"/>
      <c r="SX2931" s="43"/>
      <c r="SY2931" s="43"/>
      <c r="SZ2931" s="43"/>
      <c r="TA2931" s="43"/>
      <c r="TB2931" s="43"/>
      <c r="TC2931" s="43"/>
      <c r="TD2931" s="43"/>
      <c r="TE2931" s="43"/>
      <c r="TF2931" s="43"/>
      <c r="TG2931" s="43"/>
      <c r="TH2931" s="43"/>
      <c r="TI2931" s="43"/>
      <c r="TJ2931" s="43"/>
      <c r="TK2931" s="43"/>
      <c r="TL2931" s="43"/>
      <c r="TM2931" s="43"/>
      <c r="TN2931" s="43"/>
      <c r="TO2931" s="43"/>
      <c r="TP2931" s="43"/>
      <c r="TQ2931" s="43"/>
      <c r="TR2931" s="43"/>
      <c r="TS2931" s="43"/>
      <c r="TT2931" s="43"/>
      <c r="TU2931" s="43"/>
      <c r="TV2931" s="43"/>
      <c r="TW2931" s="43"/>
      <c r="TX2931" s="43"/>
      <c r="TY2931" s="43"/>
      <c r="TZ2931" s="43"/>
      <c r="UA2931" s="43"/>
      <c r="UB2931" s="43"/>
      <c r="UC2931" s="43"/>
      <c r="UD2931" s="43"/>
      <c r="UE2931" s="43"/>
      <c r="UF2931" s="43"/>
      <c r="UG2931" s="43"/>
      <c r="UH2931" s="43"/>
      <c r="UI2931" s="43"/>
      <c r="UJ2931" s="43"/>
      <c r="UK2931" s="43"/>
      <c r="UL2931" s="43"/>
      <c r="UM2931" s="43"/>
      <c r="UN2931" s="43"/>
      <c r="UO2931" s="43"/>
      <c r="UP2931" s="43"/>
      <c r="UQ2931" s="43"/>
      <c r="UR2931" s="43"/>
      <c r="US2931" s="43"/>
      <c r="UT2931" s="43"/>
      <c r="UU2931" s="43"/>
      <c r="UV2931" s="43"/>
      <c r="UW2931" s="43"/>
      <c r="UX2931" s="43"/>
      <c r="UY2931" s="43"/>
      <c r="UZ2931" s="43"/>
      <c r="VA2931" s="43"/>
      <c r="VB2931" s="43"/>
      <c r="VC2931" s="43"/>
      <c r="VD2931" s="43"/>
      <c r="VE2931" s="43"/>
      <c r="VF2931" s="43"/>
      <c r="VG2931" s="43"/>
      <c r="VH2931" s="43"/>
      <c r="VI2931" s="43"/>
    </row>
    <row r="2932" spans="1:581" s="7" customFormat="1" x14ac:dyDescent="0.35">
      <c r="A2932" s="113"/>
      <c r="B2932" s="27"/>
      <c r="C2932" s="48"/>
      <c r="D2932" s="27"/>
      <c r="E2932" s="38"/>
      <c r="F2932" s="27"/>
      <c r="G2932" s="27"/>
      <c r="H2932" s="99"/>
      <c r="M2932" s="27"/>
      <c r="N2932" s="48"/>
      <c r="LA2932" s="43"/>
      <c r="LB2932" s="43"/>
      <c r="LC2932" s="43"/>
      <c r="LD2932" s="43"/>
      <c r="LE2932" s="43"/>
      <c r="LF2932" s="43"/>
      <c r="LG2932" s="43"/>
      <c r="LH2932" s="43"/>
      <c r="LI2932" s="43"/>
      <c r="LJ2932" s="43"/>
      <c r="LK2932" s="43"/>
      <c r="LL2932" s="43"/>
      <c r="LM2932" s="43"/>
      <c r="LN2932" s="43"/>
      <c r="LO2932" s="43"/>
      <c r="LP2932" s="43"/>
      <c r="LQ2932" s="43"/>
      <c r="LR2932" s="43"/>
      <c r="LS2932" s="43"/>
      <c r="LT2932" s="43"/>
      <c r="LU2932" s="43"/>
      <c r="LV2932" s="43"/>
      <c r="LW2932" s="43"/>
      <c r="LX2932" s="43"/>
      <c r="LY2932" s="43"/>
      <c r="LZ2932" s="43"/>
      <c r="MA2932" s="43"/>
      <c r="MB2932" s="43"/>
      <c r="MC2932" s="43"/>
      <c r="MD2932" s="43"/>
      <c r="ME2932" s="43"/>
      <c r="MF2932" s="43"/>
      <c r="MG2932" s="43"/>
      <c r="MH2932" s="43"/>
      <c r="MI2932" s="43"/>
      <c r="MJ2932" s="43"/>
      <c r="MK2932" s="43"/>
      <c r="ML2932" s="43"/>
      <c r="MM2932" s="43"/>
      <c r="MN2932" s="43"/>
      <c r="MO2932" s="43"/>
      <c r="MP2932" s="43"/>
      <c r="MQ2932" s="43"/>
      <c r="MR2932" s="43"/>
      <c r="MS2932" s="43"/>
      <c r="MT2932" s="43"/>
      <c r="MU2932" s="43"/>
      <c r="MV2932" s="43"/>
      <c r="MW2932" s="43"/>
      <c r="MX2932" s="43"/>
      <c r="MY2932" s="43"/>
      <c r="MZ2932" s="43"/>
      <c r="NA2932" s="43"/>
      <c r="NB2932" s="43"/>
      <c r="NC2932" s="43"/>
      <c r="ND2932" s="43"/>
      <c r="NE2932" s="43"/>
      <c r="NF2932" s="43"/>
      <c r="NG2932" s="43"/>
      <c r="NH2932" s="43"/>
      <c r="NI2932" s="43"/>
      <c r="NJ2932" s="43"/>
      <c r="NK2932" s="43"/>
      <c r="NL2932" s="43"/>
      <c r="NM2932" s="43"/>
      <c r="NN2932" s="43"/>
      <c r="NO2932" s="43"/>
      <c r="NP2932" s="43"/>
      <c r="NQ2932" s="43"/>
      <c r="NR2932" s="43"/>
      <c r="NS2932" s="43"/>
      <c r="NT2932" s="43"/>
      <c r="NU2932" s="43"/>
      <c r="NV2932" s="43"/>
      <c r="NW2932" s="43"/>
      <c r="NX2932" s="43"/>
      <c r="NY2932" s="43"/>
      <c r="NZ2932" s="43"/>
      <c r="OA2932" s="43"/>
      <c r="OB2932" s="43"/>
      <c r="OC2932" s="43"/>
      <c r="OD2932" s="43"/>
      <c r="OE2932" s="43"/>
      <c r="OF2932" s="43"/>
      <c r="OG2932" s="43"/>
      <c r="OH2932" s="43"/>
      <c r="OI2932" s="43"/>
      <c r="OJ2932" s="43"/>
      <c r="OK2932" s="43"/>
      <c r="OL2932" s="43"/>
      <c r="OM2932" s="43"/>
      <c r="ON2932" s="43"/>
      <c r="OO2932" s="43"/>
      <c r="OP2932" s="43"/>
      <c r="OQ2932" s="43"/>
      <c r="OR2932" s="43"/>
      <c r="OS2932" s="43"/>
      <c r="OT2932" s="43"/>
      <c r="OU2932" s="43"/>
      <c r="OV2932" s="43"/>
      <c r="OW2932" s="43"/>
      <c r="OX2932" s="43"/>
      <c r="OY2932" s="43"/>
      <c r="OZ2932" s="43"/>
      <c r="PA2932" s="43"/>
      <c r="PB2932" s="43"/>
      <c r="PC2932" s="43"/>
      <c r="PD2932" s="43"/>
      <c r="PE2932" s="43"/>
      <c r="PF2932" s="43"/>
      <c r="PG2932" s="43"/>
      <c r="PH2932" s="43"/>
      <c r="PI2932" s="43"/>
      <c r="PJ2932" s="43"/>
      <c r="PK2932" s="43"/>
      <c r="PL2932" s="43"/>
      <c r="PM2932" s="43"/>
      <c r="PN2932" s="43"/>
      <c r="PO2932" s="43"/>
      <c r="PP2932" s="43"/>
      <c r="PQ2932" s="43"/>
      <c r="PR2932" s="43"/>
      <c r="PS2932" s="43"/>
      <c r="PT2932" s="43"/>
      <c r="PU2932" s="43"/>
      <c r="PV2932" s="43"/>
      <c r="PW2932" s="43"/>
      <c r="PX2932" s="43"/>
      <c r="PY2932" s="43"/>
      <c r="PZ2932" s="43"/>
      <c r="QA2932" s="43"/>
      <c r="QB2932" s="43"/>
      <c r="QC2932" s="43"/>
      <c r="QD2932" s="43"/>
      <c r="QE2932" s="43"/>
      <c r="QF2932" s="43"/>
      <c r="QG2932" s="43"/>
      <c r="QH2932" s="43"/>
      <c r="QI2932" s="43"/>
      <c r="QJ2932" s="43"/>
      <c r="QK2932" s="43"/>
      <c r="QL2932" s="43"/>
      <c r="QM2932" s="43"/>
      <c r="QN2932" s="43"/>
      <c r="QO2932" s="43"/>
      <c r="QP2932" s="43"/>
      <c r="QQ2932" s="43"/>
      <c r="QR2932" s="43"/>
      <c r="QS2932" s="43"/>
      <c r="QT2932" s="43"/>
      <c r="QU2932" s="43"/>
      <c r="QV2932" s="43"/>
      <c r="QW2932" s="43"/>
      <c r="QX2932" s="43"/>
      <c r="QY2932" s="43"/>
      <c r="QZ2932" s="43"/>
      <c r="RA2932" s="43"/>
      <c r="RB2932" s="43"/>
      <c r="RC2932" s="43"/>
      <c r="RD2932" s="43"/>
      <c r="RE2932" s="43"/>
      <c r="RF2932" s="43"/>
      <c r="RG2932" s="43"/>
      <c r="RH2932" s="43"/>
      <c r="RI2932" s="43"/>
      <c r="RJ2932" s="43"/>
      <c r="RK2932" s="43"/>
      <c r="RL2932" s="43"/>
      <c r="RM2932" s="43"/>
      <c r="RN2932" s="43"/>
      <c r="RO2932" s="43"/>
      <c r="RP2932" s="43"/>
      <c r="RQ2932" s="43"/>
      <c r="RR2932" s="43"/>
      <c r="RS2932" s="43"/>
      <c r="RT2932" s="43"/>
      <c r="RU2932" s="43"/>
      <c r="RV2932" s="43"/>
      <c r="RW2932" s="43"/>
      <c r="RX2932" s="43"/>
      <c r="RY2932" s="43"/>
      <c r="RZ2932" s="43"/>
      <c r="SA2932" s="43"/>
      <c r="SB2932" s="43"/>
      <c r="SC2932" s="43"/>
      <c r="SD2932" s="43"/>
      <c r="SE2932" s="43"/>
      <c r="SF2932" s="43"/>
      <c r="SG2932" s="43"/>
      <c r="SH2932" s="43"/>
      <c r="SI2932" s="43"/>
      <c r="SJ2932" s="43"/>
      <c r="SK2932" s="43"/>
      <c r="SL2932" s="43"/>
      <c r="SM2932" s="43"/>
      <c r="SN2932" s="43"/>
      <c r="SO2932" s="43"/>
      <c r="SP2932" s="43"/>
      <c r="SQ2932" s="43"/>
      <c r="SR2932" s="43"/>
      <c r="SS2932" s="43"/>
      <c r="ST2932" s="43"/>
      <c r="SU2932" s="43"/>
      <c r="SV2932" s="43"/>
      <c r="SW2932" s="43"/>
      <c r="SX2932" s="43"/>
      <c r="SY2932" s="43"/>
      <c r="SZ2932" s="43"/>
      <c r="TA2932" s="43"/>
      <c r="TB2932" s="43"/>
      <c r="TC2932" s="43"/>
      <c r="TD2932" s="43"/>
      <c r="TE2932" s="43"/>
      <c r="TF2932" s="43"/>
      <c r="TG2932" s="43"/>
      <c r="TH2932" s="43"/>
      <c r="TI2932" s="43"/>
      <c r="TJ2932" s="43"/>
      <c r="TK2932" s="43"/>
      <c r="TL2932" s="43"/>
      <c r="TM2932" s="43"/>
      <c r="TN2932" s="43"/>
      <c r="TO2932" s="43"/>
      <c r="TP2932" s="43"/>
      <c r="TQ2932" s="43"/>
      <c r="TR2932" s="43"/>
      <c r="TS2932" s="43"/>
      <c r="TT2932" s="43"/>
      <c r="TU2932" s="43"/>
      <c r="TV2932" s="43"/>
      <c r="TW2932" s="43"/>
      <c r="TX2932" s="43"/>
      <c r="TY2932" s="43"/>
      <c r="TZ2932" s="43"/>
      <c r="UA2932" s="43"/>
      <c r="UB2932" s="43"/>
      <c r="UC2932" s="43"/>
      <c r="UD2932" s="43"/>
      <c r="UE2932" s="43"/>
      <c r="UF2932" s="43"/>
      <c r="UG2932" s="43"/>
      <c r="UH2932" s="43"/>
      <c r="UI2932" s="43"/>
      <c r="UJ2932" s="43"/>
      <c r="UK2932" s="43"/>
      <c r="UL2932" s="43"/>
      <c r="UM2932" s="43"/>
      <c r="UN2932" s="43"/>
      <c r="UO2932" s="43"/>
      <c r="UP2932" s="43"/>
      <c r="UQ2932" s="43"/>
      <c r="UR2932" s="43"/>
      <c r="US2932" s="43"/>
      <c r="UT2932" s="43"/>
      <c r="UU2932" s="43"/>
      <c r="UV2932" s="43"/>
      <c r="UW2932" s="43"/>
      <c r="UX2932" s="43"/>
      <c r="UY2932" s="43"/>
      <c r="UZ2932" s="43"/>
      <c r="VA2932" s="43"/>
      <c r="VB2932" s="43"/>
      <c r="VC2932" s="43"/>
      <c r="VD2932" s="43"/>
      <c r="VE2932" s="43"/>
      <c r="VF2932" s="43"/>
      <c r="VG2932" s="43"/>
      <c r="VH2932" s="43"/>
      <c r="VI2932" s="43"/>
    </row>
    <row r="2933" spans="1:581" s="7" customFormat="1" x14ac:dyDescent="0.35">
      <c r="A2933" s="113"/>
      <c r="B2933" s="27"/>
      <c r="C2933" s="48"/>
      <c r="D2933" s="27"/>
      <c r="E2933" s="38"/>
      <c r="F2933" s="27"/>
      <c r="G2933" s="27"/>
      <c r="H2933" s="99"/>
      <c r="M2933" s="27"/>
      <c r="N2933" s="48"/>
      <c r="LA2933" s="43"/>
      <c r="LB2933" s="43"/>
      <c r="LC2933" s="43"/>
      <c r="LD2933" s="43"/>
      <c r="LE2933" s="43"/>
      <c r="LF2933" s="43"/>
      <c r="LG2933" s="43"/>
      <c r="LH2933" s="43"/>
      <c r="LI2933" s="43"/>
      <c r="LJ2933" s="43"/>
      <c r="LK2933" s="43"/>
      <c r="LL2933" s="43"/>
      <c r="LM2933" s="43"/>
      <c r="LN2933" s="43"/>
      <c r="LO2933" s="43"/>
      <c r="LP2933" s="43"/>
      <c r="LQ2933" s="43"/>
      <c r="LR2933" s="43"/>
      <c r="LS2933" s="43"/>
      <c r="LT2933" s="43"/>
      <c r="LU2933" s="43"/>
      <c r="LV2933" s="43"/>
      <c r="LW2933" s="43"/>
      <c r="LX2933" s="43"/>
      <c r="LY2933" s="43"/>
      <c r="LZ2933" s="43"/>
      <c r="MA2933" s="43"/>
      <c r="MB2933" s="43"/>
      <c r="MC2933" s="43"/>
      <c r="MD2933" s="43"/>
      <c r="ME2933" s="43"/>
      <c r="MF2933" s="43"/>
      <c r="MG2933" s="43"/>
      <c r="MH2933" s="43"/>
      <c r="MI2933" s="43"/>
      <c r="MJ2933" s="43"/>
      <c r="MK2933" s="43"/>
      <c r="ML2933" s="43"/>
      <c r="MM2933" s="43"/>
      <c r="MN2933" s="43"/>
      <c r="MO2933" s="43"/>
      <c r="MP2933" s="43"/>
      <c r="MQ2933" s="43"/>
      <c r="MR2933" s="43"/>
      <c r="MS2933" s="43"/>
      <c r="MT2933" s="43"/>
      <c r="MU2933" s="43"/>
      <c r="MV2933" s="43"/>
      <c r="MW2933" s="43"/>
      <c r="MX2933" s="43"/>
      <c r="MY2933" s="43"/>
      <c r="MZ2933" s="43"/>
      <c r="NA2933" s="43"/>
      <c r="NB2933" s="43"/>
      <c r="NC2933" s="43"/>
      <c r="ND2933" s="43"/>
      <c r="NE2933" s="43"/>
      <c r="NF2933" s="43"/>
      <c r="NG2933" s="43"/>
      <c r="NH2933" s="43"/>
      <c r="NI2933" s="43"/>
      <c r="NJ2933" s="43"/>
      <c r="NK2933" s="43"/>
      <c r="NL2933" s="43"/>
      <c r="NM2933" s="43"/>
      <c r="NN2933" s="43"/>
      <c r="NO2933" s="43"/>
      <c r="NP2933" s="43"/>
      <c r="NQ2933" s="43"/>
      <c r="NR2933" s="43"/>
      <c r="NS2933" s="43"/>
      <c r="NT2933" s="43"/>
      <c r="NU2933" s="43"/>
      <c r="NV2933" s="43"/>
      <c r="NW2933" s="43"/>
      <c r="NX2933" s="43"/>
      <c r="NY2933" s="43"/>
      <c r="NZ2933" s="43"/>
      <c r="OA2933" s="43"/>
      <c r="OB2933" s="43"/>
      <c r="OC2933" s="43"/>
      <c r="OD2933" s="43"/>
      <c r="OE2933" s="43"/>
      <c r="OF2933" s="43"/>
      <c r="OG2933" s="43"/>
      <c r="OH2933" s="43"/>
      <c r="OI2933" s="43"/>
      <c r="OJ2933" s="43"/>
      <c r="OK2933" s="43"/>
      <c r="OL2933" s="43"/>
      <c r="OM2933" s="43"/>
      <c r="ON2933" s="43"/>
      <c r="OO2933" s="43"/>
      <c r="OP2933" s="43"/>
      <c r="OQ2933" s="43"/>
      <c r="OR2933" s="43"/>
      <c r="OS2933" s="43"/>
      <c r="OT2933" s="43"/>
      <c r="OU2933" s="43"/>
      <c r="OV2933" s="43"/>
      <c r="OW2933" s="43"/>
      <c r="OX2933" s="43"/>
      <c r="OY2933" s="43"/>
      <c r="OZ2933" s="43"/>
      <c r="PA2933" s="43"/>
      <c r="PB2933" s="43"/>
      <c r="PC2933" s="43"/>
      <c r="PD2933" s="43"/>
      <c r="PE2933" s="43"/>
      <c r="PF2933" s="43"/>
      <c r="PG2933" s="43"/>
      <c r="PH2933" s="43"/>
      <c r="PI2933" s="43"/>
      <c r="PJ2933" s="43"/>
      <c r="PK2933" s="43"/>
      <c r="PL2933" s="43"/>
      <c r="PM2933" s="43"/>
      <c r="PN2933" s="43"/>
      <c r="PO2933" s="43"/>
      <c r="PP2933" s="43"/>
      <c r="PQ2933" s="43"/>
      <c r="PR2933" s="43"/>
      <c r="PS2933" s="43"/>
      <c r="PT2933" s="43"/>
      <c r="PU2933" s="43"/>
      <c r="PV2933" s="43"/>
      <c r="PW2933" s="43"/>
      <c r="PX2933" s="43"/>
      <c r="PY2933" s="43"/>
      <c r="PZ2933" s="43"/>
      <c r="QA2933" s="43"/>
      <c r="QB2933" s="43"/>
      <c r="QC2933" s="43"/>
      <c r="QD2933" s="43"/>
      <c r="QE2933" s="43"/>
      <c r="QF2933" s="43"/>
      <c r="QG2933" s="43"/>
      <c r="QH2933" s="43"/>
      <c r="QI2933" s="43"/>
      <c r="QJ2933" s="43"/>
      <c r="QK2933" s="43"/>
      <c r="QL2933" s="43"/>
      <c r="QM2933" s="43"/>
      <c r="QN2933" s="43"/>
      <c r="QO2933" s="43"/>
      <c r="QP2933" s="43"/>
      <c r="QQ2933" s="43"/>
      <c r="QR2933" s="43"/>
      <c r="QS2933" s="43"/>
      <c r="QT2933" s="43"/>
      <c r="QU2933" s="43"/>
      <c r="QV2933" s="43"/>
      <c r="QW2933" s="43"/>
      <c r="QX2933" s="43"/>
      <c r="QY2933" s="43"/>
      <c r="QZ2933" s="43"/>
      <c r="RA2933" s="43"/>
      <c r="RB2933" s="43"/>
      <c r="RC2933" s="43"/>
      <c r="RD2933" s="43"/>
      <c r="RE2933" s="43"/>
      <c r="RF2933" s="43"/>
      <c r="RG2933" s="43"/>
      <c r="RH2933" s="43"/>
      <c r="RI2933" s="43"/>
      <c r="RJ2933" s="43"/>
      <c r="RK2933" s="43"/>
      <c r="RL2933" s="43"/>
      <c r="RM2933" s="43"/>
      <c r="RN2933" s="43"/>
      <c r="RO2933" s="43"/>
      <c r="RP2933" s="43"/>
      <c r="RQ2933" s="43"/>
      <c r="RR2933" s="43"/>
      <c r="RS2933" s="43"/>
      <c r="RT2933" s="43"/>
      <c r="RU2933" s="43"/>
      <c r="RV2933" s="43"/>
      <c r="RW2933" s="43"/>
      <c r="RX2933" s="43"/>
      <c r="RY2933" s="43"/>
      <c r="RZ2933" s="43"/>
      <c r="SA2933" s="43"/>
      <c r="SB2933" s="43"/>
      <c r="SC2933" s="43"/>
      <c r="SD2933" s="43"/>
      <c r="SE2933" s="43"/>
      <c r="SF2933" s="43"/>
      <c r="SG2933" s="43"/>
      <c r="SH2933" s="43"/>
      <c r="SI2933" s="43"/>
      <c r="SJ2933" s="43"/>
      <c r="SK2933" s="43"/>
      <c r="SL2933" s="43"/>
      <c r="SM2933" s="43"/>
      <c r="SN2933" s="43"/>
      <c r="SO2933" s="43"/>
      <c r="SP2933" s="43"/>
      <c r="SQ2933" s="43"/>
      <c r="SR2933" s="43"/>
      <c r="SS2933" s="43"/>
      <c r="ST2933" s="43"/>
      <c r="SU2933" s="43"/>
      <c r="SV2933" s="43"/>
      <c r="SW2933" s="43"/>
      <c r="SX2933" s="43"/>
      <c r="SY2933" s="43"/>
      <c r="SZ2933" s="43"/>
      <c r="TA2933" s="43"/>
      <c r="TB2933" s="43"/>
      <c r="TC2933" s="43"/>
      <c r="TD2933" s="43"/>
      <c r="TE2933" s="43"/>
      <c r="TF2933" s="43"/>
      <c r="TG2933" s="43"/>
      <c r="TH2933" s="43"/>
      <c r="TI2933" s="43"/>
      <c r="TJ2933" s="43"/>
      <c r="TK2933" s="43"/>
      <c r="TL2933" s="43"/>
      <c r="TM2933" s="43"/>
      <c r="TN2933" s="43"/>
      <c r="TO2933" s="43"/>
      <c r="TP2933" s="43"/>
      <c r="TQ2933" s="43"/>
      <c r="TR2933" s="43"/>
      <c r="TS2933" s="43"/>
      <c r="TT2933" s="43"/>
      <c r="TU2933" s="43"/>
      <c r="TV2933" s="43"/>
      <c r="TW2933" s="43"/>
      <c r="TX2933" s="43"/>
      <c r="TY2933" s="43"/>
      <c r="TZ2933" s="43"/>
      <c r="UA2933" s="43"/>
      <c r="UB2933" s="43"/>
      <c r="UC2933" s="43"/>
      <c r="UD2933" s="43"/>
      <c r="UE2933" s="43"/>
      <c r="UF2933" s="43"/>
      <c r="UG2933" s="43"/>
      <c r="UH2933" s="43"/>
      <c r="UI2933" s="43"/>
      <c r="UJ2933" s="43"/>
      <c r="UK2933" s="43"/>
      <c r="UL2933" s="43"/>
      <c r="UM2933" s="43"/>
      <c r="UN2933" s="43"/>
      <c r="UO2933" s="43"/>
      <c r="UP2933" s="43"/>
      <c r="UQ2933" s="43"/>
      <c r="UR2933" s="43"/>
      <c r="US2933" s="43"/>
      <c r="UT2933" s="43"/>
      <c r="UU2933" s="43"/>
      <c r="UV2933" s="43"/>
      <c r="UW2933" s="43"/>
      <c r="UX2933" s="43"/>
      <c r="UY2933" s="43"/>
      <c r="UZ2933" s="43"/>
      <c r="VA2933" s="43"/>
      <c r="VB2933" s="43"/>
      <c r="VC2933" s="43"/>
      <c r="VD2933" s="43"/>
      <c r="VE2933" s="43"/>
      <c r="VF2933" s="43"/>
      <c r="VG2933" s="43"/>
      <c r="VH2933" s="43"/>
      <c r="VI2933" s="43"/>
    </row>
    <row r="2934" spans="1:581" s="7" customFormat="1" x14ac:dyDescent="0.35">
      <c r="A2934" s="113"/>
      <c r="B2934" s="27"/>
      <c r="C2934" s="48"/>
      <c r="D2934" s="27"/>
      <c r="E2934" s="38"/>
      <c r="F2934" s="27"/>
      <c r="G2934" s="27"/>
      <c r="H2934" s="99"/>
      <c r="M2934" s="27"/>
      <c r="N2934" s="48"/>
      <c r="LA2934" s="43"/>
      <c r="LB2934" s="43"/>
      <c r="LC2934" s="43"/>
      <c r="LD2934" s="43"/>
      <c r="LE2934" s="43"/>
      <c r="LF2934" s="43"/>
      <c r="LG2934" s="43"/>
      <c r="LH2934" s="43"/>
      <c r="LI2934" s="43"/>
      <c r="LJ2934" s="43"/>
      <c r="LK2934" s="43"/>
      <c r="LL2934" s="43"/>
      <c r="LM2934" s="43"/>
      <c r="LN2934" s="43"/>
      <c r="LO2934" s="43"/>
      <c r="LP2934" s="43"/>
      <c r="LQ2934" s="43"/>
      <c r="LR2934" s="43"/>
      <c r="LS2934" s="43"/>
      <c r="LT2934" s="43"/>
      <c r="LU2934" s="43"/>
      <c r="LV2934" s="43"/>
      <c r="LW2934" s="43"/>
      <c r="LX2934" s="43"/>
      <c r="LY2934" s="43"/>
      <c r="LZ2934" s="43"/>
      <c r="MA2934" s="43"/>
      <c r="MB2934" s="43"/>
      <c r="MC2934" s="43"/>
      <c r="MD2934" s="43"/>
      <c r="ME2934" s="43"/>
      <c r="MF2934" s="43"/>
      <c r="MG2934" s="43"/>
      <c r="MH2934" s="43"/>
      <c r="MI2934" s="43"/>
      <c r="MJ2934" s="43"/>
      <c r="MK2934" s="43"/>
      <c r="ML2934" s="43"/>
      <c r="MM2934" s="43"/>
      <c r="MN2934" s="43"/>
      <c r="MO2934" s="43"/>
      <c r="MP2934" s="43"/>
      <c r="MQ2934" s="43"/>
      <c r="MR2934" s="43"/>
      <c r="MS2934" s="43"/>
      <c r="MT2934" s="43"/>
      <c r="MU2934" s="43"/>
      <c r="MV2934" s="43"/>
      <c r="MW2934" s="43"/>
      <c r="MX2934" s="43"/>
      <c r="MY2934" s="43"/>
      <c r="MZ2934" s="43"/>
      <c r="NA2934" s="43"/>
      <c r="NB2934" s="43"/>
      <c r="NC2934" s="43"/>
      <c r="ND2934" s="43"/>
      <c r="NE2934" s="43"/>
      <c r="NF2934" s="43"/>
      <c r="NG2934" s="43"/>
      <c r="NH2934" s="43"/>
      <c r="NI2934" s="43"/>
      <c r="NJ2934" s="43"/>
      <c r="NK2934" s="43"/>
      <c r="NL2934" s="43"/>
      <c r="NM2934" s="43"/>
      <c r="NN2934" s="43"/>
      <c r="NO2934" s="43"/>
      <c r="NP2934" s="43"/>
      <c r="NQ2934" s="43"/>
      <c r="NR2934" s="43"/>
      <c r="NS2934" s="43"/>
      <c r="NT2934" s="43"/>
      <c r="NU2934" s="43"/>
      <c r="NV2934" s="43"/>
      <c r="NW2934" s="43"/>
      <c r="NX2934" s="43"/>
      <c r="NY2934" s="43"/>
      <c r="NZ2934" s="43"/>
      <c r="OA2934" s="43"/>
      <c r="OB2934" s="43"/>
      <c r="OC2934" s="43"/>
      <c r="OD2934" s="43"/>
      <c r="OE2934" s="43"/>
      <c r="OF2934" s="43"/>
      <c r="OG2934" s="43"/>
      <c r="OH2934" s="43"/>
      <c r="OI2934" s="43"/>
      <c r="OJ2934" s="43"/>
      <c r="OK2934" s="43"/>
      <c r="OL2934" s="43"/>
      <c r="OM2934" s="43"/>
      <c r="ON2934" s="43"/>
      <c r="OO2934" s="43"/>
      <c r="OP2934" s="43"/>
      <c r="OQ2934" s="43"/>
      <c r="OR2934" s="43"/>
      <c r="OS2934" s="43"/>
      <c r="OT2934" s="43"/>
      <c r="OU2934" s="43"/>
      <c r="OV2934" s="43"/>
      <c r="OW2934" s="43"/>
      <c r="OX2934" s="43"/>
      <c r="OY2934" s="43"/>
      <c r="OZ2934" s="43"/>
      <c r="PA2934" s="43"/>
      <c r="PB2934" s="43"/>
      <c r="PC2934" s="43"/>
      <c r="PD2934" s="43"/>
      <c r="PE2934" s="43"/>
      <c r="PF2934" s="43"/>
      <c r="PG2934" s="43"/>
      <c r="PH2934" s="43"/>
      <c r="PI2934" s="43"/>
      <c r="PJ2934" s="43"/>
      <c r="PK2934" s="43"/>
      <c r="PL2934" s="43"/>
      <c r="PM2934" s="43"/>
      <c r="PN2934" s="43"/>
      <c r="PO2934" s="43"/>
      <c r="PP2934" s="43"/>
      <c r="PQ2934" s="43"/>
      <c r="PR2934" s="43"/>
      <c r="PS2934" s="43"/>
      <c r="PT2934" s="43"/>
      <c r="PU2934" s="43"/>
      <c r="PV2934" s="43"/>
      <c r="PW2934" s="43"/>
      <c r="PX2934" s="43"/>
      <c r="PY2934" s="43"/>
      <c r="PZ2934" s="43"/>
      <c r="QA2934" s="43"/>
      <c r="QB2934" s="43"/>
      <c r="QC2934" s="43"/>
      <c r="QD2934" s="43"/>
      <c r="QE2934" s="43"/>
      <c r="QF2934" s="43"/>
      <c r="QG2934" s="43"/>
      <c r="QH2934" s="43"/>
      <c r="QI2934" s="43"/>
      <c r="QJ2934" s="43"/>
      <c r="QK2934" s="43"/>
      <c r="QL2934" s="43"/>
      <c r="QM2934" s="43"/>
      <c r="QN2934" s="43"/>
      <c r="QO2934" s="43"/>
      <c r="QP2934" s="43"/>
      <c r="QQ2934" s="43"/>
      <c r="QR2934" s="43"/>
      <c r="QS2934" s="43"/>
      <c r="QT2934" s="43"/>
      <c r="QU2934" s="43"/>
      <c r="QV2934" s="43"/>
      <c r="QW2934" s="43"/>
      <c r="QX2934" s="43"/>
      <c r="QY2934" s="43"/>
      <c r="QZ2934" s="43"/>
      <c r="RA2934" s="43"/>
      <c r="RB2934" s="43"/>
      <c r="RC2934" s="43"/>
      <c r="RD2934" s="43"/>
      <c r="RE2934" s="43"/>
      <c r="RF2934" s="43"/>
      <c r="RG2934" s="43"/>
      <c r="RH2934" s="43"/>
      <c r="RI2934" s="43"/>
      <c r="RJ2934" s="43"/>
      <c r="RK2934" s="43"/>
      <c r="RL2934" s="43"/>
      <c r="RM2934" s="43"/>
      <c r="RN2934" s="43"/>
      <c r="RO2934" s="43"/>
      <c r="RP2934" s="43"/>
      <c r="RQ2934" s="43"/>
      <c r="RR2934" s="43"/>
      <c r="RS2934" s="43"/>
      <c r="RT2934" s="43"/>
      <c r="RU2934" s="43"/>
      <c r="RV2934" s="43"/>
      <c r="RW2934" s="43"/>
      <c r="RX2934" s="43"/>
      <c r="RY2934" s="43"/>
      <c r="RZ2934" s="43"/>
      <c r="SA2934" s="43"/>
      <c r="SB2934" s="43"/>
      <c r="SC2934" s="43"/>
      <c r="SD2934" s="43"/>
      <c r="SE2934" s="43"/>
      <c r="SF2934" s="43"/>
      <c r="SG2934" s="43"/>
      <c r="SH2934" s="43"/>
      <c r="SI2934" s="43"/>
      <c r="SJ2934" s="43"/>
      <c r="SK2934" s="43"/>
      <c r="SL2934" s="43"/>
      <c r="SM2934" s="43"/>
      <c r="SN2934" s="43"/>
      <c r="SO2934" s="43"/>
      <c r="SP2934" s="43"/>
      <c r="SQ2934" s="43"/>
      <c r="SR2934" s="43"/>
      <c r="SS2934" s="43"/>
      <c r="ST2934" s="43"/>
      <c r="SU2934" s="43"/>
      <c r="SV2934" s="43"/>
      <c r="SW2934" s="43"/>
      <c r="SX2934" s="43"/>
      <c r="SY2934" s="43"/>
      <c r="SZ2934" s="43"/>
      <c r="TA2934" s="43"/>
      <c r="TB2934" s="43"/>
      <c r="TC2934" s="43"/>
      <c r="TD2934" s="43"/>
      <c r="TE2934" s="43"/>
      <c r="TF2934" s="43"/>
      <c r="TG2934" s="43"/>
      <c r="TH2934" s="43"/>
      <c r="TI2934" s="43"/>
      <c r="TJ2934" s="43"/>
      <c r="TK2934" s="43"/>
      <c r="TL2934" s="43"/>
      <c r="TM2934" s="43"/>
      <c r="TN2934" s="43"/>
      <c r="TO2934" s="43"/>
      <c r="TP2934" s="43"/>
      <c r="TQ2934" s="43"/>
      <c r="TR2934" s="43"/>
      <c r="TS2934" s="43"/>
      <c r="TT2934" s="43"/>
      <c r="TU2934" s="43"/>
      <c r="TV2934" s="43"/>
      <c r="TW2934" s="43"/>
      <c r="TX2934" s="43"/>
      <c r="TY2934" s="43"/>
      <c r="TZ2934" s="43"/>
      <c r="UA2934" s="43"/>
      <c r="UB2934" s="43"/>
      <c r="UC2934" s="43"/>
      <c r="UD2934" s="43"/>
      <c r="UE2934" s="43"/>
      <c r="UF2934" s="43"/>
      <c r="UG2934" s="43"/>
      <c r="UH2934" s="43"/>
      <c r="UI2934" s="43"/>
      <c r="UJ2934" s="43"/>
      <c r="UK2934" s="43"/>
      <c r="UL2934" s="43"/>
      <c r="UM2934" s="43"/>
      <c r="UN2934" s="43"/>
      <c r="UO2934" s="43"/>
      <c r="UP2934" s="43"/>
      <c r="UQ2934" s="43"/>
      <c r="UR2934" s="43"/>
      <c r="US2934" s="43"/>
      <c r="UT2934" s="43"/>
      <c r="UU2934" s="43"/>
      <c r="UV2934" s="43"/>
      <c r="UW2934" s="43"/>
      <c r="UX2934" s="43"/>
      <c r="UY2934" s="43"/>
      <c r="UZ2934" s="43"/>
      <c r="VA2934" s="43"/>
      <c r="VB2934" s="43"/>
      <c r="VC2934" s="43"/>
      <c r="VD2934" s="43"/>
      <c r="VE2934" s="43"/>
      <c r="VF2934" s="43"/>
      <c r="VG2934" s="43"/>
      <c r="VH2934" s="43"/>
      <c r="VI2934" s="43"/>
    </row>
    <row r="2935" spans="1:581" s="7" customFormat="1" x14ac:dyDescent="0.35">
      <c r="A2935" s="113"/>
      <c r="B2935" s="27"/>
      <c r="C2935" s="48"/>
      <c r="D2935" s="27"/>
      <c r="E2935" s="38"/>
      <c r="F2935" s="27"/>
      <c r="G2935" s="27"/>
      <c r="H2935" s="99"/>
      <c r="M2935" s="27"/>
      <c r="N2935" s="48"/>
      <c r="LA2935" s="43"/>
      <c r="LB2935" s="43"/>
      <c r="LC2935" s="43"/>
      <c r="LD2935" s="43"/>
      <c r="LE2935" s="43"/>
      <c r="LF2935" s="43"/>
      <c r="LG2935" s="43"/>
      <c r="LH2935" s="43"/>
      <c r="LI2935" s="43"/>
      <c r="LJ2935" s="43"/>
      <c r="LK2935" s="43"/>
      <c r="LL2935" s="43"/>
      <c r="LM2935" s="43"/>
      <c r="LN2935" s="43"/>
      <c r="LO2935" s="43"/>
      <c r="LP2935" s="43"/>
      <c r="LQ2935" s="43"/>
      <c r="LR2935" s="43"/>
      <c r="LS2935" s="43"/>
      <c r="LT2935" s="43"/>
      <c r="LU2935" s="43"/>
      <c r="LV2935" s="43"/>
      <c r="LW2935" s="43"/>
      <c r="LX2935" s="43"/>
      <c r="LY2935" s="43"/>
      <c r="LZ2935" s="43"/>
      <c r="MA2935" s="43"/>
      <c r="MB2935" s="43"/>
      <c r="MC2935" s="43"/>
      <c r="MD2935" s="43"/>
      <c r="ME2935" s="43"/>
      <c r="MF2935" s="43"/>
      <c r="MG2935" s="43"/>
      <c r="MH2935" s="43"/>
      <c r="MI2935" s="43"/>
      <c r="MJ2935" s="43"/>
      <c r="MK2935" s="43"/>
      <c r="ML2935" s="43"/>
      <c r="MM2935" s="43"/>
      <c r="MN2935" s="43"/>
      <c r="MO2935" s="43"/>
      <c r="MP2935" s="43"/>
      <c r="MQ2935" s="43"/>
      <c r="MR2935" s="43"/>
      <c r="MS2935" s="43"/>
      <c r="MT2935" s="43"/>
      <c r="MU2935" s="43"/>
      <c r="MV2935" s="43"/>
      <c r="MW2935" s="43"/>
      <c r="MX2935" s="43"/>
      <c r="MY2935" s="43"/>
      <c r="MZ2935" s="43"/>
      <c r="NA2935" s="43"/>
      <c r="NB2935" s="43"/>
      <c r="NC2935" s="43"/>
      <c r="ND2935" s="43"/>
      <c r="NE2935" s="43"/>
      <c r="NF2935" s="43"/>
      <c r="NG2935" s="43"/>
      <c r="NH2935" s="43"/>
      <c r="NI2935" s="43"/>
      <c r="NJ2935" s="43"/>
      <c r="NK2935" s="43"/>
      <c r="NL2935" s="43"/>
      <c r="NM2935" s="43"/>
      <c r="NN2935" s="43"/>
      <c r="NO2935" s="43"/>
      <c r="NP2935" s="43"/>
      <c r="NQ2935" s="43"/>
      <c r="NR2935" s="43"/>
      <c r="NS2935" s="43"/>
      <c r="NT2935" s="43"/>
      <c r="NU2935" s="43"/>
      <c r="NV2935" s="43"/>
      <c r="NW2935" s="43"/>
      <c r="NX2935" s="43"/>
      <c r="NY2935" s="43"/>
      <c r="NZ2935" s="43"/>
      <c r="OA2935" s="43"/>
      <c r="OB2935" s="43"/>
      <c r="OC2935" s="43"/>
      <c r="OD2935" s="43"/>
      <c r="OE2935" s="43"/>
      <c r="OF2935" s="43"/>
      <c r="OG2935" s="43"/>
      <c r="OH2935" s="43"/>
      <c r="OI2935" s="43"/>
      <c r="OJ2935" s="43"/>
      <c r="OK2935" s="43"/>
      <c r="OL2935" s="43"/>
      <c r="OM2935" s="43"/>
      <c r="ON2935" s="43"/>
      <c r="OO2935" s="43"/>
      <c r="OP2935" s="43"/>
      <c r="OQ2935" s="43"/>
      <c r="OR2935" s="43"/>
      <c r="OS2935" s="43"/>
      <c r="OT2935" s="43"/>
      <c r="OU2935" s="43"/>
      <c r="OV2935" s="43"/>
      <c r="OW2935" s="43"/>
      <c r="OX2935" s="43"/>
      <c r="OY2935" s="43"/>
      <c r="OZ2935" s="43"/>
      <c r="PA2935" s="43"/>
      <c r="PB2935" s="43"/>
      <c r="PC2935" s="43"/>
      <c r="PD2935" s="43"/>
      <c r="PE2935" s="43"/>
      <c r="PF2935" s="43"/>
      <c r="PG2935" s="43"/>
      <c r="PH2935" s="43"/>
      <c r="PI2935" s="43"/>
      <c r="PJ2935" s="43"/>
      <c r="PK2935" s="43"/>
      <c r="PL2935" s="43"/>
      <c r="PM2935" s="43"/>
      <c r="PN2935" s="43"/>
      <c r="PO2935" s="43"/>
      <c r="PP2935" s="43"/>
      <c r="PQ2935" s="43"/>
      <c r="PR2935" s="43"/>
      <c r="PS2935" s="43"/>
      <c r="PT2935" s="43"/>
      <c r="PU2935" s="43"/>
      <c r="PV2935" s="43"/>
      <c r="PW2935" s="43"/>
      <c r="PX2935" s="43"/>
      <c r="PY2935" s="43"/>
      <c r="PZ2935" s="43"/>
      <c r="QA2935" s="43"/>
      <c r="QB2935" s="43"/>
      <c r="QC2935" s="43"/>
      <c r="QD2935" s="43"/>
      <c r="QE2935" s="43"/>
      <c r="QF2935" s="43"/>
      <c r="QG2935" s="43"/>
      <c r="QH2935" s="43"/>
      <c r="QI2935" s="43"/>
      <c r="QJ2935" s="43"/>
      <c r="QK2935" s="43"/>
      <c r="QL2935" s="43"/>
      <c r="QM2935" s="43"/>
      <c r="QN2935" s="43"/>
      <c r="QO2935" s="43"/>
      <c r="QP2935" s="43"/>
      <c r="QQ2935" s="43"/>
      <c r="QR2935" s="43"/>
      <c r="QS2935" s="43"/>
      <c r="QT2935" s="43"/>
      <c r="QU2935" s="43"/>
      <c r="QV2935" s="43"/>
      <c r="QW2935" s="43"/>
      <c r="QX2935" s="43"/>
      <c r="QY2935" s="43"/>
      <c r="QZ2935" s="43"/>
      <c r="RA2935" s="43"/>
      <c r="RB2935" s="43"/>
      <c r="RC2935" s="43"/>
      <c r="RD2935" s="43"/>
      <c r="RE2935" s="43"/>
      <c r="RF2935" s="43"/>
      <c r="RG2935" s="43"/>
      <c r="RH2935" s="43"/>
      <c r="RI2935" s="43"/>
      <c r="RJ2935" s="43"/>
      <c r="RK2935" s="43"/>
      <c r="RL2935" s="43"/>
      <c r="RM2935" s="43"/>
      <c r="RN2935" s="43"/>
      <c r="RO2935" s="43"/>
      <c r="RP2935" s="43"/>
      <c r="RQ2935" s="43"/>
      <c r="RR2935" s="43"/>
      <c r="RS2935" s="43"/>
      <c r="RT2935" s="43"/>
      <c r="RU2935" s="43"/>
      <c r="RV2935" s="43"/>
      <c r="RW2935" s="43"/>
      <c r="RX2935" s="43"/>
      <c r="RY2935" s="43"/>
      <c r="RZ2935" s="43"/>
      <c r="SA2935" s="43"/>
      <c r="SB2935" s="43"/>
      <c r="SC2935" s="43"/>
      <c r="SD2935" s="43"/>
      <c r="SE2935" s="43"/>
      <c r="SF2935" s="43"/>
      <c r="SG2935" s="43"/>
      <c r="SH2935" s="43"/>
      <c r="SI2935" s="43"/>
      <c r="SJ2935" s="43"/>
      <c r="SK2935" s="43"/>
      <c r="SL2935" s="43"/>
      <c r="SM2935" s="43"/>
      <c r="SN2935" s="43"/>
      <c r="SO2935" s="43"/>
      <c r="SP2935" s="43"/>
      <c r="SQ2935" s="43"/>
      <c r="SR2935" s="43"/>
      <c r="SS2935" s="43"/>
      <c r="ST2935" s="43"/>
      <c r="SU2935" s="43"/>
      <c r="SV2935" s="43"/>
      <c r="SW2935" s="43"/>
      <c r="SX2935" s="43"/>
      <c r="SY2935" s="43"/>
      <c r="SZ2935" s="43"/>
      <c r="TA2935" s="43"/>
      <c r="TB2935" s="43"/>
      <c r="TC2935" s="43"/>
      <c r="TD2935" s="43"/>
      <c r="TE2935" s="43"/>
      <c r="TF2935" s="43"/>
      <c r="TG2935" s="43"/>
      <c r="TH2935" s="43"/>
      <c r="TI2935" s="43"/>
      <c r="TJ2935" s="43"/>
      <c r="TK2935" s="43"/>
      <c r="TL2935" s="43"/>
      <c r="TM2935" s="43"/>
      <c r="TN2935" s="43"/>
      <c r="TO2935" s="43"/>
      <c r="TP2935" s="43"/>
      <c r="TQ2935" s="43"/>
      <c r="TR2935" s="43"/>
      <c r="TS2935" s="43"/>
      <c r="TT2935" s="43"/>
      <c r="TU2935" s="43"/>
      <c r="TV2935" s="43"/>
      <c r="TW2935" s="43"/>
      <c r="TX2935" s="43"/>
      <c r="TY2935" s="43"/>
      <c r="TZ2935" s="43"/>
      <c r="UA2935" s="43"/>
      <c r="UB2935" s="43"/>
      <c r="UC2935" s="43"/>
      <c r="UD2935" s="43"/>
      <c r="UE2935" s="43"/>
      <c r="UF2935" s="43"/>
      <c r="UG2935" s="43"/>
      <c r="UH2935" s="43"/>
      <c r="UI2935" s="43"/>
      <c r="UJ2935" s="43"/>
      <c r="UK2935" s="43"/>
      <c r="UL2935" s="43"/>
      <c r="UM2935" s="43"/>
      <c r="UN2935" s="43"/>
      <c r="UO2935" s="43"/>
      <c r="UP2935" s="43"/>
      <c r="UQ2935" s="43"/>
      <c r="UR2935" s="43"/>
      <c r="US2935" s="43"/>
      <c r="UT2935" s="43"/>
      <c r="UU2935" s="43"/>
      <c r="UV2935" s="43"/>
      <c r="UW2935" s="43"/>
      <c r="UX2935" s="43"/>
      <c r="UY2935" s="43"/>
      <c r="UZ2935" s="43"/>
      <c r="VA2935" s="43"/>
      <c r="VB2935" s="43"/>
      <c r="VC2935" s="43"/>
      <c r="VD2935" s="43"/>
      <c r="VE2935" s="43"/>
      <c r="VF2935" s="43"/>
      <c r="VG2935" s="43"/>
      <c r="VH2935" s="43"/>
      <c r="VI2935" s="43"/>
    </row>
    <row r="2936" spans="1:581" s="7" customFormat="1" x14ac:dyDescent="0.35">
      <c r="A2936" s="113"/>
      <c r="B2936" s="27"/>
      <c r="C2936" s="48"/>
      <c r="D2936" s="27"/>
      <c r="E2936" s="38"/>
      <c r="F2936" s="27"/>
      <c r="G2936" s="27"/>
      <c r="H2936" s="99"/>
      <c r="M2936" s="27"/>
      <c r="N2936" s="48"/>
      <c r="LA2936" s="43"/>
      <c r="LB2936" s="43"/>
      <c r="LC2936" s="43"/>
      <c r="LD2936" s="43"/>
      <c r="LE2936" s="43"/>
      <c r="LF2936" s="43"/>
      <c r="LG2936" s="43"/>
      <c r="LH2936" s="43"/>
      <c r="LI2936" s="43"/>
      <c r="LJ2936" s="43"/>
      <c r="LK2936" s="43"/>
      <c r="LL2936" s="43"/>
      <c r="LM2936" s="43"/>
      <c r="LN2936" s="43"/>
      <c r="LO2936" s="43"/>
      <c r="LP2936" s="43"/>
      <c r="LQ2936" s="43"/>
      <c r="LR2936" s="43"/>
      <c r="LS2936" s="43"/>
      <c r="LT2936" s="43"/>
      <c r="LU2936" s="43"/>
      <c r="LV2936" s="43"/>
      <c r="LW2936" s="43"/>
      <c r="LX2936" s="43"/>
      <c r="LY2936" s="43"/>
      <c r="LZ2936" s="43"/>
      <c r="MA2936" s="43"/>
      <c r="MB2936" s="43"/>
      <c r="MC2936" s="43"/>
      <c r="MD2936" s="43"/>
      <c r="ME2936" s="43"/>
      <c r="MF2936" s="43"/>
      <c r="MG2936" s="43"/>
      <c r="MH2936" s="43"/>
      <c r="MI2936" s="43"/>
      <c r="MJ2936" s="43"/>
      <c r="MK2936" s="43"/>
      <c r="ML2936" s="43"/>
      <c r="MM2936" s="43"/>
      <c r="MN2936" s="43"/>
      <c r="MO2936" s="43"/>
      <c r="MP2936" s="43"/>
      <c r="MQ2936" s="43"/>
      <c r="MR2936" s="43"/>
      <c r="MS2936" s="43"/>
      <c r="MT2936" s="43"/>
      <c r="MU2936" s="43"/>
      <c r="MV2936" s="43"/>
      <c r="MW2936" s="43"/>
      <c r="MX2936" s="43"/>
      <c r="MY2936" s="43"/>
      <c r="MZ2936" s="43"/>
      <c r="NA2936" s="43"/>
      <c r="NB2936" s="43"/>
      <c r="NC2936" s="43"/>
      <c r="ND2936" s="43"/>
      <c r="NE2936" s="43"/>
      <c r="NF2936" s="43"/>
      <c r="NG2936" s="43"/>
      <c r="NH2936" s="43"/>
      <c r="NI2936" s="43"/>
      <c r="NJ2936" s="43"/>
      <c r="NK2936" s="43"/>
      <c r="NL2936" s="43"/>
      <c r="NM2936" s="43"/>
      <c r="NN2936" s="43"/>
      <c r="NO2936" s="43"/>
      <c r="NP2936" s="43"/>
      <c r="NQ2936" s="43"/>
      <c r="NR2936" s="43"/>
      <c r="NS2936" s="43"/>
      <c r="NT2936" s="43"/>
      <c r="NU2936" s="43"/>
      <c r="NV2936" s="43"/>
      <c r="NW2936" s="43"/>
      <c r="NX2936" s="43"/>
      <c r="NY2936" s="43"/>
      <c r="NZ2936" s="43"/>
      <c r="OA2936" s="43"/>
      <c r="OB2936" s="43"/>
      <c r="OC2936" s="43"/>
      <c r="OD2936" s="43"/>
      <c r="OE2936" s="43"/>
      <c r="OF2936" s="43"/>
      <c r="OG2936" s="43"/>
      <c r="OH2936" s="43"/>
      <c r="OI2936" s="43"/>
      <c r="OJ2936" s="43"/>
      <c r="OK2936" s="43"/>
      <c r="OL2936" s="43"/>
      <c r="OM2936" s="43"/>
      <c r="ON2936" s="43"/>
      <c r="OO2936" s="43"/>
      <c r="OP2936" s="43"/>
      <c r="OQ2936" s="43"/>
      <c r="OR2936" s="43"/>
      <c r="OS2936" s="43"/>
      <c r="OT2936" s="43"/>
      <c r="OU2936" s="43"/>
      <c r="OV2936" s="43"/>
      <c r="OW2936" s="43"/>
      <c r="OX2936" s="43"/>
      <c r="OY2936" s="43"/>
      <c r="OZ2936" s="43"/>
      <c r="PA2936" s="43"/>
      <c r="PB2936" s="43"/>
      <c r="PC2936" s="43"/>
      <c r="PD2936" s="43"/>
      <c r="PE2936" s="43"/>
      <c r="PF2936" s="43"/>
      <c r="PG2936" s="43"/>
      <c r="PH2936" s="43"/>
      <c r="PI2936" s="43"/>
      <c r="PJ2936" s="43"/>
      <c r="PK2936" s="43"/>
      <c r="PL2936" s="43"/>
      <c r="PM2936" s="43"/>
      <c r="PN2936" s="43"/>
      <c r="PO2936" s="43"/>
      <c r="PP2936" s="43"/>
      <c r="PQ2936" s="43"/>
      <c r="PR2936" s="43"/>
      <c r="PS2936" s="43"/>
      <c r="PT2936" s="43"/>
      <c r="PU2936" s="43"/>
      <c r="PV2936" s="43"/>
      <c r="PW2936" s="43"/>
      <c r="PX2936" s="43"/>
      <c r="PY2936" s="43"/>
      <c r="PZ2936" s="43"/>
      <c r="QA2936" s="43"/>
      <c r="QB2936" s="43"/>
      <c r="QC2936" s="43"/>
      <c r="QD2936" s="43"/>
      <c r="QE2936" s="43"/>
      <c r="QF2936" s="43"/>
      <c r="QG2936" s="43"/>
      <c r="QH2936" s="43"/>
      <c r="QI2936" s="43"/>
      <c r="QJ2936" s="43"/>
      <c r="QK2936" s="43"/>
      <c r="QL2936" s="43"/>
      <c r="QM2936" s="43"/>
      <c r="QN2936" s="43"/>
      <c r="QO2936" s="43"/>
      <c r="QP2936" s="43"/>
      <c r="QQ2936" s="43"/>
      <c r="QR2936" s="43"/>
      <c r="QS2936" s="43"/>
      <c r="QT2936" s="43"/>
      <c r="QU2936" s="43"/>
      <c r="QV2936" s="43"/>
      <c r="QW2936" s="43"/>
      <c r="QX2936" s="43"/>
      <c r="QY2936" s="43"/>
      <c r="QZ2936" s="43"/>
      <c r="RA2936" s="43"/>
      <c r="RB2936" s="43"/>
      <c r="RC2936" s="43"/>
      <c r="RD2936" s="43"/>
      <c r="RE2936" s="43"/>
      <c r="RF2936" s="43"/>
      <c r="RG2936" s="43"/>
      <c r="RH2936" s="43"/>
      <c r="RI2936" s="43"/>
      <c r="RJ2936" s="43"/>
      <c r="RK2936" s="43"/>
      <c r="RL2936" s="43"/>
      <c r="RM2936" s="43"/>
      <c r="RN2936" s="43"/>
      <c r="RO2936" s="43"/>
      <c r="RP2936" s="43"/>
      <c r="RQ2936" s="43"/>
      <c r="RR2936" s="43"/>
      <c r="RS2936" s="43"/>
      <c r="RT2936" s="43"/>
      <c r="RU2936" s="43"/>
      <c r="RV2936" s="43"/>
      <c r="RW2936" s="43"/>
      <c r="RX2936" s="43"/>
      <c r="RY2936" s="43"/>
      <c r="RZ2936" s="43"/>
      <c r="SA2936" s="43"/>
      <c r="SB2936" s="43"/>
      <c r="SC2936" s="43"/>
      <c r="SD2936" s="43"/>
      <c r="SE2936" s="43"/>
      <c r="SF2936" s="43"/>
      <c r="SG2936" s="43"/>
      <c r="SH2936" s="43"/>
      <c r="SI2936" s="43"/>
      <c r="SJ2936" s="43"/>
      <c r="SK2936" s="43"/>
      <c r="SL2936" s="43"/>
      <c r="SM2936" s="43"/>
      <c r="SN2936" s="43"/>
      <c r="SO2936" s="43"/>
      <c r="SP2936" s="43"/>
      <c r="SQ2936" s="43"/>
      <c r="SR2936" s="43"/>
      <c r="SS2936" s="43"/>
      <c r="ST2936" s="43"/>
      <c r="SU2936" s="43"/>
      <c r="SV2936" s="43"/>
      <c r="SW2936" s="43"/>
      <c r="SX2936" s="43"/>
      <c r="SY2936" s="43"/>
      <c r="SZ2936" s="43"/>
      <c r="TA2936" s="43"/>
      <c r="TB2936" s="43"/>
      <c r="TC2936" s="43"/>
      <c r="TD2936" s="43"/>
      <c r="TE2936" s="43"/>
      <c r="TF2936" s="43"/>
      <c r="TG2936" s="43"/>
      <c r="TH2936" s="43"/>
      <c r="TI2936" s="43"/>
      <c r="TJ2936" s="43"/>
      <c r="TK2936" s="43"/>
      <c r="TL2936" s="43"/>
      <c r="TM2936" s="43"/>
      <c r="TN2936" s="43"/>
      <c r="TO2936" s="43"/>
      <c r="TP2936" s="43"/>
      <c r="TQ2936" s="43"/>
      <c r="TR2936" s="43"/>
      <c r="TS2936" s="43"/>
      <c r="TT2936" s="43"/>
      <c r="TU2936" s="43"/>
      <c r="TV2936" s="43"/>
      <c r="TW2936" s="43"/>
      <c r="TX2936" s="43"/>
      <c r="TY2936" s="43"/>
      <c r="TZ2936" s="43"/>
      <c r="UA2936" s="43"/>
      <c r="UB2936" s="43"/>
      <c r="UC2936" s="43"/>
      <c r="UD2936" s="43"/>
      <c r="UE2936" s="43"/>
      <c r="UF2936" s="43"/>
      <c r="UG2936" s="43"/>
      <c r="UH2936" s="43"/>
      <c r="UI2936" s="43"/>
      <c r="UJ2936" s="43"/>
      <c r="UK2936" s="43"/>
      <c r="UL2936" s="43"/>
      <c r="UM2936" s="43"/>
      <c r="UN2936" s="43"/>
      <c r="UO2936" s="43"/>
      <c r="UP2936" s="43"/>
      <c r="UQ2936" s="43"/>
      <c r="UR2936" s="43"/>
      <c r="US2936" s="43"/>
      <c r="UT2936" s="43"/>
      <c r="UU2936" s="43"/>
      <c r="UV2936" s="43"/>
      <c r="UW2936" s="43"/>
      <c r="UX2936" s="43"/>
      <c r="UY2936" s="43"/>
      <c r="UZ2936" s="43"/>
      <c r="VA2936" s="43"/>
      <c r="VB2936" s="43"/>
      <c r="VC2936" s="43"/>
      <c r="VD2936" s="43"/>
      <c r="VE2936" s="43"/>
      <c r="VF2936" s="43"/>
      <c r="VG2936" s="43"/>
      <c r="VH2936" s="43"/>
      <c r="VI2936" s="43"/>
    </row>
  </sheetData>
  <mergeCells count="8">
    <mergeCell ref="C27:E27"/>
    <mergeCell ref="C28:E28"/>
    <mergeCell ref="B2:H2"/>
    <mergeCell ref="J2:N2"/>
    <mergeCell ref="B3:H3"/>
    <mergeCell ref="N4:N5"/>
    <mergeCell ref="C25:E25"/>
    <mergeCell ref="C26:E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4652-52D2-4D5A-964E-84E30F7C5364}">
  <sheetPr>
    <tabColor rgb="FF92D050"/>
  </sheetPr>
  <dimension ref="A1:VN2937"/>
  <sheetViews>
    <sheetView topLeftCell="C1" zoomScale="90" workbookViewId="0">
      <selection activeCell="J12" sqref="J12"/>
    </sheetView>
  </sheetViews>
  <sheetFormatPr defaultColWidth="1.81640625" defaultRowHeight="13" x14ac:dyDescent="0.35"/>
  <cols>
    <col min="1" max="1" width="1.81640625" style="223"/>
    <col min="2" max="2" width="17" style="237" bestFit="1" customWidth="1"/>
    <col min="3" max="3" width="74.1796875" style="237" bestFit="1" customWidth="1"/>
    <col min="4" max="4" width="11.54296875" style="233" bestFit="1" customWidth="1"/>
    <col min="5" max="5" width="15.54296875" style="233" bestFit="1" customWidth="1"/>
    <col min="6" max="7" width="13" style="233" bestFit="1" customWidth="1"/>
    <col min="8" max="8" width="30.453125" style="233" customWidth="1"/>
    <col min="9" max="9" width="1.81640625" style="223"/>
    <col min="10" max="10" width="6.7265625" style="223" bestFit="1" customWidth="1"/>
    <col min="11" max="11" width="12.54296875" style="223" customWidth="1"/>
    <col min="12" max="12" width="5" style="223" bestFit="1" customWidth="1"/>
    <col min="13" max="13" width="5" style="223" hidden="1" customWidth="1"/>
    <col min="14" max="14" width="8.54296875" style="223" customWidth="1"/>
    <col min="15" max="15" width="6.7265625" style="223" bestFit="1" customWidth="1"/>
    <col min="16" max="16" width="6.26953125" style="223" bestFit="1" customWidth="1"/>
    <col min="17" max="17" width="7.1796875" style="223" bestFit="1" customWidth="1"/>
    <col min="18" max="18" width="8.1796875" style="223" bestFit="1" customWidth="1"/>
    <col min="19" max="317" width="1.81640625" style="223"/>
    <col min="318" max="16384" width="1.81640625" style="237"/>
  </cols>
  <sheetData>
    <row r="1" spans="1:586" s="203" customFormat="1" x14ac:dyDescent="0.35">
      <c r="D1" s="204"/>
      <c r="E1" s="205"/>
      <c r="F1" s="206"/>
      <c r="G1" s="206"/>
      <c r="H1" s="206"/>
      <c r="J1" s="207"/>
      <c r="K1" s="207"/>
      <c r="L1" s="207"/>
      <c r="M1" s="207"/>
      <c r="N1" s="207"/>
      <c r="O1" s="207"/>
      <c r="P1" s="207"/>
      <c r="Q1" s="207"/>
    </row>
    <row r="2" spans="1:586" s="210" customFormat="1" ht="15.5" x14ac:dyDescent="0.35">
      <c r="A2" s="208"/>
      <c r="B2" s="294" t="s">
        <v>192</v>
      </c>
      <c r="C2" s="294"/>
      <c r="D2" s="294"/>
      <c r="E2" s="294"/>
      <c r="F2" s="294"/>
      <c r="G2" s="294"/>
      <c r="H2" s="209"/>
      <c r="I2" s="208"/>
      <c r="J2" s="295" t="s">
        <v>4</v>
      </c>
      <c r="K2" s="296"/>
      <c r="L2" s="296"/>
      <c r="M2" s="296"/>
      <c r="N2" s="296"/>
      <c r="O2" s="297"/>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c r="DJ2" s="208"/>
      <c r="DK2" s="208"/>
      <c r="DL2" s="208"/>
      <c r="DM2" s="208"/>
      <c r="DN2" s="208"/>
      <c r="DO2" s="208"/>
      <c r="DP2" s="208"/>
      <c r="DQ2" s="208"/>
      <c r="DR2" s="208"/>
      <c r="DS2" s="208"/>
      <c r="DT2" s="208"/>
      <c r="DU2" s="208"/>
      <c r="DV2" s="208"/>
      <c r="DW2" s="208"/>
      <c r="DX2" s="208"/>
      <c r="DY2" s="208"/>
      <c r="DZ2" s="208"/>
      <c r="EA2" s="208"/>
      <c r="EB2" s="208"/>
      <c r="EC2" s="208"/>
      <c r="ED2" s="208"/>
      <c r="EE2" s="208"/>
      <c r="EF2" s="208"/>
      <c r="EG2" s="208"/>
      <c r="EH2" s="208"/>
      <c r="EI2" s="208"/>
      <c r="EJ2" s="208"/>
      <c r="EK2" s="208"/>
      <c r="EL2" s="208"/>
      <c r="EM2" s="208"/>
      <c r="EN2" s="208"/>
      <c r="EO2" s="208"/>
      <c r="EP2" s="208"/>
      <c r="EQ2" s="208"/>
      <c r="ER2" s="208"/>
      <c r="ES2" s="208"/>
      <c r="ET2" s="208"/>
      <c r="EU2" s="208"/>
      <c r="EV2" s="208"/>
      <c r="EW2" s="208"/>
      <c r="EX2" s="208"/>
      <c r="EY2" s="208"/>
      <c r="EZ2" s="208"/>
      <c r="FA2" s="208"/>
      <c r="FB2" s="208"/>
      <c r="FC2" s="208"/>
      <c r="FD2" s="208"/>
      <c r="FE2" s="208"/>
      <c r="FF2" s="208"/>
      <c r="FG2" s="208"/>
      <c r="FH2" s="208"/>
      <c r="FI2" s="208"/>
      <c r="FJ2" s="208"/>
      <c r="FK2" s="208"/>
      <c r="FL2" s="208"/>
      <c r="FM2" s="208"/>
      <c r="FN2" s="208"/>
      <c r="FO2" s="208"/>
      <c r="FP2" s="208"/>
      <c r="FQ2" s="208"/>
      <c r="FR2" s="208"/>
      <c r="FS2" s="208"/>
      <c r="FT2" s="208"/>
      <c r="FU2" s="208"/>
      <c r="FV2" s="208"/>
      <c r="FW2" s="208"/>
      <c r="FX2" s="208"/>
      <c r="FY2" s="208"/>
      <c r="FZ2" s="208"/>
      <c r="GA2" s="208"/>
      <c r="GB2" s="208"/>
      <c r="GC2" s="208"/>
      <c r="GD2" s="208"/>
      <c r="GE2" s="208"/>
      <c r="GF2" s="208"/>
      <c r="GG2" s="208"/>
      <c r="GH2" s="208"/>
      <c r="GI2" s="208"/>
      <c r="GJ2" s="208"/>
      <c r="GK2" s="208"/>
      <c r="GL2" s="208"/>
      <c r="GM2" s="208"/>
      <c r="GN2" s="208"/>
      <c r="GO2" s="208"/>
      <c r="GP2" s="208"/>
      <c r="GQ2" s="208"/>
      <c r="GR2" s="208"/>
      <c r="GS2" s="208"/>
      <c r="GT2" s="208"/>
      <c r="GU2" s="208"/>
      <c r="GV2" s="208"/>
      <c r="GW2" s="208"/>
      <c r="GX2" s="208"/>
      <c r="GY2" s="208"/>
      <c r="GZ2" s="208"/>
      <c r="HA2" s="208"/>
      <c r="HB2" s="208"/>
      <c r="HC2" s="208"/>
      <c r="HD2" s="208"/>
      <c r="HE2" s="208"/>
      <c r="HF2" s="208"/>
      <c r="HG2" s="208"/>
      <c r="HH2" s="208"/>
      <c r="HI2" s="208"/>
      <c r="HJ2" s="208"/>
      <c r="HK2" s="208"/>
      <c r="HL2" s="208"/>
      <c r="HM2" s="208"/>
      <c r="HN2" s="208"/>
      <c r="HO2" s="208"/>
      <c r="HP2" s="208"/>
      <c r="HQ2" s="208"/>
      <c r="HR2" s="208"/>
      <c r="HS2" s="208"/>
      <c r="HT2" s="208"/>
      <c r="HU2" s="208"/>
      <c r="HV2" s="208"/>
      <c r="HW2" s="208"/>
      <c r="HX2" s="208"/>
      <c r="HY2" s="208"/>
      <c r="HZ2" s="208"/>
      <c r="IA2" s="208"/>
      <c r="IB2" s="208"/>
      <c r="IC2" s="208"/>
      <c r="ID2" s="208"/>
      <c r="IE2" s="208"/>
      <c r="IF2" s="208"/>
      <c r="IG2" s="208"/>
      <c r="IH2" s="208"/>
      <c r="II2" s="208"/>
      <c r="IJ2" s="208"/>
      <c r="IK2" s="208"/>
      <c r="IL2" s="208"/>
      <c r="IM2" s="208"/>
      <c r="IN2" s="208"/>
      <c r="IO2" s="208"/>
      <c r="IP2" s="208"/>
      <c r="IQ2" s="208"/>
      <c r="IR2" s="208"/>
      <c r="IS2" s="208"/>
      <c r="IT2" s="208"/>
      <c r="IU2" s="208"/>
      <c r="IV2" s="208"/>
      <c r="IW2" s="208"/>
      <c r="IX2" s="208"/>
      <c r="IY2" s="208"/>
      <c r="IZ2" s="208"/>
      <c r="JA2" s="208"/>
      <c r="JB2" s="208"/>
      <c r="JC2" s="208"/>
      <c r="JD2" s="208"/>
      <c r="JE2" s="208"/>
      <c r="JF2" s="208"/>
      <c r="JG2" s="208"/>
      <c r="JH2" s="208"/>
      <c r="JI2" s="208"/>
      <c r="JJ2" s="208"/>
      <c r="JK2" s="208"/>
      <c r="JL2" s="208"/>
      <c r="JM2" s="208"/>
      <c r="JN2" s="208"/>
      <c r="JO2" s="208"/>
      <c r="JP2" s="208"/>
      <c r="JQ2" s="208"/>
      <c r="JR2" s="208"/>
      <c r="JS2" s="208"/>
      <c r="JT2" s="208"/>
      <c r="JU2" s="208"/>
      <c r="JV2" s="208"/>
      <c r="JW2" s="208"/>
      <c r="JX2" s="208"/>
      <c r="JY2" s="208"/>
      <c r="JZ2" s="208"/>
      <c r="KA2" s="208"/>
      <c r="KB2" s="208"/>
      <c r="KC2" s="208"/>
      <c r="KD2" s="208"/>
      <c r="KE2" s="208"/>
      <c r="KF2" s="208"/>
      <c r="KG2" s="208"/>
      <c r="KH2" s="208"/>
      <c r="KI2" s="208"/>
      <c r="KJ2" s="208"/>
      <c r="KK2" s="208"/>
      <c r="KL2" s="208"/>
      <c r="KM2" s="208"/>
      <c r="KN2" s="208"/>
      <c r="KO2" s="208"/>
      <c r="KP2" s="208"/>
      <c r="KQ2" s="208"/>
      <c r="KR2" s="208"/>
      <c r="KS2" s="208"/>
      <c r="KT2" s="208"/>
      <c r="KU2" s="208"/>
      <c r="KV2" s="208"/>
      <c r="KW2" s="208"/>
      <c r="KX2" s="208"/>
      <c r="KY2" s="208"/>
      <c r="KZ2" s="208"/>
      <c r="LA2" s="208"/>
      <c r="LB2" s="208"/>
      <c r="LC2" s="208"/>
      <c r="LD2" s="208"/>
      <c r="LE2" s="208"/>
      <c r="LF2" s="208"/>
      <c r="LG2" s="208"/>
      <c r="LH2" s="208"/>
      <c r="LI2" s="208"/>
      <c r="LJ2" s="208"/>
      <c r="LK2" s="208"/>
      <c r="LL2" s="208"/>
      <c r="LM2" s="208"/>
      <c r="LN2" s="208"/>
      <c r="LO2" s="208"/>
      <c r="LP2" s="208"/>
      <c r="LQ2" s="208"/>
      <c r="LR2" s="208"/>
      <c r="LS2" s="208"/>
      <c r="LT2" s="208"/>
      <c r="LU2" s="208"/>
      <c r="LV2" s="208"/>
      <c r="LW2" s="208"/>
      <c r="LX2" s="208"/>
      <c r="LY2" s="208"/>
      <c r="LZ2" s="208"/>
      <c r="MA2" s="208"/>
      <c r="MB2" s="208"/>
      <c r="MC2" s="208"/>
      <c r="MD2" s="208"/>
      <c r="ME2" s="208"/>
      <c r="MF2" s="208"/>
      <c r="MG2" s="208"/>
      <c r="MH2" s="208"/>
      <c r="MI2" s="208"/>
      <c r="MJ2" s="208"/>
      <c r="MK2" s="208"/>
      <c r="ML2" s="208"/>
      <c r="MM2" s="208"/>
      <c r="MN2" s="208"/>
      <c r="MO2" s="208"/>
      <c r="MP2" s="208"/>
      <c r="MQ2" s="208"/>
      <c r="MR2" s="208"/>
      <c r="MS2" s="208"/>
      <c r="MT2" s="208"/>
      <c r="MU2" s="208"/>
      <c r="MV2" s="208"/>
      <c r="MW2" s="208"/>
      <c r="MX2" s="208"/>
      <c r="MY2" s="208"/>
      <c r="MZ2" s="208"/>
      <c r="NA2" s="208"/>
      <c r="NB2" s="208"/>
      <c r="NC2" s="208"/>
      <c r="ND2" s="208"/>
      <c r="NE2" s="208"/>
      <c r="NF2" s="208"/>
      <c r="NG2" s="208"/>
      <c r="NH2" s="208"/>
      <c r="NI2" s="208"/>
      <c r="NJ2" s="208"/>
      <c r="NK2" s="208"/>
      <c r="NL2" s="208"/>
      <c r="NM2" s="208"/>
      <c r="NN2" s="208"/>
      <c r="NO2" s="208"/>
      <c r="NP2" s="208"/>
      <c r="NQ2" s="208"/>
      <c r="NR2" s="208"/>
      <c r="NS2" s="208"/>
      <c r="NT2" s="208"/>
      <c r="NU2" s="208"/>
      <c r="NV2" s="208"/>
      <c r="NW2" s="208"/>
      <c r="NX2" s="208"/>
      <c r="NY2" s="208"/>
      <c r="NZ2" s="208"/>
      <c r="OA2" s="208"/>
      <c r="OB2" s="208"/>
      <c r="OC2" s="208"/>
      <c r="OD2" s="208"/>
      <c r="OE2" s="208"/>
      <c r="OF2" s="208"/>
      <c r="OG2" s="208"/>
      <c r="OH2" s="208"/>
      <c r="OI2" s="208"/>
      <c r="OJ2" s="208"/>
      <c r="OK2" s="208"/>
      <c r="OL2" s="208"/>
      <c r="OM2" s="208"/>
      <c r="ON2" s="208"/>
      <c r="OO2" s="208"/>
      <c r="OP2" s="208"/>
      <c r="OQ2" s="208"/>
      <c r="OR2" s="208"/>
      <c r="OS2" s="208"/>
      <c r="OT2" s="208"/>
      <c r="OU2" s="208"/>
      <c r="OV2" s="208"/>
      <c r="OW2" s="208"/>
      <c r="OX2" s="208"/>
      <c r="OY2" s="208"/>
      <c r="OZ2" s="208"/>
      <c r="PA2" s="208"/>
      <c r="PB2" s="208"/>
      <c r="PC2" s="208"/>
      <c r="PD2" s="208"/>
      <c r="PE2" s="208"/>
      <c r="PF2" s="208"/>
      <c r="PG2" s="208"/>
      <c r="PH2" s="208"/>
      <c r="PI2" s="208"/>
      <c r="PJ2" s="208"/>
      <c r="PK2" s="208"/>
      <c r="PL2" s="208"/>
      <c r="PM2" s="208"/>
      <c r="PN2" s="208"/>
      <c r="PO2" s="208"/>
      <c r="PP2" s="208"/>
      <c r="PQ2" s="208"/>
      <c r="PR2" s="208"/>
      <c r="PS2" s="208"/>
      <c r="PT2" s="208"/>
      <c r="PU2" s="208"/>
      <c r="PV2" s="208"/>
      <c r="PW2" s="208"/>
      <c r="PX2" s="208"/>
      <c r="PY2" s="208"/>
      <c r="PZ2" s="208"/>
      <c r="QA2" s="208"/>
      <c r="QB2" s="208"/>
      <c r="QC2" s="208"/>
      <c r="QD2" s="208"/>
      <c r="QE2" s="208"/>
      <c r="QF2" s="208"/>
      <c r="QG2" s="208"/>
      <c r="QH2" s="208"/>
      <c r="QI2" s="208"/>
      <c r="QJ2" s="208"/>
      <c r="QK2" s="208"/>
      <c r="QL2" s="208"/>
      <c r="QM2" s="208"/>
      <c r="QN2" s="208"/>
      <c r="QO2" s="208"/>
      <c r="QP2" s="208"/>
      <c r="QQ2" s="208"/>
      <c r="QR2" s="208"/>
      <c r="QS2" s="208"/>
      <c r="QT2" s="208"/>
      <c r="QU2" s="208"/>
      <c r="QV2" s="208"/>
      <c r="QW2" s="208"/>
      <c r="QX2" s="208"/>
      <c r="QY2" s="208"/>
      <c r="QZ2" s="208"/>
      <c r="RA2" s="208"/>
      <c r="RB2" s="208"/>
      <c r="RC2" s="208"/>
      <c r="RD2" s="208"/>
      <c r="RE2" s="208"/>
      <c r="RF2" s="208"/>
      <c r="RG2" s="208"/>
      <c r="RH2" s="208"/>
      <c r="RI2" s="208"/>
      <c r="RJ2" s="208"/>
      <c r="RK2" s="208"/>
      <c r="RL2" s="208"/>
      <c r="RM2" s="208"/>
      <c r="RN2" s="208"/>
      <c r="RO2" s="208"/>
      <c r="RP2" s="208"/>
      <c r="RQ2" s="208"/>
      <c r="RR2" s="208"/>
      <c r="RS2" s="208"/>
      <c r="RT2" s="208"/>
      <c r="RU2" s="208"/>
      <c r="RV2" s="208"/>
      <c r="RW2" s="208"/>
      <c r="RX2" s="208"/>
      <c r="RY2" s="208"/>
      <c r="RZ2" s="208"/>
      <c r="SA2" s="208"/>
      <c r="SB2" s="208"/>
      <c r="SC2" s="208"/>
      <c r="SD2" s="208"/>
      <c r="SE2" s="208"/>
      <c r="SF2" s="208"/>
      <c r="SG2" s="208"/>
      <c r="SH2" s="208"/>
      <c r="SI2" s="208"/>
      <c r="SJ2" s="208"/>
      <c r="SK2" s="208"/>
      <c r="SL2" s="208"/>
      <c r="SM2" s="208"/>
      <c r="SN2" s="208"/>
      <c r="SO2" s="208"/>
      <c r="SP2" s="208"/>
      <c r="SQ2" s="208"/>
      <c r="SR2" s="208"/>
      <c r="SS2" s="208"/>
      <c r="ST2" s="208"/>
      <c r="SU2" s="208"/>
      <c r="SV2" s="208"/>
      <c r="SW2" s="208"/>
      <c r="SX2" s="208"/>
      <c r="SY2" s="208"/>
      <c r="SZ2" s="208"/>
      <c r="TA2" s="208"/>
      <c r="TB2" s="208"/>
      <c r="TC2" s="208"/>
      <c r="TD2" s="208"/>
      <c r="TE2" s="208"/>
      <c r="TF2" s="208"/>
      <c r="TG2" s="208"/>
      <c r="TH2" s="208"/>
      <c r="TI2" s="208"/>
      <c r="TJ2" s="208"/>
      <c r="TK2" s="208"/>
      <c r="TL2" s="208"/>
      <c r="TM2" s="208"/>
      <c r="TN2" s="208"/>
      <c r="TO2" s="208"/>
      <c r="TP2" s="208"/>
      <c r="TQ2" s="208"/>
      <c r="TR2" s="208"/>
      <c r="TS2" s="208"/>
      <c r="TT2" s="208"/>
      <c r="TU2" s="208"/>
      <c r="TV2" s="208"/>
      <c r="TW2" s="208"/>
      <c r="TX2" s="208"/>
      <c r="TY2" s="208"/>
      <c r="TZ2" s="208"/>
      <c r="UA2" s="208"/>
      <c r="UB2" s="208"/>
      <c r="UC2" s="208"/>
      <c r="UD2" s="208"/>
      <c r="UE2" s="208"/>
      <c r="UF2" s="208"/>
      <c r="UG2" s="208"/>
      <c r="UH2" s="208"/>
      <c r="UI2" s="208"/>
      <c r="UJ2" s="208"/>
      <c r="UK2" s="208"/>
      <c r="UL2" s="208"/>
      <c r="UM2" s="208"/>
      <c r="UN2" s="208"/>
      <c r="UO2" s="208"/>
      <c r="UP2" s="208"/>
      <c r="UQ2" s="208"/>
      <c r="UR2" s="208"/>
      <c r="US2" s="208"/>
      <c r="UT2" s="208"/>
      <c r="UU2" s="208"/>
      <c r="UV2" s="208"/>
      <c r="UW2" s="208"/>
      <c r="UX2" s="208"/>
      <c r="UY2" s="208"/>
      <c r="UZ2" s="208"/>
      <c r="VA2" s="208"/>
      <c r="VB2" s="208"/>
      <c r="VC2" s="208"/>
      <c r="VD2" s="208"/>
      <c r="VE2" s="208"/>
      <c r="VF2" s="208"/>
      <c r="VG2" s="208"/>
      <c r="VH2" s="208"/>
      <c r="VI2" s="208"/>
      <c r="VJ2" s="208"/>
      <c r="VK2" s="208"/>
      <c r="VL2" s="208"/>
      <c r="VM2" s="208"/>
      <c r="VN2" s="208"/>
    </row>
    <row r="3" spans="1:586" s="208" customFormat="1" x14ac:dyDescent="0.35">
      <c r="B3" s="298"/>
      <c r="C3" s="298"/>
      <c r="D3" s="298"/>
      <c r="E3" s="298"/>
      <c r="F3" s="298"/>
      <c r="G3" s="299"/>
      <c r="H3" s="211"/>
      <c r="J3" s="212">
        <v>120</v>
      </c>
      <c r="K3" s="213">
        <v>120</v>
      </c>
      <c r="L3" s="213">
        <v>3.01</v>
      </c>
      <c r="M3" s="213"/>
      <c r="N3" s="214" t="s">
        <v>20</v>
      </c>
      <c r="O3" s="214" t="s">
        <v>20</v>
      </c>
    </row>
    <row r="4" spans="1:586" s="210" customFormat="1" x14ac:dyDescent="0.35">
      <c r="A4" s="208"/>
      <c r="B4" s="215" t="s">
        <v>5</v>
      </c>
      <c r="C4" s="216" t="s">
        <v>6</v>
      </c>
      <c r="D4" s="216"/>
      <c r="E4" s="216"/>
      <c r="F4" s="216"/>
      <c r="G4" s="216"/>
      <c r="H4" s="217"/>
      <c r="I4" s="208"/>
      <c r="J4" s="218" t="s">
        <v>7</v>
      </c>
      <c r="K4" s="219" t="s">
        <v>0</v>
      </c>
      <c r="L4" s="219" t="s">
        <v>8</v>
      </c>
      <c r="M4" s="219" t="s">
        <v>193</v>
      </c>
      <c r="N4" s="300" t="s">
        <v>9</v>
      </c>
      <c r="O4" s="300" t="s">
        <v>10</v>
      </c>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c r="IF4" s="208"/>
      <c r="IG4" s="208"/>
      <c r="IH4" s="208"/>
      <c r="II4" s="208"/>
      <c r="IJ4" s="208"/>
      <c r="IK4" s="208"/>
      <c r="IL4" s="208"/>
      <c r="IM4" s="208"/>
      <c r="IN4" s="208"/>
      <c r="IO4" s="208"/>
      <c r="IP4" s="208"/>
      <c r="IQ4" s="208"/>
      <c r="IR4" s="208"/>
      <c r="IS4" s="208"/>
      <c r="IT4" s="208"/>
      <c r="IU4" s="208"/>
      <c r="IV4" s="208"/>
      <c r="IW4" s="208"/>
      <c r="IX4" s="208"/>
      <c r="IY4" s="208"/>
      <c r="IZ4" s="208"/>
      <c r="JA4" s="208"/>
      <c r="JB4" s="208"/>
      <c r="JC4" s="208"/>
      <c r="JD4" s="208"/>
      <c r="JE4" s="208"/>
      <c r="JF4" s="208"/>
      <c r="JG4" s="208"/>
      <c r="JH4" s="208"/>
      <c r="JI4" s="208"/>
      <c r="JJ4" s="208"/>
      <c r="JK4" s="208"/>
      <c r="JL4" s="208"/>
      <c r="JM4" s="208"/>
      <c r="JN4" s="208"/>
      <c r="JO4" s="208"/>
      <c r="JP4" s="208"/>
      <c r="JQ4" s="208"/>
      <c r="JR4" s="208"/>
      <c r="JS4" s="208"/>
      <c r="JT4" s="208"/>
      <c r="JU4" s="208"/>
      <c r="JV4" s="208"/>
      <c r="JW4" s="208"/>
      <c r="JX4" s="208"/>
      <c r="JY4" s="208"/>
      <c r="JZ4" s="208"/>
      <c r="KA4" s="208"/>
      <c r="KB4" s="208"/>
      <c r="KC4" s="208"/>
      <c r="KD4" s="208"/>
      <c r="KE4" s="208"/>
      <c r="KF4" s="208"/>
      <c r="KG4" s="208"/>
      <c r="KH4" s="208"/>
      <c r="KI4" s="208"/>
      <c r="KJ4" s="208"/>
      <c r="KK4" s="208"/>
      <c r="KL4" s="208"/>
      <c r="KM4" s="208"/>
      <c r="KN4" s="208"/>
      <c r="KO4" s="208"/>
      <c r="KP4" s="208"/>
      <c r="KQ4" s="208"/>
      <c r="KR4" s="208"/>
      <c r="KS4" s="208"/>
      <c r="KT4" s="208"/>
      <c r="KU4" s="208"/>
      <c r="KV4" s="208"/>
      <c r="KW4" s="208"/>
      <c r="KX4" s="208"/>
      <c r="KY4" s="208"/>
      <c r="KZ4" s="208"/>
      <c r="LA4" s="208"/>
      <c r="LB4" s="208"/>
      <c r="LC4" s="208"/>
      <c r="LD4" s="208"/>
      <c r="LE4" s="208"/>
      <c r="LF4" s="208"/>
      <c r="LG4" s="208"/>
      <c r="LH4" s="208"/>
      <c r="LI4" s="208"/>
      <c r="LJ4" s="208"/>
      <c r="LK4" s="208"/>
      <c r="LL4" s="208"/>
      <c r="LM4" s="208"/>
      <c r="LN4" s="208"/>
      <c r="LO4" s="208"/>
      <c r="LP4" s="208"/>
      <c r="LQ4" s="208"/>
      <c r="LR4" s="208"/>
      <c r="LS4" s="208"/>
      <c r="LT4" s="208"/>
      <c r="LU4" s="208"/>
      <c r="LV4" s="208"/>
      <c r="LW4" s="208"/>
      <c r="LX4" s="208"/>
      <c r="LY4" s="208"/>
      <c r="LZ4" s="208"/>
      <c r="MA4" s="208"/>
      <c r="MB4" s="208"/>
      <c r="MC4" s="208"/>
      <c r="MD4" s="208"/>
      <c r="ME4" s="208"/>
      <c r="MF4" s="208"/>
      <c r="MG4" s="208"/>
      <c r="MH4" s="208"/>
      <c r="MI4" s="208"/>
      <c r="MJ4" s="208"/>
      <c r="MK4" s="208"/>
      <c r="ML4" s="208"/>
      <c r="MM4" s="208"/>
      <c r="MN4" s="208"/>
      <c r="MO4" s="208"/>
      <c r="MP4" s="208"/>
      <c r="MQ4" s="208"/>
      <c r="MR4" s="208"/>
      <c r="MS4" s="208"/>
      <c r="MT4" s="208"/>
      <c r="MU4" s="208"/>
      <c r="MV4" s="208"/>
      <c r="MW4" s="208"/>
      <c r="MX4" s="208"/>
      <c r="MY4" s="208"/>
      <c r="MZ4" s="208"/>
      <c r="NA4" s="208"/>
      <c r="NB4" s="208"/>
      <c r="NC4" s="208"/>
      <c r="ND4" s="208"/>
      <c r="NE4" s="208"/>
      <c r="NF4" s="208"/>
      <c r="NG4" s="208"/>
      <c r="NH4" s="208"/>
      <c r="NI4" s="208"/>
      <c r="NJ4" s="208"/>
      <c r="NK4" s="208"/>
      <c r="NL4" s="208"/>
      <c r="NM4" s="208"/>
      <c r="NN4" s="208"/>
      <c r="NO4" s="208"/>
      <c r="NP4" s="208"/>
      <c r="NQ4" s="208"/>
      <c r="NR4" s="208"/>
      <c r="NS4" s="208"/>
      <c r="NT4" s="208"/>
      <c r="NU4" s="208"/>
      <c r="NV4" s="208"/>
      <c r="NW4" s="208"/>
      <c r="NX4" s="208"/>
      <c r="NY4" s="208"/>
      <c r="NZ4" s="208"/>
      <c r="OA4" s="208"/>
      <c r="OB4" s="208"/>
      <c r="OC4" s="208"/>
      <c r="OD4" s="208"/>
      <c r="OE4" s="208"/>
      <c r="OF4" s="208"/>
      <c r="OG4" s="208"/>
      <c r="OH4" s="208"/>
      <c r="OI4" s="208"/>
      <c r="OJ4" s="208"/>
      <c r="OK4" s="208"/>
      <c r="OL4" s="208"/>
      <c r="OM4" s="208"/>
      <c r="ON4" s="208"/>
      <c r="OO4" s="208"/>
      <c r="OP4" s="208"/>
      <c r="OQ4" s="208"/>
      <c r="OR4" s="208"/>
      <c r="OS4" s="208"/>
      <c r="OT4" s="208"/>
      <c r="OU4" s="208"/>
      <c r="OV4" s="208"/>
      <c r="OW4" s="208"/>
      <c r="OX4" s="208"/>
      <c r="OY4" s="208"/>
      <c r="OZ4" s="208"/>
      <c r="PA4" s="208"/>
      <c r="PB4" s="208"/>
      <c r="PC4" s="208"/>
      <c r="PD4" s="208"/>
      <c r="PE4" s="208"/>
      <c r="PF4" s="208"/>
      <c r="PG4" s="208"/>
      <c r="PH4" s="208"/>
      <c r="PI4" s="208"/>
      <c r="PJ4" s="208"/>
      <c r="PK4" s="208"/>
      <c r="PL4" s="208"/>
      <c r="PM4" s="208"/>
      <c r="PN4" s="208"/>
      <c r="PO4" s="208"/>
      <c r="PP4" s="208"/>
      <c r="PQ4" s="208"/>
      <c r="PR4" s="208"/>
      <c r="PS4" s="208"/>
      <c r="PT4" s="208"/>
      <c r="PU4" s="208"/>
      <c r="PV4" s="208"/>
      <c r="PW4" s="208"/>
      <c r="PX4" s="208"/>
      <c r="PY4" s="208"/>
      <c r="PZ4" s="208"/>
      <c r="QA4" s="208"/>
      <c r="QB4" s="208"/>
      <c r="QC4" s="208"/>
      <c r="QD4" s="208"/>
      <c r="QE4" s="208"/>
      <c r="QF4" s="208"/>
      <c r="QG4" s="208"/>
      <c r="QH4" s="208"/>
      <c r="QI4" s="208"/>
      <c r="QJ4" s="208"/>
      <c r="QK4" s="208"/>
      <c r="QL4" s="208"/>
      <c r="QM4" s="208"/>
      <c r="QN4" s="208"/>
      <c r="QO4" s="208"/>
      <c r="QP4" s="208"/>
      <c r="QQ4" s="208"/>
      <c r="QR4" s="208"/>
      <c r="QS4" s="208"/>
      <c r="QT4" s="208"/>
      <c r="QU4" s="208"/>
      <c r="QV4" s="208"/>
      <c r="QW4" s="208"/>
      <c r="QX4" s="208"/>
      <c r="QY4" s="208"/>
      <c r="QZ4" s="208"/>
      <c r="RA4" s="208"/>
      <c r="RB4" s="208"/>
      <c r="RC4" s="208"/>
      <c r="RD4" s="208"/>
      <c r="RE4" s="208"/>
      <c r="RF4" s="208"/>
      <c r="RG4" s="208"/>
      <c r="RH4" s="208"/>
      <c r="RI4" s="208"/>
      <c r="RJ4" s="208"/>
      <c r="RK4" s="208"/>
      <c r="RL4" s="208"/>
      <c r="RM4" s="208"/>
      <c r="RN4" s="208"/>
      <c r="RO4" s="208"/>
      <c r="RP4" s="208"/>
      <c r="RQ4" s="208"/>
      <c r="RR4" s="208"/>
      <c r="RS4" s="208"/>
      <c r="RT4" s="208"/>
      <c r="RU4" s="208"/>
      <c r="RV4" s="208"/>
      <c r="RW4" s="208"/>
      <c r="RX4" s="208"/>
      <c r="RY4" s="208"/>
      <c r="RZ4" s="208"/>
      <c r="SA4" s="208"/>
      <c r="SB4" s="208"/>
      <c r="SC4" s="208"/>
      <c r="SD4" s="208"/>
      <c r="SE4" s="208"/>
      <c r="SF4" s="208"/>
      <c r="SG4" s="208"/>
      <c r="SH4" s="208"/>
      <c r="SI4" s="208"/>
      <c r="SJ4" s="208"/>
      <c r="SK4" s="208"/>
      <c r="SL4" s="208"/>
      <c r="SM4" s="208"/>
      <c r="SN4" s="208"/>
      <c r="SO4" s="208"/>
      <c r="SP4" s="208"/>
      <c r="SQ4" s="208"/>
      <c r="SR4" s="208"/>
      <c r="SS4" s="208"/>
      <c r="ST4" s="208"/>
      <c r="SU4" s="208"/>
      <c r="SV4" s="208"/>
      <c r="SW4" s="208"/>
      <c r="SX4" s="208"/>
      <c r="SY4" s="208"/>
      <c r="SZ4" s="208"/>
      <c r="TA4" s="208"/>
      <c r="TB4" s="208"/>
      <c r="TC4" s="208"/>
      <c r="TD4" s="208"/>
      <c r="TE4" s="208"/>
      <c r="TF4" s="208"/>
      <c r="TG4" s="208"/>
      <c r="TH4" s="208"/>
      <c r="TI4" s="208"/>
      <c r="TJ4" s="208"/>
      <c r="TK4" s="208"/>
      <c r="TL4" s="208"/>
      <c r="TM4" s="208"/>
      <c r="TN4" s="208"/>
      <c r="TO4" s="208"/>
      <c r="TP4" s="208"/>
      <c r="TQ4" s="208"/>
      <c r="TR4" s="208"/>
      <c r="TS4" s="208"/>
      <c r="TT4" s="208"/>
      <c r="TU4" s="208"/>
      <c r="TV4" s="208"/>
      <c r="TW4" s="208"/>
      <c r="TX4" s="208"/>
      <c r="TY4" s="208"/>
      <c r="TZ4" s="208"/>
      <c r="UA4" s="208"/>
      <c r="UB4" s="208"/>
      <c r="UC4" s="208"/>
      <c r="UD4" s="208"/>
      <c r="UE4" s="208"/>
      <c r="UF4" s="208"/>
      <c r="UG4" s="208"/>
      <c r="UH4" s="208"/>
      <c r="UI4" s="208"/>
      <c r="UJ4" s="208"/>
      <c r="UK4" s="208"/>
      <c r="UL4" s="208"/>
      <c r="UM4" s="208"/>
      <c r="UN4" s="208"/>
      <c r="UO4" s="208"/>
      <c r="UP4" s="208"/>
      <c r="UQ4" s="208"/>
      <c r="UR4" s="208"/>
      <c r="US4" s="208"/>
      <c r="UT4" s="208"/>
      <c r="UU4" s="208"/>
      <c r="UV4" s="208"/>
      <c r="UW4" s="208"/>
      <c r="UX4" s="208"/>
      <c r="UY4" s="208"/>
      <c r="UZ4" s="208"/>
      <c r="VA4" s="208"/>
      <c r="VB4" s="208"/>
      <c r="VC4" s="208"/>
      <c r="VD4" s="208"/>
      <c r="VE4" s="208"/>
      <c r="VF4" s="208"/>
      <c r="VG4" s="208"/>
      <c r="VH4" s="208"/>
      <c r="VI4" s="208"/>
      <c r="VJ4" s="208"/>
      <c r="VK4" s="208"/>
      <c r="VL4" s="208"/>
      <c r="VM4" s="208"/>
      <c r="VN4" s="208"/>
    </row>
    <row r="5" spans="1:586" s="210" customFormat="1" x14ac:dyDescent="0.35">
      <c r="A5" s="208"/>
      <c r="B5" s="220" t="s">
        <v>11</v>
      </c>
      <c r="C5" s="220" t="s">
        <v>12</v>
      </c>
      <c r="D5" s="220" t="s">
        <v>13</v>
      </c>
      <c r="E5" s="220" t="s">
        <v>14</v>
      </c>
      <c r="F5" s="220" t="s">
        <v>15</v>
      </c>
      <c r="G5" s="220" t="s">
        <v>16</v>
      </c>
      <c r="H5" s="221" t="s">
        <v>17</v>
      </c>
      <c r="I5" s="208"/>
      <c r="J5" s="218" t="s">
        <v>18</v>
      </c>
      <c r="K5" s="219" t="s">
        <v>19</v>
      </c>
      <c r="L5" s="219" t="s">
        <v>19</v>
      </c>
      <c r="M5" s="219" t="s">
        <v>19</v>
      </c>
      <c r="N5" s="301"/>
      <c r="O5" s="302"/>
      <c r="P5" s="222"/>
      <c r="Q5" s="222"/>
      <c r="R5" s="222"/>
      <c r="S5" s="222"/>
      <c r="T5" s="222"/>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row>
    <row r="6" spans="1:586" s="223" customFormat="1" ht="25.5" customHeight="1" x14ac:dyDescent="0.35">
      <c r="B6" s="224" t="s">
        <v>194</v>
      </c>
      <c r="C6" s="225" t="str">
        <f>CONCATENATE("vCores ",J6," | RAM  ",K6," GB |Performance Disk (1 IOPs/GB) ",L6," GB | OS ",N6," | DB ",O6,"")</f>
        <v>vCores 4 | RAM  8 GB |Performance Disk (1 IOPs/GB) 200 GB | OS Win | DB NA</v>
      </c>
      <c r="D6" s="226">
        <v>1</v>
      </c>
      <c r="E6" s="227">
        <f>SUM((J6*J$3)+(K6*K$3)+(L6*L$3)+(M6*M3))</f>
        <v>2042</v>
      </c>
      <c r="F6" s="228">
        <f>D6*E6</f>
        <v>2042</v>
      </c>
      <c r="G6" s="228">
        <v>0</v>
      </c>
      <c r="H6" s="229" t="s">
        <v>71</v>
      </c>
      <c r="J6" s="230">
        <v>4</v>
      </c>
      <c r="K6" s="231">
        <v>8</v>
      </c>
      <c r="L6" s="231">
        <v>200</v>
      </c>
      <c r="M6" s="231">
        <f>L6*1</f>
        <v>200</v>
      </c>
      <c r="N6" s="232" t="s">
        <v>195</v>
      </c>
      <c r="O6" s="230" t="s">
        <v>20</v>
      </c>
      <c r="P6" s="222"/>
      <c r="Q6" s="222"/>
      <c r="T6" s="222"/>
    </row>
    <row r="7" spans="1:586" s="233" customFormat="1" x14ac:dyDescent="0.35">
      <c r="A7" s="222"/>
      <c r="B7" s="220" t="s">
        <v>21</v>
      </c>
      <c r="C7" s="220" t="s">
        <v>22</v>
      </c>
      <c r="D7" s="220" t="s">
        <v>13</v>
      </c>
      <c r="E7" s="220" t="s">
        <v>14</v>
      </c>
      <c r="F7" s="220" t="s">
        <v>15</v>
      </c>
      <c r="G7" s="220" t="s">
        <v>16</v>
      </c>
      <c r="H7" s="221"/>
      <c r="I7" s="222"/>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222"/>
      <c r="CN7" s="222"/>
      <c r="CO7" s="222"/>
      <c r="CP7" s="222"/>
      <c r="CQ7" s="222"/>
      <c r="CR7" s="222"/>
      <c r="CS7" s="222"/>
      <c r="CT7" s="222"/>
      <c r="CU7" s="222"/>
      <c r="CV7" s="222"/>
      <c r="CW7" s="222"/>
      <c r="CX7" s="222"/>
      <c r="CY7" s="222"/>
      <c r="CZ7" s="222"/>
      <c r="DA7" s="222"/>
      <c r="DB7" s="222"/>
      <c r="DC7" s="222"/>
      <c r="DD7" s="222"/>
      <c r="DE7" s="222"/>
      <c r="DF7" s="222"/>
      <c r="DG7" s="222"/>
      <c r="DH7" s="222"/>
      <c r="DI7" s="222"/>
      <c r="DJ7" s="222"/>
      <c r="DK7" s="222"/>
      <c r="DL7" s="222"/>
      <c r="DM7" s="222"/>
      <c r="DN7" s="222"/>
      <c r="DO7" s="222"/>
      <c r="DP7" s="222"/>
      <c r="DQ7" s="222"/>
      <c r="DR7" s="222"/>
      <c r="DS7" s="222"/>
      <c r="DT7" s="222"/>
      <c r="DU7" s="222"/>
      <c r="DV7" s="222"/>
      <c r="DW7" s="222"/>
      <c r="DX7" s="222"/>
      <c r="DY7" s="222"/>
      <c r="DZ7" s="222"/>
      <c r="EA7" s="222"/>
      <c r="EB7" s="222"/>
      <c r="EC7" s="222"/>
      <c r="ED7" s="222"/>
      <c r="EE7" s="222"/>
      <c r="EF7" s="222"/>
      <c r="EG7" s="222"/>
      <c r="EH7" s="222"/>
      <c r="EI7" s="222"/>
      <c r="EJ7" s="222"/>
      <c r="EK7" s="222"/>
      <c r="EL7" s="222"/>
      <c r="EM7" s="222"/>
      <c r="EN7" s="222"/>
      <c r="EO7" s="222"/>
      <c r="EP7" s="222"/>
      <c r="EQ7" s="222"/>
      <c r="ER7" s="222"/>
      <c r="ES7" s="222"/>
      <c r="ET7" s="222"/>
      <c r="EU7" s="222"/>
      <c r="EV7" s="222"/>
      <c r="EW7" s="222"/>
      <c r="EX7" s="222"/>
      <c r="EY7" s="222"/>
      <c r="EZ7" s="222"/>
      <c r="FA7" s="222"/>
      <c r="FB7" s="222"/>
      <c r="FC7" s="222"/>
      <c r="FD7" s="222"/>
      <c r="FE7" s="222"/>
      <c r="FF7" s="222"/>
      <c r="FG7" s="222"/>
      <c r="FH7" s="222"/>
      <c r="FI7" s="222"/>
      <c r="FJ7" s="222"/>
      <c r="FK7" s="222"/>
      <c r="FL7" s="222"/>
      <c r="FM7" s="222"/>
      <c r="FN7" s="222"/>
      <c r="FO7" s="222"/>
      <c r="FP7" s="222"/>
      <c r="FQ7" s="222"/>
      <c r="FR7" s="222"/>
      <c r="FS7" s="222"/>
      <c r="FT7" s="222"/>
      <c r="FU7" s="222"/>
      <c r="FV7" s="222"/>
      <c r="FW7" s="222"/>
      <c r="FX7" s="222"/>
      <c r="FY7" s="222"/>
      <c r="FZ7" s="222"/>
      <c r="GA7" s="222"/>
      <c r="GB7" s="222"/>
      <c r="GC7" s="222"/>
      <c r="GD7" s="222"/>
      <c r="GE7" s="222"/>
      <c r="GF7" s="222"/>
      <c r="GG7" s="222"/>
      <c r="GH7" s="222"/>
      <c r="GI7" s="222"/>
      <c r="GJ7" s="222"/>
      <c r="GK7" s="222"/>
      <c r="GL7" s="222"/>
      <c r="GM7" s="222"/>
      <c r="GN7" s="222"/>
      <c r="GO7" s="222"/>
      <c r="GP7" s="222"/>
      <c r="GQ7" s="222"/>
      <c r="GR7" s="222"/>
      <c r="GS7" s="222"/>
      <c r="GT7" s="222"/>
      <c r="GU7" s="222"/>
      <c r="GV7" s="222"/>
      <c r="GW7" s="222"/>
      <c r="GX7" s="222"/>
      <c r="GY7" s="222"/>
      <c r="GZ7" s="222"/>
      <c r="HA7" s="222"/>
      <c r="HB7" s="222"/>
      <c r="HC7" s="222"/>
      <c r="HD7" s="222"/>
      <c r="HE7" s="222"/>
      <c r="HF7" s="222"/>
      <c r="HG7" s="222"/>
      <c r="HH7" s="222"/>
      <c r="HI7" s="222"/>
      <c r="HJ7" s="222"/>
      <c r="HK7" s="222"/>
      <c r="HL7" s="222"/>
      <c r="HM7" s="222"/>
      <c r="HN7" s="222"/>
      <c r="HO7" s="222"/>
      <c r="HP7" s="222"/>
      <c r="HQ7" s="222"/>
      <c r="HR7" s="222"/>
      <c r="HS7" s="222"/>
      <c r="HT7" s="222"/>
      <c r="HU7" s="222"/>
      <c r="HV7" s="222"/>
      <c r="HW7" s="222"/>
      <c r="HX7" s="222"/>
      <c r="HY7" s="222"/>
      <c r="HZ7" s="222"/>
      <c r="IA7" s="222"/>
      <c r="IB7" s="222"/>
      <c r="IC7" s="222"/>
      <c r="ID7" s="222"/>
      <c r="IE7" s="222"/>
      <c r="IF7" s="222"/>
      <c r="IG7" s="222"/>
      <c r="IH7" s="222"/>
      <c r="II7" s="222"/>
      <c r="IJ7" s="222"/>
      <c r="IK7" s="222"/>
      <c r="IL7" s="222"/>
      <c r="IM7" s="222"/>
      <c r="IN7" s="222"/>
      <c r="IO7" s="222"/>
      <c r="IP7" s="222"/>
      <c r="IQ7" s="222"/>
      <c r="IR7" s="222"/>
      <c r="IS7" s="222"/>
      <c r="IT7" s="222"/>
      <c r="IU7" s="222"/>
      <c r="IV7" s="222"/>
      <c r="IW7" s="222"/>
      <c r="IX7" s="222"/>
      <c r="IY7" s="222"/>
      <c r="IZ7" s="222"/>
      <c r="JA7" s="222"/>
      <c r="JB7" s="222"/>
      <c r="JC7" s="222"/>
      <c r="JD7" s="222"/>
      <c r="JE7" s="222"/>
      <c r="JF7" s="222"/>
      <c r="JG7" s="222"/>
      <c r="JH7" s="222"/>
      <c r="JI7" s="222"/>
      <c r="JJ7" s="222"/>
      <c r="JK7" s="222"/>
      <c r="JL7" s="222"/>
      <c r="JM7" s="222"/>
      <c r="JN7" s="222"/>
      <c r="JO7" s="222"/>
      <c r="JP7" s="222"/>
      <c r="JQ7" s="222"/>
      <c r="JR7" s="222"/>
      <c r="JS7" s="222"/>
      <c r="JT7" s="222"/>
      <c r="JU7" s="222"/>
      <c r="JV7" s="222"/>
      <c r="JW7" s="222"/>
      <c r="JX7" s="222"/>
      <c r="JY7" s="222"/>
      <c r="JZ7" s="222"/>
      <c r="KA7" s="222"/>
      <c r="KB7" s="222"/>
      <c r="KC7" s="222"/>
      <c r="KD7" s="222"/>
      <c r="KE7" s="222"/>
      <c r="KF7" s="222"/>
      <c r="KG7" s="222"/>
      <c r="KH7" s="222"/>
      <c r="KI7" s="222"/>
      <c r="KJ7" s="222"/>
      <c r="KK7" s="222"/>
      <c r="KL7" s="222"/>
      <c r="KM7" s="222"/>
      <c r="KN7" s="222"/>
      <c r="KO7" s="222"/>
      <c r="KP7" s="222"/>
      <c r="KQ7" s="222"/>
      <c r="KR7" s="222"/>
      <c r="KS7" s="222"/>
      <c r="KT7" s="222"/>
      <c r="KU7" s="222"/>
      <c r="KV7" s="222"/>
      <c r="KW7" s="222"/>
      <c r="KX7" s="222"/>
      <c r="KY7" s="222"/>
      <c r="KZ7" s="222"/>
      <c r="LA7" s="222"/>
      <c r="LB7" s="222"/>
      <c r="LC7" s="222"/>
      <c r="LD7" s="222"/>
      <c r="LE7" s="222"/>
    </row>
    <row r="8" spans="1:586" ht="20.25" customHeight="1" x14ac:dyDescent="0.35">
      <c r="B8" s="224" t="s">
        <v>2</v>
      </c>
      <c r="C8" s="234" t="s">
        <v>196</v>
      </c>
      <c r="D8" s="235">
        <f>J6/2</f>
        <v>2</v>
      </c>
      <c r="E8" s="227">
        <v>750</v>
      </c>
      <c r="F8" s="228">
        <f t="shared" ref="F8" si="0">D8*E8</f>
        <v>1500</v>
      </c>
      <c r="G8" s="227">
        <v>0</v>
      </c>
      <c r="H8" s="236" t="s">
        <v>71</v>
      </c>
      <c r="J8" s="222"/>
      <c r="K8" s="222"/>
      <c r="L8" s="222"/>
      <c r="M8" s="222"/>
      <c r="N8" s="222"/>
      <c r="O8" s="222"/>
      <c r="P8" s="222"/>
      <c r="Q8" s="222"/>
    </row>
    <row r="9" spans="1:586" s="223" customFormat="1" x14ac:dyDescent="0.35">
      <c r="B9" s="220" t="s">
        <v>24</v>
      </c>
      <c r="C9" s="220" t="s">
        <v>27</v>
      </c>
      <c r="D9" s="220" t="s">
        <v>13</v>
      </c>
      <c r="E9" s="220" t="s">
        <v>14</v>
      </c>
      <c r="F9" s="220" t="s">
        <v>15</v>
      </c>
      <c r="G9" s="220" t="s">
        <v>16</v>
      </c>
      <c r="H9" s="221"/>
    </row>
    <row r="10" spans="1:586" s="223" customFormat="1" ht="20.25" customHeight="1" x14ac:dyDescent="0.35">
      <c r="B10" s="224" t="s">
        <v>2</v>
      </c>
      <c r="C10" s="234" t="s">
        <v>197</v>
      </c>
      <c r="D10" s="235" t="s">
        <v>142</v>
      </c>
      <c r="E10" s="235" t="s">
        <v>142</v>
      </c>
      <c r="F10" s="235" t="s">
        <v>142</v>
      </c>
      <c r="G10" s="235" t="s">
        <v>142</v>
      </c>
      <c r="H10" s="236" t="s">
        <v>71</v>
      </c>
    </row>
    <row r="11" spans="1:586" s="223" customFormat="1" ht="20.25" customHeight="1" x14ac:dyDescent="0.35">
      <c r="B11" s="238" t="s">
        <v>2</v>
      </c>
      <c r="C11" s="239" t="s">
        <v>198</v>
      </c>
      <c r="D11" s="240" t="s">
        <v>142</v>
      </c>
      <c r="E11" s="235" t="s">
        <v>142</v>
      </c>
      <c r="F11" s="235" t="s">
        <v>142</v>
      </c>
      <c r="G11" s="235" t="s">
        <v>142</v>
      </c>
      <c r="H11" s="235" t="s">
        <v>199</v>
      </c>
    </row>
    <row r="12" spans="1:586" s="223" customFormat="1" ht="20.25" customHeight="1" x14ac:dyDescent="0.35">
      <c r="B12" s="238" t="s">
        <v>2</v>
      </c>
      <c r="C12" s="241" t="s">
        <v>200</v>
      </c>
      <c r="D12" s="235">
        <v>1</v>
      </c>
      <c r="E12" s="227">
        <v>750</v>
      </c>
      <c r="F12" s="228">
        <f t="shared" ref="F12:F13" si="1">D12*E12</f>
        <v>750</v>
      </c>
      <c r="G12" s="227">
        <v>0</v>
      </c>
      <c r="H12" s="242"/>
    </row>
    <row r="13" spans="1:586" s="223" customFormat="1" ht="15.75" customHeight="1" x14ac:dyDescent="0.35">
      <c r="B13" s="238" t="s">
        <v>2</v>
      </c>
      <c r="C13" s="241" t="s">
        <v>68</v>
      </c>
      <c r="D13" s="235">
        <v>1</v>
      </c>
      <c r="E13" s="227">
        <v>1500</v>
      </c>
      <c r="F13" s="228">
        <f t="shared" si="1"/>
        <v>1500</v>
      </c>
      <c r="G13" s="227">
        <v>0</v>
      </c>
      <c r="H13" s="242"/>
      <c r="K13" s="243"/>
    </row>
    <row r="14" spans="1:586" s="223" customFormat="1" x14ac:dyDescent="0.35">
      <c r="B14" s="220" t="s">
        <v>26</v>
      </c>
      <c r="C14" s="244" t="s">
        <v>31</v>
      </c>
      <c r="D14" s="220" t="s">
        <v>13</v>
      </c>
      <c r="E14" s="244" t="s">
        <v>14</v>
      </c>
      <c r="F14" s="220" t="s">
        <v>15</v>
      </c>
      <c r="G14" s="244" t="s">
        <v>16</v>
      </c>
      <c r="H14" s="221"/>
    </row>
    <row r="15" spans="1:586" s="223" customFormat="1" x14ac:dyDescent="0.35">
      <c r="B15" s="238" t="s">
        <v>2</v>
      </c>
      <c r="C15" s="245" t="s">
        <v>201</v>
      </c>
      <c r="D15" s="235">
        <v>1</v>
      </c>
      <c r="E15" s="227">
        <v>1500</v>
      </c>
      <c r="F15" s="228">
        <f t="shared" ref="F15" si="2">D15*E15</f>
        <v>1500</v>
      </c>
      <c r="G15" s="227">
        <v>0</v>
      </c>
      <c r="H15" s="236"/>
    </row>
    <row r="16" spans="1:586" s="223" customFormat="1" x14ac:dyDescent="0.35">
      <c r="B16" s="246" t="s">
        <v>2</v>
      </c>
      <c r="C16" s="247" t="s">
        <v>202</v>
      </c>
      <c r="D16" s="227" t="s">
        <v>142</v>
      </c>
      <c r="E16" s="227" t="s">
        <v>142</v>
      </c>
      <c r="F16" s="227" t="s">
        <v>142</v>
      </c>
      <c r="G16" s="227" t="s">
        <v>142</v>
      </c>
      <c r="H16" s="235"/>
    </row>
    <row r="17" spans="2:8" s="222" customFormat="1" x14ac:dyDescent="0.35">
      <c r="B17" s="246" t="s">
        <v>2</v>
      </c>
      <c r="C17" s="247" t="s">
        <v>203</v>
      </c>
      <c r="D17" s="235" t="s">
        <v>142</v>
      </c>
      <c r="E17" s="235" t="s">
        <v>142</v>
      </c>
      <c r="F17" s="235" t="s">
        <v>142</v>
      </c>
      <c r="G17" s="235" t="s">
        <v>142</v>
      </c>
      <c r="H17" s="235" t="s">
        <v>199</v>
      </c>
    </row>
    <row r="18" spans="2:8" s="223" customFormat="1" x14ac:dyDescent="0.35">
      <c r="B18" s="238" t="s">
        <v>2</v>
      </c>
      <c r="C18" s="248" t="s">
        <v>204</v>
      </c>
      <c r="D18" s="235">
        <f>D6</f>
        <v>1</v>
      </c>
      <c r="E18" s="227">
        <v>1000</v>
      </c>
      <c r="F18" s="228">
        <f t="shared" ref="F18" si="3">D18*E18</f>
        <v>1000</v>
      </c>
      <c r="G18" s="227">
        <v>0</v>
      </c>
      <c r="H18" s="236"/>
    </row>
    <row r="19" spans="2:8" s="223" customFormat="1" x14ac:dyDescent="0.35">
      <c r="B19" s="249" t="s">
        <v>37</v>
      </c>
      <c r="C19" s="303" t="s">
        <v>38</v>
      </c>
      <c r="D19" s="303"/>
      <c r="E19" s="303"/>
      <c r="F19" s="249" t="s">
        <v>39</v>
      </c>
      <c r="G19" s="249" t="s">
        <v>16</v>
      </c>
      <c r="H19" s="250"/>
    </row>
    <row r="20" spans="2:8" s="223" customFormat="1" x14ac:dyDescent="0.35">
      <c r="B20" s="251">
        <v>1</v>
      </c>
      <c r="C20" s="291" t="s">
        <v>205</v>
      </c>
      <c r="D20" s="291"/>
      <c r="E20" s="291"/>
      <c r="F20" s="252">
        <f>SUM(F6:F13)</f>
        <v>5792</v>
      </c>
      <c r="G20" s="252">
        <f>SUM(G6:G13)</f>
        <v>0</v>
      </c>
      <c r="H20" s="253"/>
    </row>
    <row r="21" spans="2:8" s="223" customFormat="1" x14ac:dyDescent="0.35">
      <c r="B21" s="254">
        <v>2</v>
      </c>
      <c r="C21" s="292" t="s">
        <v>206</v>
      </c>
      <c r="D21" s="292"/>
      <c r="E21" s="292"/>
      <c r="F21" s="255">
        <f>SUM(F15:F18)</f>
        <v>2500</v>
      </c>
      <c r="G21" s="255">
        <f>SUM(G15:G18)</f>
        <v>0</v>
      </c>
      <c r="H21" s="256"/>
    </row>
    <row r="22" spans="2:8" s="223" customFormat="1" x14ac:dyDescent="0.35">
      <c r="B22" s="257"/>
      <c r="C22" s="293" t="s">
        <v>207</v>
      </c>
      <c r="D22" s="293"/>
      <c r="E22" s="293"/>
      <c r="F22" s="258">
        <f>SUM(F20:F21)</f>
        <v>8292</v>
      </c>
      <c r="G22" s="258">
        <f>SUM(G20:G21)</f>
        <v>0</v>
      </c>
      <c r="H22" s="259"/>
    </row>
    <row r="23" spans="2:8" s="223" customFormat="1" x14ac:dyDescent="0.35">
      <c r="D23" s="222"/>
      <c r="E23" s="222"/>
      <c r="F23" s="260">
        <f>F22*12</f>
        <v>99504</v>
      </c>
      <c r="G23" s="261"/>
      <c r="H23" s="222"/>
    </row>
    <row r="24" spans="2:8" s="223" customFormat="1" x14ac:dyDescent="0.35">
      <c r="D24" s="222"/>
      <c r="E24" s="222"/>
      <c r="F24" s="261"/>
      <c r="G24" s="261"/>
      <c r="H24" s="261"/>
    </row>
    <row r="25" spans="2:8" s="223" customFormat="1" x14ac:dyDescent="0.35">
      <c r="D25" s="222"/>
      <c r="E25" s="222"/>
      <c r="F25" s="260"/>
      <c r="G25" s="261"/>
      <c r="H25" s="261"/>
    </row>
    <row r="26" spans="2:8" s="223" customFormat="1" x14ac:dyDescent="0.35">
      <c r="D26" s="222"/>
      <c r="E26" s="222"/>
      <c r="F26" s="260"/>
      <c r="G26" s="261"/>
      <c r="H26" s="261"/>
    </row>
    <row r="27" spans="2:8" s="223" customFormat="1" x14ac:dyDescent="0.35">
      <c r="D27" s="222"/>
      <c r="E27" s="222"/>
      <c r="F27" s="260"/>
      <c r="G27" s="222"/>
      <c r="H27" s="222"/>
    </row>
    <row r="28" spans="2:8" s="223" customFormat="1" x14ac:dyDescent="0.35">
      <c r="D28" s="222"/>
      <c r="E28" s="222"/>
      <c r="F28" s="222"/>
      <c r="G28" s="222"/>
      <c r="H28" s="222"/>
    </row>
    <row r="29" spans="2:8" s="223" customFormat="1" x14ac:dyDescent="0.35">
      <c r="D29" s="222"/>
      <c r="E29" s="222"/>
      <c r="F29" s="222"/>
      <c r="G29" s="222"/>
      <c r="H29" s="222"/>
    </row>
    <row r="30" spans="2:8" s="223" customFormat="1" x14ac:dyDescent="0.35">
      <c r="D30" s="222"/>
      <c r="E30" s="222"/>
      <c r="F30" s="222"/>
      <c r="G30" s="222"/>
      <c r="H30" s="222"/>
    </row>
    <row r="31" spans="2:8" s="223" customFormat="1" x14ac:dyDescent="0.35">
      <c r="D31" s="222"/>
      <c r="E31" s="222"/>
      <c r="F31" s="222"/>
      <c r="G31" s="222"/>
      <c r="H31" s="222"/>
    </row>
    <row r="32" spans="2:8" s="223" customFormat="1" x14ac:dyDescent="0.35">
      <c r="D32" s="222"/>
      <c r="E32" s="222"/>
      <c r="F32" s="222"/>
      <c r="G32" s="222"/>
      <c r="H32" s="222"/>
    </row>
    <row r="33" spans="4:8" s="223" customFormat="1" x14ac:dyDescent="0.35">
      <c r="D33" s="222"/>
      <c r="E33" s="222"/>
      <c r="F33" s="222"/>
      <c r="G33" s="222"/>
      <c r="H33" s="222"/>
    </row>
    <row r="34" spans="4:8" s="223" customFormat="1" x14ac:dyDescent="0.35">
      <c r="D34" s="222"/>
      <c r="E34" s="222"/>
      <c r="F34" s="222"/>
      <c r="G34" s="222"/>
      <c r="H34" s="222"/>
    </row>
    <row r="35" spans="4:8" s="223" customFormat="1" x14ac:dyDescent="0.35">
      <c r="D35" s="222"/>
      <c r="E35" s="222"/>
      <c r="F35" s="222"/>
      <c r="G35" s="222"/>
      <c r="H35" s="222"/>
    </row>
    <row r="36" spans="4:8" s="223" customFormat="1" x14ac:dyDescent="0.35">
      <c r="D36" s="222"/>
      <c r="E36" s="222"/>
      <c r="F36" s="222"/>
      <c r="G36" s="222"/>
      <c r="H36" s="222"/>
    </row>
    <row r="37" spans="4:8" s="223" customFormat="1" x14ac:dyDescent="0.35">
      <c r="D37" s="222"/>
      <c r="E37" s="222"/>
      <c r="F37" s="222"/>
      <c r="G37" s="222"/>
      <c r="H37" s="222"/>
    </row>
    <row r="38" spans="4:8" s="223" customFormat="1" x14ac:dyDescent="0.35">
      <c r="D38" s="222"/>
      <c r="E38" s="222"/>
      <c r="F38" s="222"/>
      <c r="G38" s="222"/>
      <c r="H38" s="222"/>
    </row>
    <row r="39" spans="4:8" s="223" customFormat="1" x14ac:dyDescent="0.35">
      <c r="D39" s="222"/>
      <c r="E39" s="222"/>
      <c r="F39" s="222"/>
      <c r="G39" s="222"/>
      <c r="H39" s="222"/>
    </row>
    <row r="40" spans="4:8" s="223" customFormat="1" x14ac:dyDescent="0.35">
      <c r="D40" s="222"/>
      <c r="E40" s="222"/>
      <c r="F40" s="222"/>
      <c r="G40" s="222"/>
      <c r="H40" s="222"/>
    </row>
    <row r="41" spans="4:8" s="223" customFormat="1" x14ac:dyDescent="0.35">
      <c r="D41" s="222"/>
      <c r="E41" s="222"/>
      <c r="F41" s="222"/>
      <c r="G41" s="222"/>
      <c r="H41" s="222"/>
    </row>
    <row r="42" spans="4:8" s="223" customFormat="1" x14ac:dyDescent="0.35">
      <c r="D42" s="222"/>
      <c r="E42" s="222"/>
      <c r="F42" s="222"/>
      <c r="G42" s="222"/>
      <c r="H42" s="222"/>
    </row>
    <row r="43" spans="4:8" s="223" customFormat="1" x14ac:dyDescent="0.35">
      <c r="D43" s="222"/>
      <c r="E43" s="222"/>
      <c r="F43" s="222"/>
      <c r="G43" s="222"/>
      <c r="H43" s="222"/>
    </row>
    <row r="44" spans="4:8" s="223" customFormat="1" x14ac:dyDescent="0.35">
      <c r="D44" s="222"/>
      <c r="E44" s="222"/>
      <c r="F44" s="222"/>
      <c r="G44" s="222"/>
      <c r="H44" s="222"/>
    </row>
    <row r="45" spans="4:8" s="223" customFormat="1" x14ac:dyDescent="0.35">
      <c r="D45" s="222"/>
      <c r="E45" s="222"/>
      <c r="F45" s="222"/>
      <c r="G45" s="222"/>
      <c r="H45" s="222"/>
    </row>
    <row r="46" spans="4:8" s="223" customFormat="1" x14ac:dyDescent="0.35">
      <c r="D46" s="222"/>
      <c r="E46" s="222"/>
      <c r="F46" s="222"/>
      <c r="G46" s="222"/>
      <c r="H46" s="222"/>
    </row>
    <row r="47" spans="4:8" s="223" customFormat="1" x14ac:dyDescent="0.35">
      <c r="D47" s="222"/>
      <c r="E47" s="222"/>
      <c r="F47" s="222"/>
      <c r="G47" s="222"/>
      <c r="H47" s="222"/>
    </row>
    <row r="48" spans="4:8" s="223" customFormat="1" x14ac:dyDescent="0.35">
      <c r="D48" s="222"/>
      <c r="E48" s="222"/>
      <c r="F48" s="222"/>
      <c r="G48" s="222"/>
      <c r="H48" s="222"/>
    </row>
    <row r="49" spans="4:8" s="223" customFormat="1" x14ac:dyDescent="0.35">
      <c r="D49" s="222"/>
      <c r="E49" s="222"/>
      <c r="F49" s="222"/>
      <c r="G49" s="222"/>
      <c r="H49" s="222"/>
    </row>
    <row r="50" spans="4:8" s="223" customFormat="1" x14ac:dyDescent="0.35">
      <c r="D50" s="222"/>
      <c r="E50" s="222"/>
      <c r="F50" s="222"/>
      <c r="G50" s="222"/>
      <c r="H50" s="222"/>
    </row>
    <row r="51" spans="4:8" s="223" customFormat="1" x14ac:dyDescent="0.35">
      <c r="D51" s="222"/>
      <c r="E51" s="222"/>
      <c r="F51" s="222"/>
      <c r="G51" s="222"/>
      <c r="H51" s="222"/>
    </row>
    <row r="52" spans="4:8" s="223" customFormat="1" x14ac:dyDescent="0.35">
      <c r="D52" s="222"/>
      <c r="E52" s="222"/>
      <c r="F52" s="222"/>
      <c r="G52" s="222"/>
      <c r="H52" s="222"/>
    </row>
    <row r="53" spans="4:8" s="223" customFormat="1" x14ac:dyDescent="0.35">
      <c r="D53" s="222"/>
      <c r="E53" s="222"/>
      <c r="F53" s="222"/>
      <c r="G53" s="222"/>
      <c r="H53" s="222"/>
    </row>
    <row r="54" spans="4:8" s="223" customFormat="1" x14ac:dyDescent="0.35">
      <c r="D54" s="222"/>
      <c r="E54" s="222"/>
      <c r="F54" s="222"/>
      <c r="G54" s="222"/>
      <c r="H54" s="222"/>
    </row>
    <row r="55" spans="4:8" s="223" customFormat="1" x14ac:dyDescent="0.35">
      <c r="D55" s="222"/>
      <c r="E55" s="222"/>
      <c r="F55" s="222"/>
      <c r="G55" s="222"/>
      <c r="H55" s="222"/>
    </row>
    <row r="56" spans="4:8" s="223" customFormat="1" x14ac:dyDescent="0.35">
      <c r="D56" s="222"/>
      <c r="E56" s="222"/>
      <c r="F56" s="222"/>
      <c r="G56" s="222"/>
      <c r="H56" s="222"/>
    </row>
    <row r="57" spans="4:8" s="223" customFormat="1" x14ac:dyDescent="0.35">
      <c r="D57" s="222"/>
      <c r="E57" s="222"/>
      <c r="F57" s="222"/>
      <c r="G57" s="222"/>
      <c r="H57" s="222"/>
    </row>
    <row r="58" spans="4:8" s="223" customFormat="1" x14ac:dyDescent="0.35">
      <c r="D58" s="222"/>
      <c r="E58" s="222"/>
      <c r="F58" s="222"/>
      <c r="G58" s="222"/>
      <c r="H58" s="222"/>
    </row>
    <row r="59" spans="4:8" s="223" customFormat="1" x14ac:dyDescent="0.35">
      <c r="D59" s="222"/>
      <c r="E59" s="222"/>
      <c r="F59" s="222"/>
      <c r="G59" s="222"/>
      <c r="H59" s="222"/>
    </row>
    <row r="60" spans="4:8" s="223" customFormat="1" x14ac:dyDescent="0.35">
      <c r="D60" s="222"/>
      <c r="E60" s="222"/>
      <c r="F60" s="222"/>
      <c r="G60" s="222"/>
      <c r="H60" s="222"/>
    </row>
    <row r="61" spans="4:8" s="223" customFormat="1" x14ac:dyDescent="0.35">
      <c r="D61" s="222"/>
      <c r="E61" s="222"/>
      <c r="F61" s="222"/>
      <c r="G61" s="222"/>
      <c r="H61" s="222"/>
    </row>
    <row r="62" spans="4:8" s="223" customFormat="1" x14ac:dyDescent="0.35">
      <c r="D62" s="222"/>
      <c r="E62" s="222"/>
      <c r="F62" s="222"/>
      <c r="G62" s="222"/>
      <c r="H62" s="222"/>
    </row>
    <row r="63" spans="4:8" s="223" customFormat="1" x14ac:dyDescent="0.35">
      <c r="D63" s="222"/>
      <c r="E63" s="222"/>
      <c r="F63" s="222"/>
      <c r="G63" s="222"/>
      <c r="H63" s="222"/>
    </row>
    <row r="64" spans="4:8" s="223" customFormat="1" x14ac:dyDescent="0.35">
      <c r="D64" s="222"/>
      <c r="E64" s="222"/>
      <c r="F64" s="222"/>
      <c r="G64" s="222"/>
      <c r="H64" s="222"/>
    </row>
    <row r="65" spans="4:8" s="223" customFormat="1" x14ac:dyDescent="0.35">
      <c r="D65" s="222"/>
      <c r="E65" s="222"/>
      <c r="F65" s="222"/>
      <c r="G65" s="222"/>
      <c r="H65" s="222"/>
    </row>
    <row r="66" spans="4:8" s="223" customFormat="1" x14ac:dyDescent="0.35">
      <c r="D66" s="222"/>
      <c r="E66" s="222"/>
      <c r="F66" s="222"/>
      <c r="G66" s="222"/>
      <c r="H66" s="222"/>
    </row>
    <row r="67" spans="4:8" s="223" customFormat="1" x14ac:dyDescent="0.35">
      <c r="D67" s="222"/>
      <c r="E67" s="222"/>
      <c r="F67" s="222"/>
      <c r="G67" s="222"/>
      <c r="H67" s="222"/>
    </row>
    <row r="68" spans="4:8" s="223" customFormat="1" x14ac:dyDescent="0.35">
      <c r="D68" s="222"/>
      <c r="E68" s="222"/>
      <c r="F68" s="222"/>
      <c r="G68" s="222"/>
      <c r="H68" s="222"/>
    </row>
    <row r="69" spans="4:8" s="223" customFormat="1" x14ac:dyDescent="0.35">
      <c r="D69" s="222"/>
      <c r="E69" s="222"/>
      <c r="F69" s="222"/>
      <c r="G69" s="222"/>
      <c r="H69" s="222"/>
    </row>
    <row r="70" spans="4:8" s="223" customFormat="1" x14ac:dyDescent="0.35">
      <c r="D70" s="222"/>
      <c r="E70" s="222"/>
      <c r="F70" s="222"/>
      <c r="G70" s="222"/>
      <c r="H70" s="222"/>
    </row>
    <row r="71" spans="4:8" s="223" customFormat="1" x14ac:dyDescent="0.35">
      <c r="D71" s="222"/>
      <c r="E71" s="222"/>
      <c r="F71" s="222"/>
      <c r="G71" s="222"/>
      <c r="H71" s="222"/>
    </row>
    <row r="72" spans="4:8" s="223" customFormat="1" x14ac:dyDescent="0.35">
      <c r="D72" s="222"/>
      <c r="E72" s="222"/>
      <c r="F72" s="222"/>
      <c r="G72" s="222"/>
      <c r="H72" s="222"/>
    </row>
    <row r="73" spans="4:8" s="223" customFormat="1" x14ac:dyDescent="0.35">
      <c r="D73" s="222"/>
      <c r="E73" s="222"/>
      <c r="F73" s="222"/>
      <c r="G73" s="222"/>
      <c r="H73" s="222"/>
    </row>
    <row r="74" spans="4:8" s="223" customFormat="1" x14ac:dyDescent="0.35">
      <c r="D74" s="222"/>
      <c r="E74" s="222"/>
      <c r="F74" s="222"/>
      <c r="G74" s="222"/>
      <c r="H74" s="222"/>
    </row>
    <row r="75" spans="4:8" s="223" customFormat="1" x14ac:dyDescent="0.35">
      <c r="D75" s="222"/>
      <c r="E75" s="222"/>
      <c r="F75" s="222"/>
      <c r="G75" s="222"/>
      <c r="H75" s="222"/>
    </row>
    <row r="76" spans="4:8" s="223" customFormat="1" x14ac:dyDescent="0.35">
      <c r="D76" s="222"/>
      <c r="E76" s="222"/>
      <c r="F76" s="222"/>
      <c r="G76" s="222"/>
      <c r="H76" s="222"/>
    </row>
    <row r="77" spans="4:8" s="223" customFormat="1" x14ac:dyDescent="0.35">
      <c r="D77" s="222"/>
      <c r="E77" s="222"/>
      <c r="F77" s="222"/>
      <c r="G77" s="222"/>
      <c r="H77" s="222"/>
    </row>
    <row r="78" spans="4:8" s="223" customFormat="1" x14ac:dyDescent="0.35">
      <c r="D78" s="222"/>
      <c r="E78" s="222"/>
      <c r="F78" s="222"/>
      <c r="G78" s="222"/>
      <c r="H78" s="222"/>
    </row>
    <row r="79" spans="4:8" s="223" customFormat="1" x14ac:dyDescent="0.35">
      <c r="D79" s="222"/>
      <c r="E79" s="222"/>
      <c r="F79" s="222"/>
      <c r="G79" s="222"/>
      <c r="H79" s="222"/>
    </row>
    <row r="80" spans="4:8" s="223" customFormat="1" x14ac:dyDescent="0.35">
      <c r="D80" s="222"/>
      <c r="E80" s="222"/>
      <c r="F80" s="222"/>
      <c r="G80" s="222"/>
      <c r="H80" s="222"/>
    </row>
    <row r="81" spans="4:8" s="223" customFormat="1" x14ac:dyDescent="0.35">
      <c r="D81" s="222"/>
      <c r="E81" s="222"/>
      <c r="F81" s="222"/>
      <c r="G81" s="222"/>
      <c r="H81" s="222"/>
    </row>
    <row r="82" spans="4:8" s="223" customFormat="1" x14ac:dyDescent="0.35">
      <c r="D82" s="222"/>
      <c r="E82" s="222"/>
      <c r="F82" s="222"/>
      <c r="G82" s="222"/>
      <c r="H82" s="222"/>
    </row>
    <row r="83" spans="4:8" s="223" customFormat="1" x14ac:dyDescent="0.35">
      <c r="D83" s="222"/>
      <c r="E83" s="222"/>
      <c r="F83" s="222"/>
      <c r="G83" s="222"/>
      <c r="H83" s="222"/>
    </row>
    <row r="84" spans="4:8" s="223" customFormat="1" x14ac:dyDescent="0.35">
      <c r="D84" s="222"/>
      <c r="E84" s="222"/>
      <c r="F84" s="222"/>
      <c r="G84" s="222"/>
      <c r="H84" s="222"/>
    </row>
    <row r="85" spans="4:8" s="223" customFormat="1" x14ac:dyDescent="0.35">
      <c r="D85" s="222"/>
      <c r="E85" s="222"/>
      <c r="F85" s="222"/>
      <c r="G85" s="222"/>
      <c r="H85" s="222"/>
    </row>
    <row r="86" spans="4:8" s="223" customFormat="1" x14ac:dyDescent="0.35">
      <c r="D86" s="222"/>
      <c r="E86" s="222"/>
      <c r="F86" s="222"/>
      <c r="G86" s="222"/>
      <c r="H86" s="222"/>
    </row>
    <row r="87" spans="4:8" s="223" customFormat="1" x14ac:dyDescent="0.35">
      <c r="D87" s="222"/>
      <c r="E87" s="222"/>
      <c r="F87" s="222"/>
      <c r="G87" s="222"/>
      <c r="H87" s="222"/>
    </row>
    <row r="88" spans="4:8" s="223" customFormat="1" x14ac:dyDescent="0.35">
      <c r="D88" s="222"/>
      <c r="E88" s="222"/>
      <c r="F88" s="222"/>
      <c r="G88" s="222"/>
      <c r="H88" s="222"/>
    </row>
    <row r="89" spans="4:8" s="223" customFormat="1" x14ac:dyDescent="0.35">
      <c r="D89" s="222"/>
      <c r="E89" s="222"/>
      <c r="F89" s="222"/>
      <c r="G89" s="222"/>
      <c r="H89" s="222"/>
    </row>
    <row r="90" spans="4:8" s="223" customFormat="1" x14ac:dyDescent="0.35">
      <c r="D90" s="222"/>
      <c r="E90" s="222"/>
      <c r="F90" s="222"/>
      <c r="G90" s="222"/>
      <c r="H90" s="222"/>
    </row>
    <row r="91" spans="4:8" s="223" customFormat="1" x14ac:dyDescent="0.35">
      <c r="D91" s="222"/>
      <c r="E91" s="222"/>
      <c r="F91" s="222"/>
      <c r="G91" s="222"/>
      <c r="H91" s="222"/>
    </row>
    <row r="92" spans="4:8" s="223" customFormat="1" x14ac:dyDescent="0.35">
      <c r="D92" s="222"/>
      <c r="E92" s="222"/>
      <c r="F92" s="222"/>
      <c r="G92" s="222"/>
      <c r="H92" s="222"/>
    </row>
    <row r="93" spans="4:8" s="223" customFormat="1" x14ac:dyDescent="0.35">
      <c r="D93" s="222"/>
      <c r="E93" s="222"/>
      <c r="F93" s="222"/>
      <c r="G93" s="222"/>
      <c r="H93" s="222"/>
    </row>
    <row r="94" spans="4:8" s="223" customFormat="1" x14ac:dyDescent="0.35">
      <c r="D94" s="222"/>
      <c r="E94" s="222"/>
      <c r="F94" s="222"/>
      <c r="G94" s="222"/>
      <c r="H94" s="222"/>
    </row>
    <row r="95" spans="4:8" s="223" customFormat="1" x14ac:dyDescent="0.35">
      <c r="D95" s="222"/>
      <c r="E95" s="222"/>
      <c r="F95" s="222"/>
      <c r="G95" s="222"/>
      <c r="H95" s="222"/>
    </row>
    <row r="96" spans="4:8" s="223" customFormat="1" x14ac:dyDescent="0.35">
      <c r="D96" s="222"/>
      <c r="E96" s="222"/>
      <c r="F96" s="222"/>
      <c r="G96" s="222"/>
      <c r="H96" s="222"/>
    </row>
    <row r="97" spans="4:8" s="223" customFormat="1" x14ac:dyDescent="0.35">
      <c r="D97" s="222"/>
      <c r="E97" s="222"/>
      <c r="F97" s="222"/>
      <c r="G97" s="222"/>
      <c r="H97" s="222"/>
    </row>
    <row r="98" spans="4:8" s="223" customFormat="1" x14ac:dyDescent="0.35">
      <c r="D98" s="222"/>
      <c r="E98" s="222"/>
      <c r="F98" s="222"/>
      <c r="G98" s="222"/>
      <c r="H98" s="222"/>
    </row>
    <row r="99" spans="4:8" s="223" customFormat="1" x14ac:dyDescent="0.35">
      <c r="D99" s="222"/>
      <c r="E99" s="222"/>
      <c r="F99" s="222"/>
      <c r="G99" s="222"/>
      <c r="H99" s="222"/>
    </row>
    <row r="100" spans="4:8" s="223" customFormat="1" x14ac:dyDescent="0.35">
      <c r="D100" s="222"/>
      <c r="E100" s="222"/>
      <c r="F100" s="222"/>
      <c r="G100" s="222"/>
      <c r="H100" s="222"/>
    </row>
    <row r="101" spans="4:8" s="223" customFormat="1" x14ac:dyDescent="0.35">
      <c r="D101" s="222"/>
      <c r="E101" s="222"/>
      <c r="F101" s="222"/>
      <c r="G101" s="222"/>
      <c r="H101" s="222"/>
    </row>
    <row r="102" spans="4:8" s="223" customFormat="1" x14ac:dyDescent="0.35">
      <c r="D102" s="222"/>
      <c r="E102" s="222"/>
      <c r="F102" s="222"/>
      <c r="G102" s="222"/>
      <c r="H102" s="222"/>
    </row>
    <row r="103" spans="4:8" s="223" customFormat="1" x14ac:dyDescent="0.35">
      <c r="D103" s="222"/>
      <c r="E103" s="222"/>
      <c r="F103" s="222"/>
      <c r="G103" s="222"/>
      <c r="H103" s="222"/>
    </row>
    <row r="104" spans="4:8" s="223" customFormat="1" x14ac:dyDescent="0.35">
      <c r="D104" s="222"/>
      <c r="E104" s="222"/>
      <c r="F104" s="222"/>
      <c r="G104" s="222"/>
      <c r="H104" s="222"/>
    </row>
    <row r="105" spans="4:8" s="223" customFormat="1" x14ac:dyDescent="0.35">
      <c r="D105" s="222"/>
      <c r="E105" s="222"/>
      <c r="F105" s="222"/>
      <c r="G105" s="222"/>
      <c r="H105" s="222"/>
    </row>
    <row r="106" spans="4:8" s="223" customFormat="1" x14ac:dyDescent="0.35">
      <c r="D106" s="222"/>
      <c r="E106" s="222"/>
      <c r="F106" s="222"/>
      <c r="G106" s="222"/>
      <c r="H106" s="222"/>
    </row>
    <row r="107" spans="4:8" s="223" customFormat="1" x14ac:dyDescent="0.35">
      <c r="D107" s="222"/>
      <c r="E107" s="222"/>
      <c r="F107" s="222"/>
      <c r="G107" s="222"/>
      <c r="H107" s="222"/>
    </row>
    <row r="108" spans="4:8" s="223" customFormat="1" x14ac:dyDescent="0.35">
      <c r="D108" s="222"/>
      <c r="E108" s="222"/>
      <c r="F108" s="222"/>
      <c r="G108" s="222"/>
      <c r="H108" s="222"/>
    </row>
    <row r="109" spans="4:8" s="223" customFormat="1" x14ac:dyDescent="0.35">
      <c r="D109" s="222"/>
      <c r="E109" s="222"/>
      <c r="F109" s="222"/>
      <c r="G109" s="222"/>
      <c r="H109" s="222"/>
    </row>
    <row r="110" spans="4:8" s="223" customFormat="1" x14ac:dyDescent="0.35">
      <c r="D110" s="222"/>
      <c r="E110" s="222"/>
      <c r="F110" s="222"/>
      <c r="G110" s="222"/>
      <c r="H110" s="222"/>
    </row>
    <row r="111" spans="4:8" s="223" customFormat="1" x14ac:dyDescent="0.35">
      <c r="D111" s="222"/>
      <c r="E111" s="222"/>
      <c r="F111" s="222"/>
      <c r="G111" s="222"/>
      <c r="H111" s="222"/>
    </row>
    <row r="112" spans="4:8" s="223" customFormat="1" x14ac:dyDescent="0.35">
      <c r="D112" s="222"/>
      <c r="E112" s="222"/>
      <c r="F112" s="222"/>
      <c r="G112" s="222"/>
      <c r="H112" s="222"/>
    </row>
    <row r="113" spans="4:8" s="223" customFormat="1" x14ac:dyDescent="0.35">
      <c r="D113" s="222"/>
      <c r="E113" s="222"/>
      <c r="F113" s="222"/>
      <c r="G113" s="222"/>
      <c r="H113" s="222"/>
    </row>
    <row r="114" spans="4:8" s="223" customFormat="1" x14ac:dyDescent="0.35">
      <c r="D114" s="222"/>
      <c r="E114" s="222"/>
      <c r="F114" s="222"/>
      <c r="G114" s="222"/>
      <c r="H114" s="222"/>
    </row>
    <row r="115" spans="4:8" s="223" customFormat="1" x14ac:dyDescent="0.35">
      <c r="D115" s="222"/>
      <c r="E115" s="222"/>
      <c r="F115" s="222"/>
      <c r="G115" s="222"/>
      <c r="H115" s="222"/>
    </row>
    <row r="116" spans="4:8" s="223" customFormat="1" x14ac:dyDescent="0.35">
      <c r="D116" s="222"/>
      <c r="E116" s="222"/>
      <c r="F116" s="222"/>
      <c r="G116" s="222"/>
      <c r="H116" s="222"/>
    </row>
    <row r="117" spans="4:8" s="223" customFormat="1" x14ac:dyDescent="0.35">
      <c r="D117" s="222"/>
      <c r="E117" s="222"/>
      <c r="F117" s="222"/>
      <c r="G117" s="222"/>
      <c r="H117" s="222"/>
    </row>
    <row r="118" spans="4:8" s="223" customFormat="1" x14ac:dyDescent="0.35">
      <c r="D118" s="222"/>
      <c r="E118" s="222"/>
      <c r="F118" s="222"/>
      <c r="G118" s="222"/>
      <c r="H118" s="222"/>
    </row>
    <row r="119" spans="4:8" s="223" customFormat="1" x14ac:dyDescent="0.35">
      <c r="D119" s="222"/>
      <c r="E119" s="222"/>
      <c r="F119" s="222"/>
      <c r="G119" s="222"/>
      <c r="H119" s="222"/>
    </row>
    <row r="120" spans="4:8" s="223" customFormat="1" x14ac:dyDescent="0.35">
      <c r="D120" s="222"/>
      <c r="E120" s="222"/>
      <c r="F120" s="222"/>
      <c r="G120" s="222"/>
      <c r="H120" s="222"/>
    </row>
    <row r="121" spans="4:8" s="223" customFormat="1" x14ac:dyDescent="0.35">
      <c r="D121" s="222"/>
      <c r="E121" s="222"/>
      <c r="F121" s="222"/>
      <c r="G121" s="222"/>
      <c r="H121" s="222"/>
    </row>
    <row r="122" spans="4:8" s="223" customFormat="1" x14ac:dyDescent="0.35">
      <c r="D122" s="222"/>
      <c r="E122" s="222"/>
      <c r="F122" s="222"/>
      <c r="G122" s="222"/>
      <c r="H122" s="222"/>
    </row>
    <row r="123" spans="4:8" s="223" customFormat="1" x14ac:dyDescent="0.35">
      <c r="D123" s="222"/>
      <c r="E123" s="222"/>
      <c r="F123" s="222"/>
      <c r="G123" s="222"/>
      <c r="H123" s="222"/>
    </row>
    <row r="124" spans="4:8" s="223" customFormat="1" x14ac:dyDescent="0.35">
      <c r="D124" s="222"/>
      <c r="E124" s="222"/>
      <c r="F124" s="222"/>
      <c r="G124" s="222"/>
      <c r="H124" s="222"/>
    </row>
    <row r="125" spans="4:8" s="223" customFormat="1" x14ac:dyDescent="0.35">
      <c r="D125" s="222"/>
      <c r="E125" s="222"/>
      <c r="F125" s="222"/>
      <c r="G125" s="222"/>
      <c r="H125" s="222"/>
    </row>
    <row r="126" spans="4:8" s="223" customFormat="1" x14ac:dyDescent="0.35">
      <c r="D126" s="222"/>
      <c r="E126" s="222"/>
      <c r="F126" s="222"/>
      <c r="G126" s="222"/>
      <c r="H126" s="222"/>
    </row>
    <row r="127" spans="4:8" s="223" customFormat="1" x14ac:dyDescent="0.35">
      <c r="D127" s="222"/>
      <c r="E127" s="222"/>
      <c r="F127" s="222"/>
      <c r="G127" s="222"/>
      <c r="H127" s="222"/>
    </row>
    <row r="128" spans="4:8" s="223" customFormat="1" x14ac:dyDescent="0.35">
      <c r="D128" s="222"/>
      <c r="E128" s="222"/>
      <c r="F128" s="222"/>
      <c r="G128" s="222"/>
      <c r="H128" s="222"/>
    </row>
    <row r="129" spans="4:8" s="223" customFormat="1" x14ac:dyDescent="0.35">
      <c r="D129" s="222"/>
      <c r="E129" s="222"/>
      <c r="F129" s="222"/>
      <c r="G129" s="222"/>
      <c r="H129" s="222"/>
    </row>
    <row r="130" spans="4:8" s="223" customFormat="1" x14ac:dyDescent="0.35">
      <c r="D130" s="222"/>
      <c r="E130" s="222"/>
      <c r="F130" s="222"/>
      <c r="G130" s="222"/>
      <c r="H130" s="222"/>
    </row>
    <row r="131" spans="4:8" s="223" customFormat="1" x14ac:dyDescent="0.35">
      <c r="D131" s="222"/>
      <c r="E131" s="222"/>
      <c r="F131" s="222"/>
      <c r="G131" s="222"/>
      <c r="H131" s="222"/>
    </row>
    <row r="132" spans="4:8" s="223" customFormat="1" x14ac:dyDescent="0.35">
      <c r="D132" s="222"/>
      <c r="E132" s="222"/>
      <c r="F132" s="222"/>
      <c r="G132" s="222"/>
      <c r="H132" s="222"/>
    </row>
    <row r="133" spans="4:8" s="223" customFormat="1" x14ac:dyDescent="0.35">
      <c r="D133" s="222"/>
      <c r="E133" s="222"/>
      <c r="F133" s="222"/>
      <c r="G133" s="222"/>
      <c r="H133" s="222"/>
    </row>
    <row r="134" spans="4:8" s="223" customFormat="1" x14ac:dyDescent="0.35">
      <c r="D134" s="222"/>
      <c r="E134" s="222"/>
      <c r="F134" s="222"/>
      <c r="G134" s="222"/>
      <c r="H134" s="222"/>
    </row>
    <row r="135" spans="4:8" s="223" customFormat="1" x14ac:dyDescent="0.35">
      <c r="D135" s="222"/>
      <c r="E135" s="222"/>
      <c r="F135" s="222"/>
      <c r="G135" s="222"/>
      <c r="H135" s="222"/>
    </row>
    <row r="136" spans="4:8" s="223" customFormat="1" x14ac:dyDescent="0.35">
      <c r="D136" s="222"/>
      <c r="E136" s="222"/>
      <c r="F136" s="222"/>
      <c r="G136" s="222"/>
      <c r="H136" s="222"/>
    </row>
    <row r="137" spans="4:8" s="223" customFormat="1" x14ac:dyDescent="0.35">
      <c r="D137" s="222"/>
      <c r="E137" s="222"/>
      <c r="F137" s="222"/>
      <c r="G137" s="222"/>
      <c r="H137" s="222"/>
    </row>
    <row r="138" spans="4:8" s="223" customFormat="1" x14ac:dyDescent="0.35">
      <c r="D138" s="222"/>
      <c r="E138" s="222"/>
      <c r="F138" s="222"/>
      <c r="G138" s="222"/>
      <c r="H138" s="222"/>
    </row>
    <row r="139" spans="4:8" s="223" customFormat="1" x14ac:dyDescent="0.35">
      <c r="D139" s="222"/>
      <c r="E139" s="222"/>
      <c r="F139" s="222"/>
      <c r="G139" s="222"/>
      <c r="H139" s="222"/>
    </row>
    <row r="140" spans="4:8" s="223" customFormat="1" x14ac:dyDescent="0.35">
      <c r="D140" s="222"/>
      <c r="E140" s="222"/>
      <c r="F140" s="222"/>
      <c r="G140" s="222"/>
      <c r="H140" s="222"/>
    </row>
    <row r="141" spans="4:8" s="223" customFormat="1" x14ac:dyDescent="0.35">
      <c r="D141" s="222"/>
      <c r="E141" s="222"/>
      <c r="F141" s="222"/>
      <c r="G141" s="222"/>
      <c r="H141" s="222"/>
    </row>
    <row r="142" spans="4:8" s="223" customFormat="1" x14ac:dyDescent="0.35">
      <c r="D142" s="222"/>
      <c r="E142" s="222"/>
      <c r="F142" s="222"/>
      <c r="G142" s="222"/>
      <c r="H142" s="222"/>
    </row>
    <row r="143" spans="4:8" s="223" customFormat="1" x14ac:dyDescent="0.35">
      <c r="D143" s="222"/>
      <c r="E143" s="222"/>
      <c r="F143" s="222"/>
      <c r="G143" s="222"/>
      <c r="H143" s="222"/>
    </row>
    <row r="144" spans="4:8" s="223" customFormat="1" x14ac:dyDescent="0.35">
      <c r="D144" s="222"/>
      <c r="E144" s="222"/>
      <c r="F144" s="222"/>
      <c r="G144" s="222"/>
      <c r="H144" s="222"/>
    </row>
    <row r="145" spans="4:8" s="223" customFormat="1" x14ac:dyDescent="0.35">
      <c r="D145" s="222"/>
      <c r="E145" s="222"/>
      <c r="F145" s="222"/>
      <c r="G145" s="222"/>
      <c r="H145" s="222"/>
    </row>
    <row r="146" spans="4:8" s="223" customFormat="1" x14ac:dyDescent="0.35">
      <c r="D146" s="222"/>
      <c r="E146" s="222"/>
      <c r="F146" s="222"/>
      <c r="G146" s="222"/>
      <c r="H146" s="222"/>
    </row>
    <row r="147" spans="4:8" s="223" customFormat="1" x14ac:dyDescent="0.35">
      <c r="D147" s="222"/>
      <c r="E147" s="222"/>
      <c r="F147" s="222"/>
      <c r="G147" s="222"/>
      <c r="H147" s="222"/>
    </row>
    <row r="148" spans="4:8" s="223" customFormat="1" x14ac:dyDescent="0.35">
      <c r="D148" s="222"/>
      <c r="E148" s="222"/>
      <c r="F148" s="222"/>
      <c r="G148" s="222"/>
      <c r="H148" s="222"/>
    </row>
    <row r="149" spans="4:8" s="223" customFormat="1" x14ac:dyDescent="0.35">
      <c r="D149" s="222"/>
      <c r="E149" s="222"/>
      <c r="F149" s="222"/>
      <c r="G149" s="222"/>
      <c r="H149" s="222"/>
    </row>
    <row r="150" spans="4:8" s="223" customFormat="1" x14ac:dyDescent="0.35">
      <c r="D150" s="222"/>
      <c r="E150" s="222"/>
      <c r="F150" s="222"/>
      <c r="G150" s="222"/>
      <c r="H150" s="222"/>
    </row>
    <row r="151" spans="4:8" s="223" customFormat="1" x14ac:dyDescent="0.35">
      <c r="D151" s="222"/>
      <c r="E151" s="222"/>
      <c r="F151" s="222"/>
      <c r="G151" s="222"/>
      <c r="H151" s="222"/>
    </row>
    <row r="152" spans="4:8" s="223" customFormat="1" x14ac:dyDescent="0.35">
      <c r="D152" s="222"/>
      <c r="E152" s="222"/>
      <c r="F152" s="222"/>
      <c r="G152" s="222"/>
      <c r="H152" s="222"/>
    </row>
    <row r="153" spans="4:8" s="223" customFormat="1" x14ac:dyDescent="0.35">
      <c r="D153" s="222"/>
      <c r="E153" s="222"/>
      <c r="F153" s="222"/>
      <c r="G153" s="222"/>
      <c r="H153" s="222"/>
    </row>
    <row r="154" spans="4:8" s="223" customFormat="1" x14ac:dyDescent="0.35">
      <c r="D154" s="222"/>
      <c r="E154" s="222"/>
      <c r="F154" s="222"/>
      <c r="G154" s="222"/>
      <c r="H154" s="222"/>
    </row>
    <row r="155" spans="4:8" s="223" customFormat="1" x14ac:dyDescent="0.35">
      <c r="D155" s="222"/>
      <c r="E155" s="222"/>
      <c r="F155" s="222"/>
      <c r="G155" s="222"/>
      <c r="H155" s="222"/>
    </row>
    <row r="156" spans="4:8" s="223" customFormat="1" x14ac:dyDescent="0.35">
      <c r="D156" s="222"/>
      <c r="E156" s="222"/>
      <c r="F156" s="222"/>
      <c r="G156" s="222"/>
      <c r="H156" s="222"/>
    </row>
    <row r="157" spans="4:8" s="223" customFormat="1" x14ac:dyDescent="0.35">
      <c r="D157" s="222"/>
      <c r="E157" s="222"/>
      <c r="F157" s="222"/>
      <c r="G157" s="222"/>
      <c r="H157" s="222"/>
    </row>
    <row r="158" spans="4:8" s="223" customFormat="1" x14ac:dyDescent="0.35">
      <c r="D158" s="222"/>
      <c r="E158" s="222"/>
      <c r="F158" s="222"/>
      <c r="G158" s="222"/>
      <c r="H158" s="222"/>
    </row>
    <row r="159" spans="4:8" s="223" customFormat="1" x14ac:dyDescent="0.35">
      <c r="D159" s="222"/>
      <c r="E159" s="222"/>
      <c r="F159" s="222"/>
      <c r="G159" s="222"/>
      <c r="H159" s="222"/>
    </row>
    <row r="160" spans="4:8" s="223" customFormat="1" x14ac:dyDescent="0.35">
      <c r="D160" s="222"/>
      <c r="E160" s="222"/>
      <c r="F160" s="222"/>
      <c r="G160" s="222"/>
      <c r="H160" s="222"/>
    </row>
    <row r="161" spans="4:8" s="223" customFormat="1" x14ac:dyDescent="0.35">
      <c r="D161" s="222"/>
      <c r="E161" s="222"/>
      <c r="F161" s="222"/>
      <c r="G161" s="222"/>
      <c r="H161" s="222"/>
    </row>
    <row r="162" spans="4:8" s="223" customFormat="1" x14ac:dyDescent="0.35">
      <c r="D162" s="222"/>
      <c r="E162" s="222"/>
      <c r="F162" s="222"/>
      <c r="G162" s="222"/>
      <c r="H162" s="222"/>
    </row>
    <row r="163" spans="4:8" s="223" customFormat="1" x14ac:dyDescent="0.35">
      <c r="D163" s="222"/>
      <c r="E163" s="222"/>
      <c r="F163" s="222"/>
      <c r="G163" s="222"/>
      <c r="H163" s="222"/>
    </row>
    <row r="164" spans="4:8" s="223" customFormat="1" x14ac:dyDescent="0.35">
      <c r="D164" s="222"/>
      <c r="E164" s="222"/>
      <c r="F164" s="222"/>
      <c r="G164" s="222"/>
      <c r="H164" s="222"/>
    </row>
    <row r="165" spans="4:8" s="223" customFormat="1" x14ac:dyDescent="0.35">
      <c r="D165" s="222"/>
      <c r="E165" s="222"/>
      <c r="F165" s="222"/>
      <c r="G165" s="222"/>
      <c r="H165" s="222"/>
    </row>
    <row r="166" spans="4:8" s="223" customFormat="1" x14ac:dyDescent="0.35">
      <c r="D166" s="222"/>
      <c r="E166" s="222"/>
      <c r="F166" s="222"/>
      <c r="G166" s="222"/>
      <c r="H166" s="222"/>
    </row>
    <row r="167" spans="4:8" s="223" customFormat="1" x14ac:dyDescent="0.35">
      <c r="D167" s="222"/>
      <c r="E167" s="222"/>
      <c r="F167" s="222"/>
      <c r="G167" s="222"/>
      <c r="H167" s="222"/>
    </row>
    <row r="168" spans="4:8" s="223" customFormat="1" x14ac:dyDescent="0.35">
      <c r="D168" s="222"/>
      <c r="E168" s="222"/>
      <c r="F168" s="222"/>
      <c r="G168" s="222"/>
      <c r="H168" s="222"/>
    </row>
    <row r="169" spans="4:8" s="223" customFormat="1" x14ac:dyDescent="0.35">
      <c r="D169" s="222"/>
      <c r="E169" s="222"/>
      <c r="F169" s="222"/>
      <c r="G169" s="222"/>
      <c r="H169" s="222"/>
    </row>
    <row r="170" spans="4:8" s="223" customFormat="1" x14ac:dyDescent="0.35">
      <c r="D170" s="222"/>
      <c r="E170" s="222"/>
      <c r="F170" s="222"/>
      <c r="G170" s="222"/>
      <c r="H170" s="222"/>
    </row>
    <row r="171" spans="4:8" s="223" customFormat="1" x14ac:dyDescent="0.35">
      <c r="D171" s="222"/>
      <c r="E171" s="222"/>
      <c r="F171" s="222"/>
      <c r="G171" s="222"/>
      <c r="H171" s="222"/>
    </row>
    <row r="172" spans="4:8" s="223" customFormat="1" x14ac:dyDescent="0.35">
      <c r="D172" s="222"/>
      <c r="E172" s="222"/>
      <c r="F172" s="222"/>
      <c r="G172" s="222"/>
      <c r="H172" s="222"/>
    </row>
    <row r="173" spans="4:8" s="223" customFormat="1" x14ac:dyDescent="0.35">
      <c r="D173" s="222"/>
      <c r="E173" s="222"/>
      <c r="F173" s="222"/>
      <c r="G173" s="222"/>
      <c r="H173" s="222"/>
    </row>
    <row r="174" spans="4:8" s="223" customFormat="1" x14ac:dyDescent="0.35">
      <c r="D174" s="222"/>
      <c r="E174" s="222"/>
      <c r="F174" s="222"/>
      <c r="G174" s="222"/>
      <c r="H174" s="222"/>
    </row>
    <row r="175" spans="4:8" s="223" customFormat="1" x14ac:dyDescent="0.35">
      <c r="D175" s="222"/>
      <c r="E175" s="222"/>
      <c r="F175" s="222"/>
      <c r="G175" s="222"/>
      <c r="H175" s="222"/>
    </row>
    <row r="176" spans="4:8" s="223" customFormat="1" x14ac:dyDescent="0.35">
      <c r="D176" s="222"/>
      <c r="E176" s="222"/>
      <c r="F176" s="222"/>
      <c r="G176" s="222"/>
      <c r="H176" s="222"/>
    </row>
    <row r="177" spans="4:8" s="223" customFormat="1" x14ac:dyDescent="0.35">
      <c r="D177" s="222"/>
      <c r="E177" s="222"/>
      <c r="F177" s="222"/>
      <c r="G177" s="222"/>
      <c r="H177" s="222"/>
    </row>
    <row r="178" spans="4:8" s="223" customFormat="1" x14ac:dyDescent="0.35">
      <c r="D178" s="222"/>
      <c r="E178" s="222"/>
      <c r="F178" s="222"/>
      <c r="G178" s="222"/>
      <c r="H178" s="222"/>
    </row>
    <row r="179" spans="4:8" s="223" customFormat="1" x14ac:dyDescent="0.35">
      <c r="D179" s="222"/>
      <c r="E179" s="222"/>
      <c r="F179" s="222"/>
      <c r="G179" s="222"/>
      <c r="H179" s="222"/>
    </row>
    <row r="180" spans="4:8" s="223" customFormat="1" x14ac:dyDescent="0.35">
      <c r="D180" s="222"/>
      <c r="E180" s="222"/>
      <c r="F180" s="222"/>
      <c r="G180" s="222"/>
      <c r="H180" s="222"/>
    </row>
    <row r="181" spans="4:8" s="223" customFormat="1" x14ac:dyDescent="0.35">
      <c r="D181" s="222"/>
      <c r="E181" s="222"/>
      <c r="F181" s="222"/>
      <c r="G181" s="222"/>
      <c r="H181" s="222"/>
    </row>
    <row r="182" spans="4:8" s="223" customFormat="1" x14ac:dyDescent="0.35">
      <c r="D182" s="222"/>
      <c r="E182" s="222"/>
      <c r="F182" s="222"/>
      <c r="G182" s="222"/>
      <c r="H182" s="222"/>
    </row>
    <row r="183" spans="4:8" s="223" customFormat="1" x14ac:dyDescent="0.35">
      <c r="D183" s="222"/>
      <c r="E183" s="222"/>
      <c r="F183" s="222"/>
      <c r="G183" s="222"/>
      <c r="H183" s="222"/>
    </row>
    <row r="184" spans="4:8" s="223" customFormat="1" x14ac:dyDescent="0.35">
      <c r="D184" s="222"/>
      <c r="E184" s="222"/>
      <c r="F184" s="222"/>
      <c r="G184" s="222"/>
      <c r="H184" s="222"/>
    </row>
    <row r="185" spans="4:8" s="223" customFormat="1" x14ac:dyDescent="0.35">
      <c r="D185" s="222"/>
      <c r="E185" s="222"/>
      <c r="F185" s="222"/>
      <c r="G185" s="222"/>
      <c r="H185" s="222"/>
    </row>
    <row r="186" spans="4:8" s="223" customFormat="1" x14ac:dyDescent="0.35">
      <c r="D186" s="222"/>
      <c r="E186" s="222"/>
      <c r="F186" s="222"/>
      <c r="G186" s="222"/>
      <c r="H186" s="222"/>
    </row>
    <row r="187" spans="4:8" s="223" customFormat="1" x14ac:dyDescent="0.35">
      <c r="D187" s="222"/>
      <c r="E187" s="222"/>
      <c r="F187" s="222"/>
      <c r="G187" s="222"/>
      <c r="H187" s="222"/>
    </row>
    <row r="188" spans="4:8" s="223" customFormat="1" x14ac:dyDescent="0.35">
      <c r="D188" s="222"/>
      <c r="E188" s="222"/>
      <c r="F188" s="222"/>
      <c r="G188" s="222"/>
      <c r="H188" s="222"/>
    </row>
    <row r="189" spans="4:8" s="223" customFormat="1" x14ac:dyDescent="0.35">
      <c r="D189" s="222"/>
      <c r="E189" s="222"/>
      <c r="F189" s="222"/>
      <c r="G189" s="222"/>
      <c r="H189" s="222"/>
    </row>
    <row r="190" spans="4:8" s="223" customFormat="1" x14ac:dyDescent="0.35">
      <c r="D190" s="222"/>
      <c r="E190" s="222"/>
      <c r="F190" s="222"/>
      <c r="G190" s="222"/>
      <c r="H190" s="222"/>
    </row>
    <row r="191" spans="4:8" s="223" customFormat="1" x14ac:dyDescent="0.35">
      <c r="D191" s="222"/>
      <c r="E191" s="222"/>
      <c r="F191" s="222"/>
      <c r="G191" s="222"/>
      <c r="H191" s="222"/>
    </row>
    <row r="192" spans="4:8" s="223" customFormat="1" x14ac:dyDescent="0.35">
      <c r="D192" s="222"/>
      <c r="E192" s="222"/>
      <c r="F192" s="222"/>
      <c r="G192" s="222"/>
      <c r="H192" s="222"/>
    </row>
    <row r="193" spans="4:8" s="223" customFormat="1" x14ac:dyDescent="0.35">
      <c r="D193" s="222"/>
      <c r="E193" s="222"/>
      <c r="F193" s="222"/>
      <c r="G193" s="222"/>
      <c r="H193" s="222"/>
    </row>
    <row r="194" spans="4:8" s="223" customFormat="1" x14ac:dyDescent="0.35">
      <c r="D194" s="222"/>
      <c r="E194" s="222"/>
      <c r="F194" s="222"/>
      <c r="G194" s="222"/>
      <c r="H194" s="222"/>
    </row>
    <row r="195" spans="4:8" s="223" customFormat="1" x14ac:dyDescent="0.35">
      <c r="D195" s="222"/>
      <c r="E195" s="222"/>
      <c r="F195" s="222"/>
      <c r="G195" s="222"/>
      <c r="H195" s="222"/>
    </row>
    <row r="196" spans="4:8" s="223" customFormat="1" x14ac:dyDescent="0.35">
      <c r="D196" s="222"/>
      <c r="E196" s="222"/>
      <c r="F196" s="222"/>
      <c r="G196" s="222"/>
      <c r="H196" s="222"/>
    </row>
    <row r="197" spans="4:8" s="223" customFormat="1" x14ac:dyDescent="0.35">
      <c r="D197" s="222"/>
      <c r="E197" s="222"/>
      <c r="F197" s="222"/>
      <c r="G197" s="222"/>
      <c r="H197" s="222"/>
    </row>
    <row r="198" spans="4:8" s="223" customFormat="1" x14ac:dyDescent="0.35">
      <c r="D198" s="222"/>
      <c r="E198" s="222"/>
      <c r="F198" s="222"/>
      <c r="G198" s="222"/>
      <c r="H198" s="222"/>
    </row>
    <row r="199" spans="4:8" s="223" customFormat="1" x14ac:dyDescent="0.35">
      <c r="D199" s="222"/>
      <c r="E199" s="222"/>
      <c r="F199" s="222"/>
      <c r="G199" s="222"/>
      <c r="H199" s="222"/>
    </row>
    <row r="200" spans="4:8" s="223" customFormat="1" x14ac:dyDescent="0.35">
      <c r="D200" s="222"/>
      <c r="E200" s="222"/>
      <c r="F200" s="222"/>
      <c r="G200" s="222"/>
      <c r="H200" s="222"/>
    </row>
    <row r="201" spans="4:8" s="223" customFormat="1" x14ac:dyDescent="0.35">
      <c r="D201" s="222"/>
      <c r="E201" s="222"/>
      <c r="F201" s="222"/>
      <c r="G201" s="222"/>
      <c r="H201" s="222"/>
    </row>
    <row r="202" spans="4:8" s="223" customFormat="1" x14ac:dyDescent="0.35">
      <c r="D202" s="222"/>
      <c r="E202" s="222"/>
      <c r="F202" s="222"/>
      <c r="G202" s="222"/>
      <c r="H202" s="222"/>
    </row>
    <row r="203" spans="4:8" s="223" customFormat="1" x14ac:dyDescent="0.35">
      <c r="D203" s="222"/>
      <c r="E203" s="222"/>
      <c r="F203" s="222"/>
      <c r="G203" s="222"/>
      <c r="H203" s="222"/>
    </row>
    <row r="204" spans="4:8" s="223" customFormat="1" x14ac:dyDescent="0.35">
      <c r="D204" s="222"/>
      <c r="E204" s="222"/>
      <c r="F204" s="222"/>
      <c r="G204" s="222"/>
      <c r="H204" s="222"/>
    </row>
    <row r="205" spans="4:8" s="223" customFormat="1" x14ac:dyDescent="0.35">
      <c r="D205" s="222"/>
      <c r="E205" s="222"/>
      <c r="F205" s="222"/>
      <c r="G205" s="222"/>
      <c r="H205" s="222"/>
    </row>
    <row r="206" spans="4:8" s="223" customFormat="1" x14ac:dyDescent="0.35">
      <c r="D206" s="222"/>
      <c r="E206" s="222"/>
      <c r="F206" s="222"/>
      <c r="G206" s="222"/>
      <c r="H206" s="222"/>
    </row>
    <row r="207" spans="4:8" s="223" customFormat="1" x14ac:dyDescent="0.35">
      <c r="D207" s="222"/>
      <c r="E207" s="222"/>
      <c r="F207" s="222"/>
      <c r="G207" s="222"/>
      <c r="H207" s="222"/>
    </row>
    <row r="208" spans="4:8" s="223" customFormat="1" x14ac:dyDescent="0.35">
      <c r="D208" s="222"/>
      <c r="E208" s="222"/>
      <c r="F208" s="222"/>
      <c r="G208" s="222"/>
      <c r="H208" s="222"/>
    </row>
    <row r="209" spans="4:8" s="223" customFormat="1" x14ac:dyDescent="0.35">
      <c r="D209" s="222"/>
      <c r="E209" s="222"/>
      <c r="F209" s="222"/>
      <c r="G209" s="222"/>
      <c r="H209" s="222"/>
    </row>
    <row r="210" spans="4:8" s="223" customFormat="1" x14ac:dyDescent="0.35">
      <c r="D210" s="222"/>
      <c r="E210" s="222"/>
      <c r="F210" s="222"/>
      <c r="G210" s="222"/>
      <c r="H210" s="222"/>
    </row>
    <row r="211" spans="4:8" s="223" customFormat="1" x14ac:dyDescent="0.35">
      <c r="D211" s="222"/>
      <c r="E211" s="222"/>
      <c r="F211" s="222"/>
      <c r="G211" s="222"/>
      <c r="H211" s="222"/>
    </row>
    <row r="212" spans="4:8" s="223" customFormat="1" x14ac:dyDescent="0.35">
      <c r="D212" s="222"/>
      <c r="E212" s="222"/>
      <c r="F212" s="222"/>
      <c r="G212" s="222"/>
      <c r="H212" s="222"/>
    </row>
    <row r="213" spans="4:8" s="223" customFormat="1" x14ac:dyDescent="0.35">
      <c r="D213" s="222"/>
      <c r="E213" s="222"/>
      <c r="F213" s="222"/>
      <c r="G213" s="222"/>
      <c r="H213" s="222"/>
    </row>
    <row r="214" spans="4:8" s="223" customFormat="1" x14ac:dyDescent="0.35">
      <c r="D214" s="222"/>
      <c r="E214" s="222"/>
      <c r="F214" s="222"/>
      <c r="G214" s="222"/>
      <c r="H214" s="222"/>
    </row>
    <row r="215" spans="4:8" s="223" customFormat="1" x14ac:dyDescent="0.35">
      <c r="D215" s="222"/>
      <c r="E215" s="222"/>
      <c r="F215" s="222"/>
      <c r="G215" s="222"/>
      <c r="H215" s="222"/>
    </row>
    <row r="216" spans="4:8" s="223" customFormat="1" x14ac:dyDescent="0.35">
      <c r="D216" s="222"/>
      <c r="E216" s="222"/>
      <c r="F216" s="222"/>
      <c r="G216" s="222"/>
      <c r="H216" s="222"/>
    </row>
    <row r="217" spans="4:8" s="223" customFormat="1" x14ac:dyDescent="0.35">
      <c r="D217" s="222"/>
      <c r="E217" s="222"/>
      <c r="F217" s="222"/>
      <c r="G217" s="222"/>
      <c r="H217" s="222"/>
    </row>
    <row r="218" spans="4:8" s="223" customFormat="1" x14ac:dyDescent="0.35">
      <c r="D218" s="222"/>
      <c r="E218" s="222"/>
      <c r="F218" s="222"/>
      <c r="G218" s="222"/>
      <c r="H218" s="222"/>
    </row>
    <row r="219" spans="4:8" s="223" customFormat="1" x14ac:dyDescent="0.35">
      <c r="D219" s="222"/>
      <c r="E219" s="222"/>
      <c r="F219" s="222"/>
      <c r="G219" s="222"/>
      <c r="H219" s="222"/>
    </row>
    <row r="220" spans="4:8" s="223" customFormat="1" x14ac:dyDescent="0.35">
      <c r="D220" s="222"/>
      <c r="E220" s="222"/>
      <c r="F220" s="222"/>
      <c r="G220" s="222"/>
      <c r="H220" s="222"/>
    </row>
    <row r="221" spans="4:8" s="223" customFormat="1" x14ac:dyDescent="0.35">
      <c r="D221" s="222"/>
      <c r="E221" s="222"/>
      <c r="F221" s="222"/>
      <c r="G221" s="222"/>
      <c r="H221" s="222"/>
    </row>
    <row r="222" spans="4:8" s="223" customFormat="1" x14ac:dyDescent="0.35">
      <c r="D222" s="222"/>
      <c r="E222" s="222"/>
      <c r="F222" s="222"/>
      <c r="G222" s="222"/>
      <c r="H222" s="222"/>
    </row>
    <row r="223" spans="4:8" s="223" customFormat="1" x14ac:dyDescent="0.35">
      <c r="D223" s="222"/>
      <c r="E223" s="222"/>
      <c r="F223" s="222"/>
      <c r="G223" s="222"/>
      <c r="H223" s="222"/>
    </row>
    <row r="224" spans="4:8" s="223" customFormat="1" x14ac:dyDescent="0.35">
      <c r="D224" s="222"/>
      <c r="E224" s="222"/>
      <c r="F224" s="222"/>
      <c r="G224" s="222"/>
      <c r="H224" s="222"/>
    </row>
    <row r="225" spans="4:8" s="223" customFormat="1" x14ac:dyDescent="0.35">
      <c r="D225" s="222"/>
      <c r="E225" s="222"/>
      <c r="F225" s="222"/>
      <c r="G225" s="222"/>
      <c r="H225" s="222"/>
    </row>
    <row r="226" spans="4:8" s="223" customFormat="1" x14ac:dyDescent="0.35">
      <c r="D226" s="222"/>
      <c r="E226" s="222"/>
      <c r="F226" s="222"/>
      <c r="G226" s="222"/>
      <c r="H226" s="222"/>
    </row>
    <row r="227" spans="4:8" s="223" customFormat="1" x14ac:dyDescent="0.35">
      <c r="D227" s="222"/>
      <c r="E227" s="222"/>
      <c r="F227" s="222"/>
      <c r="G227" s="222"/>
      <c r="H227" s="222"/>
    </row>
    <row r="228" spans="4:8" s="223" customFormat="1" x14ac:dyDescent="0.35">
      <c r="D228" s="222"/>
      <c r="E228" s="222"/>
      <c r="F228" s="222"/>
      <c r="G228" s="222"/>
      <c r="H228" s="222"/>
    </row>
    <row r="229" spans="4:8" s="223" customFormat="1" x14ac:dyDescent="0.35">
      <c r="D229" s="222"/>
      <c r="E229" s="222"/>
      <c r="F229" s="222"/>
      <c r="G229" s="222"/>
      <c r="H229" s="222"/>
    </row>
    <row r="230" spans="4:8" s="223" customFormat="1" x14ac:dyDescent="0.35">
      <c r="D230" s="222"/>
      <c r="E230" s="222"/>
      <c r="F230" s="222"/>
      <c r="G230" s="222"/>
      <c r="H230" s="222"/>
    </row>
    <row r="231" spans="4:8" s="223" customFormat="1" x14ac:dyDescent="0.35">
      <c r="D231" s="222"/>
      <c r="E231" s="222"/>
      <c r="F231" s="222"/>
      <c r="G231" s="222"/>
      <c r="H231" s="222"/>
    </row>
    <row r="232" spans="4:8" s="223" customFormat="1" x14ac:dyDescent="0.35">
      <c r="D232" s="222"/>
      <c r="E232" s="222"/>
      <c r="F232" s="222"/>
      <c r="G232" s="222"/>
      <c r="H232" s="222"/>
    </row>
    <row r="233" spans="4:8" s="223" customFormat="1" x14ac:dyDescent="0.35">
      <c r="D233" s="222"/>
      <c r="E233" s="222"/>
      <c r="F233" s="222"/>
      <c r="G233" s="222"/>
      <c r="H233" s="222"/>
    </row>
    <row r="234" spans="4:8" s="223" customFormat="1" x14ac:dyDescent="0.35">
      <c r="D234" s="222"/>
      <c r="E234" s="222"/>
      <c r="F234" s="222"/>
      <c r="G234" s="222"/>
      <c r="H234" s="222"/>
    </row>
    <row r="235" spans="4:8" s="223" customFormat="1" x14ac:dyDescent="0.35">
      <c r="D235" s="222"/>
      <c r="E235" s="222"/>
      <c r="F235" s="222"/>
      <c r="G235" s="222"/>
      <c r="H235" s="222"/>
    </row>
    <row r="236" spans="4:8" s="223" customFormat="1" x14ac:dyDescent="0.35">
      <c r="D236" s="222"/>
      <c r="E236" s="222"/>
      <c r="F236" s="222"/>
      <c r="G236" s="222"/>
      <c r="H236" s="222"/>
    </row>
    <row r="237" spans="4:8" s="223" customFormat="1" x14ac:dyDescent="0.35">
      <c r="D237" s="222"/>
      <c r="E237" s="222"/>
      <c r="F237" s="222"/>
      <c r="G237" s="222"/>
      <c r="H237" s="222"/>
    </row>
    <row r="238" spans="4:8" s="223" customFormat="1" x14ac:dyDescent="0.35">
      <c r="D238" s="222"/>
      <c r="E238" s="222"/>
      <c r="F238" s="222"/>
      <c r="G238" s="222"/>
      <c r="H238" s="222"/>
    </row>
    <row r="239" spans="4:8" s="223" customFormat="1" x14ac:dyDescent="0.35">
      <c r="D239" s="222"/>
      <c r="E239" s="222"/>
      <c r="F239" s="222"/>
      <c r="G239" s="222"/>
      <c r="H239" s="222"/>
    </row>
    <row r="240" spans="4:8" s="223" customFormat="1" x14ac:dyDescent="0.35">
      <c r="D240" s="222"/>
      <c r="E240" s="222"/>
      <c r="F240" s="222"/>
      <c r="G240" s="222"/>
      <c r="H240" s="222"/>
    </row>
    <row r="241" spans="4:8" s="223" customFormat="1" x14ac:dyDescent="0.35">
      <c r="D241" s="222"/>
      <c r="E241" s="222"/>
      <c r="F241" s="222"/>
      <c r="G241" s="222"/>
      <c r="H241" s="222"/>
    </row>
    <row r="242" spans="4:8" s="223" customFormat="1" x14ac:dyDescent="0.35">
      <c r="D242" s="222"/>
      <c r="E242" s="222"/>
      <c r="F242" s="222"/>
      <c r="G242" s="222"/>
      <c r="H242" s="222"/>
    </row>
    <row r="243" spans="4:8" s="223" customFormat="1" x14ac:dyDescent="0.35">
      <c r="D243" s="222"/>
      <c r="E243" s="222"/>
      <c r="F243" s="222"/>
      <c r="G243" s="222"/>
      <c r="H243" s="222"/>
    </row>
    <row r="244" spans="4:8" s="223" customFormat="1" x14ac:dyDescent="0.35">
      <c r="D244" s="222"/>
      <c r="E244" s="222"/>
      <c r="F244" s="222"/>
      <c r="G244" s="222"/>
      <c r="H244" s="222"/>
    </row>
    <row r="245" spans="4:8" s="223" customFormat="1" x14ac:dyDescent="0.35">
      <c r="D245" s="222"/>
      <c r="E245" s="222"/>
      <c r="F245" s="222"/>
      <c r="G245" s="222"/>
      <c r="H245" s="222"/>
    </row>
    <row r="246" spans="4:8" s="223" customFormat="1" x14ac:dyDescent="0.35">
      <c r="D246" s="222"/>
      <c r="E246" s="222"/>
      <c r="F246" s="222"/>
      <c r="G246" s="222"/>
      <c r="H246" s="222"/>
    </row>
    <row r="247" spans="4:8" s="223" customFormat="1" x14ac:dyDescent="0.35">
      <c r="D247" s="222"/>
      <c r="E247" s="222"/>
      <c r="F247" s="222"/>
      <c r="G247" s="222"/>
      <c r="H247" s="222"/>
    </row>
    <row r="248" spans="4:8" s="223" customFormat="1" x14ac:dyDescent="0.35">
      <c r="D248" s="222"/>
      <c r="E248" s="222"/>
      <c r="F248" s="222"/>
      <c r="G248" s="222"/>
      <c r="H248" s="222"/>
    </row>
    <row r="249" spans="4:8" s="223" customFormat="1" x14ac:dyDescent="0.35">
      <c r="D249" s="222"/>
      <c r="E249" s="222"/>
      <c r="F249" s="222"/>
      <c r="G249" s="222"/>
      <c r="H249" s="222"/>
    </row>
    <row r="250" spans="4:8" s="223" customFormat="1" x14ac:dyDescent="0.35">
      <c r="D250" s="222"/>
      <c r="E250" s="222"/>
      <c r="F250" s="222"/>
      <c r="G250" s="222"/>
      <c r="H250" s="222"/>
    </row>
    <row r="251" spans="4:8" s="223" customFormat="1" x14ac:dyDescent="0.35">
      <c r="D251" s="222"/>
      <c r="E251" s="222"/>
      <c r="F251" s="222"/>
      <c r="G251" s="222"/>
      <c r="H251" s="222"/>
    </row>
    <row r="252" spans="4:8" s="223" customFormat="1" x14ac:dyDescent="0.35">
      <c r="D252" s="222"/>
      <c r="E252" s="222"/>
      <c r="F252" s="222"/>
      <c r="G252" s="222"/>
      <c r="H252" s="222"/>
    </row>
    <row r="253" spans="4:8" s="223" customFormat="1" x14ac:dyDescent="0.35">
      <c r="D253" s="222"/>
      <c r="E253" s="222"/>
      <c r="F253" s="222"/>
      <c r="G253" s="222"/>
      <c r="H253" s="222"/>
    </row>
    <row r="254" spans="4:8" s="223" customFormat="1" x14ac:dyDescent="0.35">
      <c r="D254" s="222"/>
      <c r="E254" s="222"/>
      <c r="F254" s="222"/>
      <c r="G254" s="222"/>
      <c r="H254" s="222"/>
    </row>
    <row r="255" spans="4:8" s="223" customFormat="1" x14ac:dyDescent="0.35">
      <c r="D255" s="222"/>
      <c r="E255" s="222"/>
      <c r="F255" s="222"/>
      <c r="G255" s="222"/>
      <c r="H255" s="222"/>
    </row>
    <row r="256" spans="4:8" s="223" customFormat="1" x14ac:dyDescent="0.35">
      <c r="D256" s="222"/>
      <c r="E256" s="222"/>
      <c r="F256" s="222"/>
      <c r="G256" s="222"/>
      <c r="H256" s="222"/>
    </row>
    <row r="257" spans="4:8" s="223" customFormat="1" x14ac:dyDescent="0.35">
      <c r="D257" s="222"/>
      <c r="E257" s="222"/>
      <c r="F257" s="222"/>
      <c r="G257" s="222"/>
      <c r="H257" s="222"/>
    </row>
    <row r="258" spans="4:8" s="223" customFormat="1" x14ac:dyDescent="0.35">
      <c r="D258" s="222"/>
      <c r="E258" s="222"/>
      <c r="F258" s="222"/>
      <c r="G258" s="222"/>
      <c r="H258" s="222"/>
    </row>
    <row r="259" spans="4:8" s="223" customFormat="1" x14ac:dyDescent="0.35">
      <c r="D259" s="222"/>
      <c r="E259" s="222"/>
      <c r="F259" s="222"/>
      <c r="G259" s="222"/>
      <c r="H259" s="222"/>
    </row>
    <row r="260" spans="4:8" s="223" customFormat="1" x14ac:dyDescent="0.35">
      <c r="D260" s="222"/>
      <c r="E260" s="222"/>
      <c r="F260" s="222"/>
      <c r="G260" s="222"/>
      <c r="H260" s="222"/>
    </row>
    <row r="261" spans="4:8" s="223" customFormat="1" x14ac:dyDescent="0.35">
      <c r="D261" s="222"/>
      <c r="E261" s="222"/>
      <c r="F261" s="222"/>
      <c r="G261" s="222"/>
      <c r="H261" s="222"/>
    </row>
    <row r="262" spans="4:8" s="223" customFormat="1" x14ac:dyDescent="0.35">
      <c r="D262" s="222"/>
      <c r="E262" s="222"/>
      <c r="F262" s="222"/>
      <c r="G262" s="222"/>
      <c r="H262" s="222"/>
    </row>
    <row r="263" spans="4:8" s="223" customFormat="1" x14ac:dyDescent="0.35">
      <c r="D263" s="222"/>
      <c r="E263" s="222"/>
      <c r="F263" s="222"/>
      <c r="G263" s="222"/>
      <c r="H263" s="222"/>
    </row>
    <row r="264" spans="4:8" s="223" customFormat="1" x14ac:dyDescent="0.35">
      <c r="D264" s="222"/>
      <c r="E264" s="222"/>
      <c r="F264" s="222"/>
      <c r="G264" s="222"/>
      <c r="H264" s="222"/>
    </row>
    <row r="265" spans="4:8" s="223" customFormat="1" x14ac:dyDescent="0.35">
      <c r="D265" s="222"/>
      <c r="E265" s="222"/>
      <c r="F265" s="222"/>
      <c r="G265" s="222"/>
      <c r="H265" s="222"/>
    </row>
    <row r="266" spans="4:8" s="223" customFormat="1" x14ac:dyDescent="0.35">
      <c r="D266" s="222"/>
      <c r="E266" s="222"/>
      <c r="F266" s="222"/>
      <c r="G266" s="222"/>
      <c r="H266" s="222"/>
    </row>
    <row r="267" spans="4:8" s="223" customFormat="1" x14ac:dyDescent="0.35">
      <c r="D267" s="222"/>
      <c r="E267" s="222"/>
      <c r="F267" s="222"/>
      <c r="G267" s="222"/>
      <c r="H267" s="222"/>
    </row>
    <row r="268" spans="4:8" s="223" customFormat="1" x14ac:dyDescent="0.35">
      <c r="D268" s="222"/>
      <c r="E268" s="222"/>
      <c r="F268" s="222"/>
      <c r="G268" s="222"/>
      <c r="H268" s="222"/>
    </row>
    <row r="269" spans="4:8" s="223" customFormat="1" x14ac:dyDescent="0.35">
      <c r="D269" s="222"/>
      <c r="E269" s="222"/>
      <c r="F269" s="222"/>
      <c r="G269" s="222"/>
      <c r="H269" s="222"/>
    </row>
    <row r="270" spans="4:8" s="223" customFormat="1" x14ac:dyDescent="0.35">
      <c r="D270" s="222"/>
      <c r="E270" s="222"/>
      <c r="F270" s="222"/>
      <c r="G270" s="222"/>
      <c r="H270" s="222"/>
    </row>
    <row r="271" spans="4:8" s="223" customFormat="1" x14ac:dyDescent="0.35">
      <c r="D271" s="222"/>
      <c r="E271" s="222"/>
      <c r="F271" s="222"/>
      <c r="G271" s="222"/>
      <c r="H271" s="222"/>
    </row>
    <row r="272" spans="4:8" s="223" customFormat="1" x14ac:dyDescent="0.35">
      <c r="D272" s="222"/>
      <c r="E272" s="222"/>
      <c r="F272" s="222"/>
      <c r="G272" s="222"/>
      <c r="H272" s="222"/>
    </row>
    <row r="273" spans="4:8" s="223" customFormat="1" x14ac:dyDescent="0.35">
      <c r="D273" s="222"/>
      <c r="E273" s="222"/>
      <c r="F273" s="222"/>
      <c r="G273" s="222"/>
      <c r="H273" s="222"/>
    </row>
    <row r="274" spans="4:8" s="223" customFormat="1" x14ac:dyDescent="0.35">
      <c r="D274" s="222"/>
      <c r="E274" s="222"/>
      <c r="F274" s="222"/>
      <c r="G274" s="222"/>
      <c r="H274" s="222"/>
    </row>
    <row r="275" spans="4:8" s="223" customFormat="1" x14ac:dyDescent="0.35">
      <c r="D275" s="222"/>
      <c r="E275" s="222"/>
      <c r="F275" s="222"/>
      <c r="G275" s="222"/>
      <c r="H275" s="222"/>
    </row>
    <row r="276" spans="4:8" s="223" customFormat="1" x14ac:dyDescent="0.35">
      <c r="D276" s="222"/>
      <c r="E276" s="222"/>
      <c r="F276" s="222"/>
      <c r="G276" s="222"/>
      <c r="H276" s="222"/>
    </row>
    <row r="277" spans="4:8" s="223" customFormat="1" x14ac:dyDescent="0.35">
      <c r="D277" s="222"/>
      <c r="E277" s="222"/>
      <c r="F277" s="222"/>
      <c r="G277" s="222"/>
      <c r="H277" s="222"/>
    </row>
    <row r="278" spans="4:8" s="223" customFormat="1" x14ac:dyDescent="0.35">
      <c r="D278" s="222"/>
      <c r="E278" s="222"/>
      <c r="F278" s="222"/>
      <c r="G278" s="222"/>
      <c r="H278" s="222"/>
    </row>
    <row r="279" spans="4:8" s="223" customFormat="1" x14ac:dyDescent="0.35">
      <c r="D279" s="222"/>
      <c r="E279" s="222"/>
      <c r="F279" s="222"/>
      <c r="G279" s="222"/>
      <c r="H279" s="222"/>
    </row>
    <row r="280" spans="4:8" s="223" customFormat="1" x14ac:dyDescent="0.35">
      <c r="D280" s="222"/>
      <c r="E280" s="222"/>
      <c r="F280" s="222"/>
      <c r="G280" s="222"/>
      <c r="H280" s="222"/>
    </row>
    <row r="281" spans="4:8" s="223" customFormat="1" x14ac:dyDescent="0.35">
      <c r="D281" s="222"/>
      <c r="E281" s="222"/>
      <c r="F281" s="222"/>
      <c r="G281" s="222"/>
      <c r="H281" s="222"/>
    </row>
    <row r="282" spans="4:8" s="223" customFormat="1" x14ac:dyDescent="0.35">
      <c r="D282" s="222"/>
      <c r="E282" s="222"/>
      <c r="F282" s="222"/>
      <c r="G282" s="222"/>
      <c r="H282" s="222"/>
    </row>
    <row r="283" spans="4:8" s="223" customFormat="1" x14ac:dyDescent="0.35">
      <c r="D283" s="222"/>
      <c r="E283" s="222"/>
      <c r="F283" s="222"/>
      <c r="G283" s="222"/>
      <c r="H283" s="222"/>
    </row>
    <row r="284" spans="4:8" s="223" customFormat="1" x14ac:dyDescent="0.35">
      <c r="D284" s="222"/>
      <c r="E284" s="222"/>
      <c r="F284" s="222"/>
      <c r="G284" s="222"/>
      <c r="H284" s="222"/>
    </row>
    <row r="285" spans="4:8" s="223" customFormat="1" x14ac:dyDescent="0.35">
      <c r="D285" s="222"/>
      <c r="E285" s="222"/>
      <c r="F285" s="222"/>
      <c r="G285" s="222"/>
      <c r="H285" s="222"/>
    </row>
    <row r="286" spans="4:8" s="223" customFormat="1" x14ac:dyDescent="0.35">
      <c r="D286" s="222"/>
      <c r="E286" s="222"/>
      <c r="F286" s="222"/>
      <c r="G286" s="222"/>
      <c r="H286" s="222"/>
    </row>
    <row r="287" spans="4:8" s="223" customFormat="1" x14ac:dyDescent="0.35">
      <c r="D287" s="222"/>
      <c r="E287" s="222"/>
      <c r="F287" s="222"/>
      <c r="G287" s="222"/>
      <c r="H287" s="222"/>
    </row>
    <row r="288" spans="4:8" s="223" customFormat="1" x14ac:dyDescent="0.35">
      <c r="D288" s="222"/>
      <c r="E288" s="222"/>
      <c r="F288" s="222"/>
      <c r="G288" s="222"/>
      <c r="H288" s="222"/>
    </row>
    <row r="289" spans="4:8" s="223" customFormat="1" x14ac:dyDescent="0.35">
      <c r="D289" s="222"/>
      <c r="E289" s="222"/>
      <c r="F289" s="222"/>
      <c r="G289" s="222"/>
      <c r="H289" s="222"/>
    </row>
    <row r="290" spans="4:8" s="223" customFormat="1" x14ac:dyDescent="0.35">
      <c r="D290" s="222"/>
      <c r="E290" s="222"/>
      <c r="F290" s="222"/>
      <c r="G290" s="222"/>
      <c r="H290" s="222"/>
    </row>
    <row r="291" spans="4:8" s="223" customFormat="1" x14ac:dyDescent="0.35">
      <c r="D291" s="222"/>
      <c r="E291" s="222"/>
      <c r="F291" s="222"/>
      <c r="G291" s="222"/>
      <c r="H291" s="222"/>
    </row>
    <row r="292" spans="4:8" s="223" customFormat="1" x14ac:dyDescent="0.35">
      <c r="D292" s="222"/>
      <c r="E292" s="222"/>
      <c r="F292" s="222"/>
      <c r="G292" s="222"/>
      <c r="H292" s="222"/>
    </row>
    <row r="293" spans="4:8" s="223" customFormat="1" x14ac:dyDescent="0.35">
      <c r="D293" s="222"/>
      <c r="E293" s="222"/>
      <c r="F293" s="222"/>
      <c r="G293" s="222"/>
      <c r="H293" s="222"/>
    </row>
    <row r="294" spans="4:8" s="223" customFormat="1" x14ac:dyDescent="0.35">
      <c r="D294" s="222"/>
      <c r="E294" s="222"/>
      <c r="F294" s="222"/>
      <c r="G294" s="222"/>
      <c r="H294" s="222"/>
    </row>
    <row r="295" spans="4:8" s="223" customFormat="1" x14ac:dyDescent="0.35">
      <c r="D295" s="222"/>
      <c r="E295" s="222"/>
      <c r="F295" s="222"/>
      <c r="G295" s="222"/>
      <c r="H295" s="222"/>
    </row>
    <row r="296" spans="4:8" s="223" customFormat="1" x14ac:dyDescent="0.35">
      <c r="D296" s="222"/>
      <c r="E296" s="222"/>
      <c r="F296" s="222"/>
      <c r="G296" s="222"/>
      <c r="H296" s="222"/>
    </row>
    <row r="297" spans="4:8" s="223" customFormat="1" x14ac:dyDescent="0.35">
      <c r="D297" s="222"/>
      <c r="E297" s="222"/>
      <c r="F297" s="222"/>
      <c r="G297" s="222"/>
      <c r="H297" s="222"/>
    </row>
    <row r="298" spans="4:8" s="223" customFormat="1" x14ac:dyDescent="0.35">
      <c r="D298" s="222"/>
      <c r="E298" s="222"/>
      <c r="F298" s="222"/>
      <c r="G298" s="222"/>
      <c r="H298" s="222"/>
    </row>
    <row r="299" spans="4:8" s="223" customFormat="1" x14ac:dyDescent="0.35">
      <c r="D299" s="222"/>
      <c r="E299" s="222"/>
      <c r="F299" s="222"/>
      <c r="G299" s="222"/>
      <c r="H299" s="222"/>
    </row>
    <row r="300" spans="4:8" s="223" customFormat="1" x14ac:dyDescent="0.35">
      <c r="D300" s="222"/>
      <c r="E300" s="222"/>
      <c r="F300" s="222"/>
      <c r="G300" s="222"/>
      <c r="H300" s="222"/>
    </row>
    <row r="301" spans="4:8" s="223" customFormat="1" x14ac:dyDescent="0.35">
      <c r="D301" s="222"/>
      <c r="E301" s="222"/>
      <c r="F301" s="222"/>
      <c r="G301" s="222"/>
      <c r="H301" s="222"/>
    </row>
    <row r="302" spans="4:8" s="223" customFormat="1" x14ac:dyDescent="0.35">
      <c r="D302" s="222"/>
      <c r="E302" s="222"/>
      <c r="F302" s="222"/>
      <c r="G302" s="222"/>
      <c r="H302" s="222"/>
    </row>
    <row r="303" spans="4:8" s="223" customFormat="1" x14ac:dyDescent="0.35">
      <c r="D303" s="222"/>
      <c r="E303" s="222"/>
      <c r="F303" s="222"/>
      <c r="G303" s="222"/>
      <c r="H303" s="222"/>
    </row>
    <row r="304" spans="4:8" s="223" customFormat="1" x14ac:dyDescent="0.35">
      <c r="D304" s="222"/>
      <c r="E304" s="222"/>
      <c r="F304" s="222"/>
      <c r="G304" s="222"/>
      <c r="H304" s="222"/>
    </row>
    <row r="305" spans="4:8" s="223" customFormat="1" x14ac:dyDescent="0.35">
      <c r="D305" s="222"/>
      <c r="E305" s="222"/>
      <c r="F305" s="222"/>
      <c r="G305" s="222"/>
      <c r="H305" s="222"/>
    </row>
    <row r="306" spans="4:8" s="223" customFormat="1" x14ac:dyDescent="0.35">
      <c r="D306" s="222"/>
      <c r="E306" s="222"/>
      <c r="F306" s="222"/>
      <c r="G306" s="222"/>
      <c r="H306" s="222"/>
    </row>
    <row r="307" spans="4:8" s="223" customFormat="1" x14ac:dyDescent="0.35">
      <c r="D307" s="222"/>
      <c r="E307" s="222"/>
      <c r="F307" s="222"/>
      <c r="G307" s="222"/>
      <c r="H307" s="222"/>
    </row>
    <row r="308" spans="4:8" s="223" customFormat="1" x14ac:dyDescent="0.35">
      <c r="D308" s="222"/>
      <c r="E308" s="222"/>
      <c r="F308" s="222"/>
      <c r="G308" s="222"/>
      <c r="H308" s="222"/>
    </row>
    <row r="309" spans="4:8" s="223" customFormat="1" x14ac:dyDescent="0.35">
      <c r="D309" s="222"/>
      <c r="E309" s="222"/>
      <c r="F309" s="222"/>
      <c r="G309" s="222"/>
      <c r="H309" s="222"/>
    </row>
    <row r="310" spans="4:8" s="223" customFormat="1" x14ac:dyDescent="0.35">
      <c r="D310" s="222"/>
      <c r="E310" s="222"/>
      <c r="F310" s="222"/>
      <c r="G310" s="222"/>
      <c r="H310" s="222"/>
    </row>
    <row r="311" spans="4:8" s="223" customFormat="1" x14ac:dyDescent="0.35">
      <c r="D311" s="222"/>
      <c r="E311" s="222"/>
      <c r="F311" s="222"/>
      <c r="G311" s="222"/>
      <c r="H311" s="222"/>
    </row>
    <row r="312" spans="4:8" s="223" customFormat="1" x14ac:dyDescent="0.35">
      <c r="D312" s="222"/>
      <c r="E312" s="222"/>
      <c r="F312" s="222"/>
      <c r="G312" s="222"/>
      <c r="H312" s="222"/>
    </row>
    <row r="313" spans="4:8" s="223" customFormat="1" x14ac:dyDescent="0.35">
      <c r="D313" s="222"/>
      <c r="E313" s="222"/>
      <c r="F313" s="222"/>
      <c r="G313" s="222"/>
      <c r="H313" s="222"/>
    </row>
    <row r="314" spans="4:8" s="223" customFormat="1" x14ac:dyDescent="0.35">
      <c r="D314" s="222"/>
      <c r="E314" s="222"/>
      <c r="F314" s="222"/>
      <c r="G314" s="222"/>
      <c r="H314" s="222"/>
    </row>
    <row r="315" spans="4:8" s="223" customFormat="1" x14ac:dyDescent="0.35">
      <c r="D315" s="222"/>
      <c r="E315" s="222"/>
      <c r="F315" s="222"/>
      <c r="G315" s="222"/>
      <c r="H315" s="222"/>
    </row>
    <row r="316" spans="4:8" s="223" customFormat="1" x14ac:dyDescent="0.35">
      <c r="D316" s="222"/>
      <c r="E316" s="222"/>
      <c r="F316" s="222"/>
      <c r="G316" s="222"/>
      <c r="H316" s="222"/>
    </row>
    <row r="317" spans="4:8" s="223" customFormat="1" x14ac:dyDescent="0.35">
      <c r="D317" s="222"/>
      <c r="E317" s="222"/>
      <c r="F317" s="222"/>
      <c r="G317" s="222"/>
      <c r="H317" s="222"/>
    </row>
    <row r="318" spans="4:8" s="223" customFormat="1" x14ac:dyDescent="0.35">
      <c r="D318" s="222"/>
      <c r="E318" s="222"/>
      <c r="F318" s="222"/>
      <c r="G318" s="222"/>
      <c r="H318" s="222"/>
    </row>
    <row r="319" spans="4:8" s="223" customFormat="1" x14ac:dyDescent="0.35">
      <c r="D319" s="222"/>
      <c r="E319" s="222"/>
      <c r="F319" s="222"/>
      <c r="G319" s="222"/>
      <c r="H319" s="222"/>
    </row>
    <row r="320" spans="4:8" s="223" customFormat="1" x14ac:dyDescent="0.35">
      <c r="D320" s="222"/>
      <c r="E320" s="222"/>
      <c r="F320" s="222"/>
      <c r="G320" s="222"/>
      <c r="H320" s="222"/>
    </row>
    <row r="321" spans="4:8" s="223" customFormat="1" x14ac:dyDescent="0.35">
      <c r="D321" s="222"/>
      <c r="E321" s="222"/>
      <c r="F321" s="222"/>
      <c r="G321" s="222"/>
      <c r="H321" s="222"/>
    </row>
    <row r="322" spans="4:8" s="223" customFormat="1" x14ac:dyDescent="0.35">
      <c r="D322" s="222"/>
      <c r="E322" s="222"/>
      <c r="F322" s="222"/>
      <c r="G322" s="222"/>
      <c r="H322" s="222"/>
    </row>
    <row r="323" spans="4:8" s="223" customFormat="1" x14ac:dyDescent="0.35">
      <c r="D323" s="222"/>
      <c r="E323" s="222"/>
      <c r="F323" s="222"/>
      <c r="G323" s="222"/>
      <c r="H323" s="222"/>
    </row>
    <row r="324" spans="4:8" s="223" customFormat="1" x14ac:dyDescent="0.35">
      <c r="D324" s="222"/>
      <c r="E324" s="222"/>
      <c r="F324" s="222"/>
      <c r="G324" s="222"/>
      <c r="H324" s="222"/>
    </row>
    <row r="325" spans="4:8" s="223" customFormat="1" x14ac:dyDescent="0.35">
      <c r="D325" s="222"/>
      <c r="E325" s="222"/>
      <c r="F325" s="222"/>
      <c r="G325" s="222"/>
      <c r="H325" s="222"/>
    </row>
    <row r="326" spans="4:8" s="223" customFormat="1" x14ac:dyDescent="0.35">
      <c r="D326" s="222"/>
      <c r="E326" s="222"/>
      <c r="F326" s="222"/>
      <c r="G326" s="222"/>
      <c r="H326" s="222"/>
    </row>
    <row r="327" spans="4:8" s="223" customFormat="1" x14ac:dyDescent="0.35">
      <c r="D327" s="222"/>
      <c r="E327" s="222"/>
      <c r="F327" s="222"/>
      <c r="G327" s="222"/>
      <c r="H327" s="222"/>
    </row>
    <row r="328" spans="4:8" s="223" customFormat="1" x14ac:dyDescent="0.35">
      <c r="D328" s="222"/>
      <c r="E328" s="222"/>
      <c r="F328" s="222"/>
      <c r="G328" s="222"/>
      <c r="H328" s="222"/>
    </row>
    <row r="329" spans="4:8" s="223" customFormat="1" x14ac:dyDescent="0.35">
      <c r="D329" s="222"/>
      <c r="E329" s="222"/>
      <c r="F329" s="222"/>
      <c r="G329" s="222"/>
      <c r="H329" s="222"/>
    </row>
    <row r="330" spans="4:8" s="223" customFormat="1" x14ac:dyDescent="0.35">
      <c r="D330" s="222"/>
      <c r="E330" s="222"/>
      <c r="F330" s="222"/>
      <c r="G330" s="222"/>
      <c r="H330" s="222"/>
    </row>
    <row r="331" spans="4:8" s="223" customFormat="1" x14ac:dyDescent="0.35">
      <c r="D331" s="222"/>
      <c r="E331" s="222"/>
      <c r="F331" s="222"/>
      <c r="G331" s="222"/>
      <c r="H331" s="222"/>
    </row>
    <row r="332" spans="4:8" s="223" customFormat="1" x14ac:dyDescent="0.35">
      <c r="D332" s="222"/>
      <c r="E332" s="222"/>
      <c r="F332" s="222"/>
      <c r="G332" s="222"/>
      <c r="H332" s="222"/>
    </row>
    <row r="333" spans="4:8" s="223" customFormat="1" x14ac:dyDescent="0.35">
      <c r="D333" s="222"/>
      <c r="E333" s="222"/>
      <c r="F333" s="222"/>
      <c r="G333" s="222"/>
      <c r="H333" s="222"/>
    </row>
    <row r="334" spans="4:8" s="223" customFormat="1" x14ac:dyDescent="0.35">
      <c r="D334" s="222"/>
      <c r="E334" s="222"/>
      <c r="F334" s="222"/>
      <c r="G334" s="222"/>
      <c r="H334" s="222"/>
    </row>
    <row r="335" spans="4:8" s="223" customFormat="1" x14ac:dyDescent="0.35">
      <c r="D335" s="222"/>
      <c r="E335" s="222"/>
      <c r="F335" s="222"/>
      <c r="G335" s="222"/>
      <c r="H335" s="222"/>
    </row>
    <row r="336" spans="4:8" s="223" customFormat="1" x14ac:dyDescent="0.35">
      <c r="D336" s="222"/>
      <c r="E336" s="222"/>
      <c r="F336" s="222"/>
      <c r="G336" s="222"/>
      <c r="H336" s="222"/>
    </row>
    <row r="337" spans="4:8" s="223" customFormat="1" x14ac:dyDescent="0.35">
      <c r="D337" s="222"/>
      <c r="E337" s="222"/>
      <c r="F337" s="222"/>
      <c r="G337" s="222"/>
      <c r="H337" s="222"/>
    </row>
    <row r="338" spans="4:8" s="223" customFormat="1" x14ac:dyDescent="0.35">
      <c r="D338" s="222"/>
      <c r="E338" s="222"/>
      <c r="F338" s="222"/>
      <c r="G338" s="222"/>
      <c r="H338" s="222"/>
    </row>
    <row r="339" spans="4:8" s="223" customFormat="1" x14ac:dyDescent="0.35">
      <c r="D339" s="222"/>
      <c r="E339" s="222"/>
      <c r="F339" s="222"/>
      <c r="G339" s="222"/>
      <c r="H339" s="222"/>
    </row>
    <row r="340" spans="4:8" s="223" customFormat="1" x14ac:dyDescent="0.35">
      <c r="D340" s="222"/>
      <c r="E340" s="222"/>
      <c r="F340" s="222"/>
      <c r="G340" s="222"/>
      <c r="H340" s="222"/>
    </row>
    <row r="341" spans="4:8" s="223" customFormat="1" x14ac:dyDescent="0.35">
      <c r="D341" s="222"/>
      <c r="E341" s="222"/>
      <c r="F341" s="222"/>
      <c r="G341" s="222"/>
      <c r="H341" s="222"/>
    </row>
    <row r="342" spans="4:8" s="223" customFormat="1" x14ac:dyDescent="0.35">
      <c r="D342" s="222"/>
      <c r="E342" s="222"/>
      <c r="F342" s="222"/>
      <c r="G342" s="222"/>
      <c r="H342" s="222"/>
    </row>
    <row r="343" spans="4:8" s="223" customFormat="1" x14ac:dyDescent="0.35">
      <c r="D343" s="222"/>
      <c r="E343" s="222"/>
      <c r="F343" s="222"/>
      <c r="G343" s="222"/>
      <c r="H343" s="222"/>
    </row>
    <row r="344" spans="4:8" s="223" customFormat="1" x14ac:dyDescent="0.35">
      <c r="D344" s="222"/>
      <c r="E344" s="222"/>
      <c r="F344" s="222"/>
      <c r="G344" s="222"/>
      <c r="H344" s="222"/>
    </row>
    <row r="345" spans="4:8" s="223" customFormat="1" x14ac:dyDescent="0.35">
      <c r="D345" s="222"/>
      <c r="E345" s="222"/>
      <c r="F345" s="222"/>
      <c r="G345" s="222"/>
      <c r="H345" s="222"/>
    </row>
    <row r="346" spans="4:8" s="223" customFormat="1" x14ac:dyDescent="0.35">
      <c r="D346" s="222"/>
      <c r="E346" s="222"/>
      <c r="F346" s="222"/>
      <c r="G346" s="222"/>
      <c r="H346" s="222"/>
    </row>
    <row r="347" spans="4:8" s="223" customFormat="1" x14ac:dyDescent="0.35">
      <c r="D347" s="222"/>
      <c r="E347" s="222"/>
      <c r="F347" s="222"/>
      <c r="G347" s="222"/>
      <c r="H347" s="222"/>
    </row>
    <row r="348" spans="4:8" s="223" customFormat="1" x14ac:dyDescent="0.35">
      <c r="D348" s="222"/>
      <c r="E348" s="222"/>
      <c r="F348" s="222"/>
      <c r="G348" s="222"/>
      <c r="H348" s="222"/>
    </row>
    <row r="349" spans="4:8" s="223" customFormat="1" x14ac:dyDescent="0.35">
      <c r="D349" s="222"/>
      <c r="E349" s="222"/>
      <c r="F349" s="222"/>
      <c r="G349" s="222"/>
      <c r="H349" s="222"/>
    </row>
    <row r="350" spans="4:8" s="223" customFormat="1" x14ac:dyDescent="0.35">
      <c r="D350" s="222"/>
      <c r="E350" s="222"/>
      <c r="F350" s="222"/>
      <c r="G350" s="222"/>
      <c r="H350" s="222"/>
    </row>
    <row r="351" spans="4:8" s="223" customFormat="1" x14ac:dyDescent="0.35">
      <c r="D351" s="222"/>
      <c r="E351" s="222"/>
      <c r="F351" s="222"/>
      <c r="G351" s="222"/>
      <c r="H351" s="222"/>
    </row>
    <row r="352" spans="4:8" s="223" customFormat="1" x14ac:dyDescent="0.35">
      <c r="D352" s="222"/>
      <c r="E352" s="222"/>
      <c r="F352" s="222"/>
      <c r="G352" s="222"/>
      <c r="H352" s="222"/>
    </row>
    <row r="353" spans="4:8" s="223" customFormat="1" x14ac:dyDescent="0.35">
      <c r="D353" s="222"/>
      <c r="E353" s="222"/>
      <c r="F353" s="222"/>
      <c r="G353" s="222"/>
      <c r="H353" s="222"/>
    </row>
    <row r="354" spans="4:8" s="223" customFormat="1" x14ac:dyDescent="0.35">
      <c r="D354" s="222"/>
      <c r="E354" s="222"/>
      <c r="F354" s="222"/>
      <c r="G354" s="222"/>
      <c r="H354" s="222"/>
    </row>
    <row r="355" spans="4:8" s="223" customFormat="1" x14ac:dyDescent="0.35">
      <c r="D355" s="222"/>
      <c r="E355" s="222"/>
      <c r="F355" s="222"/>
      <c r="G355" s="222"/>
      <c r="H355" s="222"/>
    </row>
    <row r="356" spans="4:8" s="223" customFormat="1" x14ac:dyDescent="0.35">
      <c r="D356" s="222"/>
      <c r="E356" s="222"/>
      <c r="F356" s="222"/>
      <c r="G356" s="222"/>
      <c r="H356" s="222"/>
    </row>
    <row r="357" spans="4:8" s="223" customFormat="1" x14ac:dyDescent="0.35">
      <c r="D357" s="222"/>
      <c r="E357" s="222"/>
      <c r="F357" s="222"/>
      <c r="G357" s="222"/>
      <c r="H357" s="222"/>
    </row>
    <row r="358" spans="4:8" s="223" customFormat="1" x14ac:dyDescent="0.35">
      <c r="D358" s="222"/>
      <c r="E358" s="222"/>
      <c r="F358" s="222"/>
      <c r="G358" s="222"/>
      <c r="H358" s="222"/>
    </row>
    <row r="359" spans="4:8" s="223" customFormat="1" x14ac:dyDescent="0.35">
      <c r="D359" s="222"/>
      <c r="E359" s="222"/>
      <c r="F359" s="222"/>
      <c r="G359" s="222"/>
      <c r="H359" s="222"/>
    </row>
    <row r="360" spans="4:8" s="223" customFormat="1" x14ac:dyDescent="0.35">
      <c r="D360" s="222"/>
      <c r="E360" s="222"/>
      <c r="F360" s="222"/>
      <c r="G360" s="222"/>
      <c r="H360" s="222"/>
    </row>
    <row r="361" spans="4:8" s="223" customFormat="1" x14ac:dyDescent="0.35">
      <c r="D361" s="222"/>
      <c r="E361" s="222"/>
      <c r="F361" s="222"/>
      <c r="G361" s="222"/>
      <c r="H361" s="222"/>
    </row>
    <row r="362" spans="4:8" s="223" customFormat="1" x14ac:dyDescent="0.35">
      <c r="D362" s="222"/>
      <c r="E362" s="222"/>
      <c r="F362" s="222"/>
      <c r="G362" s="222"/>
      <c r="H362" s="222"/>
    </row>
    <row r="363" spans="4:8" s="223" customFormat="1" x14ac:dyDescent="0.35">
      <c r="D363" s="222"/>
      <c r="E363" s="222"/>
      <c r="F363" s="222"/>
      <c r="G363" s="222"/>
      <c r="H363" s="222"/>
    </row>
    <row r="364" spans="4:8" s="223" customFormat="1" x14ac:dyDescent="0.35">
      <c r="D364" s="222"/>
      <c r="E364" s="222"/>
      <c r="F364" s="222"/>
      <c r="G364" s="222"/>
      <c r="H364" s="222"/>
    </row>
    <row r="365" spans="4:8" s="223" customFormat="1" x14ac:dyDescent="0.35">
      <c r="D365" s="222"/>
      <c r="E365" s="222"/>
      <c r="F365" s="222"/>
      <c r="G365" s="222"/>
      <c r="H365" s="222"/>
    </row>
    <row r="366" spans="4:8" s="223" customFormat="1" x14ac:dyDescent="0.35">
      <c r="D366" s="222"/>
      <c r="E366" s="222"/>
      <c r="F366" s="222"/>
      <c r="G366" s="222"/>
      <c r="H366" s="222"/>
    </row>
    <row r="367" spans="4:8" s="223" customFormat="1" x14ac:dyDescent="0.35">
      <c r="D367" s="222"/>
      <c r="E367" s="222"/>
      <c r="F367" s="222"/>
      <c r="G367" s="222"/>
      <c r="H367" s="222"/>
    </row>
    <row r="368" spans="4:8" s="223" customFormat="1" x14ac:dyDescent="0.35">
      <c r="D368" s="222"/>
      <c r="E368" s="222"/>
      <c r="F368" s="222"/>
      <c r="G368" s="222"/>
      <c r="H368" s="222"/>
    </row>
    <row r="369" spans="4:8" s="223" customFormat="1" x14ac:dyDescent="0.35">
      <c r="D369" s="222"/>
      <c r="E369" s="222"/>
      <c r="F369" s="222"/>
      <c r="G369" s="222"/>
      <c r="H369" s="222"/>
    </row>
    <row r="370" spans="4:8" s="223" customFormat="1" x14ac:dyDescent="0.35">
      <c r="D370" s="222"/>
      <c r="E370" s="222"/>
      <c r="F370" s="222"/>
      <c r="G370" s="222"/>
      <c r="H370" s="222"/>
    </row>
    <row r="371" spans="4:8" s="223" customFormat="1" x14ac:dyDescent="0.35">
      <c r="D371" s="222"/>
      <c r="E371" s="222"/>
      <c r="F371" s="222"/>
      <c r="G371" s="222"/>
      <c r="H371" s="222"/>
    </row>
    <row r="372" spans="4:8" s="223" customFormat="1" x14ac:dyDescent="0.35">
      <c r="D372" s="222"/>
      <c r="E372" s="222"/>
      <c r="F372" s="222"/>
      <c r="G372" s="222"/>
      <c r="H372" s="222"/>
    </row>
    <row r="373" spans="4:8" s="223" customFormat="1" x14ac:dyDescent="0.35">
      <c r="D373" s="222"/>
      <c r="E373" s="222"/>
      <c r="F373" s="222"/>
      <c r="G373" s="222"/>
      <c r="H373" s="222"/>
    </row>
    <row r="374" spans="4:8" s="223" customFormat="1" x14ac:dyDescent="0.35">
      <c r="D374" s="222"/>
      <c r="E374" s="222"/>
      <c r="F374" s="222"/>
      <c r="G374" s="222"/>
      <c r="H374" s="222"/>
    </row>
    <row r="375" spans="4:8" s="223" customFormat="1" x14ac:dyDescent="0.35">
      <c r="D375" s="222"/>
      <c r="E375" s="222"/>
      <c r="F375" s="222"/>
      <c r="G375" s="222"/>
      <c r="H375" s="222"/>
    </row>
    <row r="376" spans="4:8" s="223" customFormat="1" x14ac:dyDescent="0.35">
      <c r="D376" s="222"/>
      <c r="E376" s="222"/>
      <c r="F376" s="222"/>
      <c r="G376" s="222"/>
      <c r="H376" s="222"/>
    </row>
    <row r="377" spans="4:8" s="223" customFormat="1" x14ac:dyDescent="0.35">
      <c r="D377" s="222"/>
      <c r="E377" s="222"/>
      <c r="F377" s="222"/>
      <c r="G377" s="222"/>
      <c r="H377" s="222"/>
    </row>
    <row r="378" spans="4:8" s="223" customFormat="1" x14ac:dyDescent="0.35">
      <c r="D378" s="222"/>
      <c r="E378" s="222"/>
      <c r="F378" s="222"/>
      <c r="G378" s="222"/>
      <c r="H378" s="222"/>
    </row>
    <row r="379" spans="4:8" s="223" customFormat="1" x14ac:dyDescent="0.35">
      <c r="D379" s="222"/>
      <c r="E379" s="222"/>
      <c r="F379" s="222"/>
      <c r="G379" s="222"/>
      <c r="H379" s="222"/>
    </row>
    <row r="380" spans="4:8" s="223" customFormat="1" x14ac:dyDescent="0.35">
      <c r="D380" s="222"/>
      <c r="E380" s="222"/>
      <c r="F380" s="222"/>
      <c r="G380" s="222"/>
      <c r="H380" s="222"/>
    </row>
    <row r="381" spans="4:8" s="223" customFormat="1" x14ac:dyDescent="0.35">
      <c r="D381" s="222"/>
      <c r="E381" s="222"/>
      <c r="F381" s="222"/>
      <c r="G381" s="222"/>
      <c r="H381" s="222"/>
    </row>
    <row r="382" spans="4:8" s="223" customFormat="1" x14ac:dyDescent="0.35">
      <c r="D382" s="222"/>
      <c r="E382" s="222"/>
      <c r="F382" s="222"/>
      <c r="G382" s="222"/>
      <c r="H382" s="222"/>
    </row>
    <row r="383" spans="4:8" s="223" customFormat="1" x14ac:dyDescent="0.35">
      <c r="D383" s="222"/>
      <c r="E383" s="222"/>
      <c r="F383" s="222"/>
      <c r="G383" s="222"/>
      <c r="H383" s="222"/>
    </row>
    <row r="384" spans="4:8" s="223" customFormat="1" x14ac:dyDescent="0.35">
      <c r="D384" s="222"/>
      <c r="E384" s="222"/>
      <c r="F384" s="222"/>
      <c r="G384" s="222"/>
      <c r="H384" s="222"/>
    </row>
    <row r="385" spans="4:8" s="223" customFormat="1" x14ac:dyDescent="0.35">
      <c r="D385" s="222"/>
      <c r="E385" s="222"/>
      <c r="F385" s="222"/>
      <c r="G385" s="222"/>
      <c r="H385" s="222"/>
    </row>
    <row r="386" spans="4:8" s="223" customFormat="1" x14ac:dyDescent="0.35">
      <c r="D386" s="222"/>
      <c r="E386" s="222"/>
      <c r="F386" s="222"/>
      <c r="G386" s="222"/>
      <c r="H386" s="222"/>
    </row>
    <row r="387" spans="4:8" s="223" customFormat="1" x14ac:dyDescent="0.35">
      <c r="D387" s="222"/>
      <c r="E387" s="222"/>
      <c r="F387" s="222"/>
      <c r="G387" s="222"/>
      <c r="H387" s="222"/>
    </row>
    <row r="388" spans="4:8" s="223" customFormat="1" x14ac:dyDescent="0.35">
      <c r="D388" s="222"/>
      <c r="E388" s="222"/>
      <c r="F388" s="222"/>
      <c r="G388" s="222"/>
      <c r="H388" s="222"/>
    </row>
    <row r="389" spans="4:8" s="223" customFormat="1" x14ac:dyDescent="0.35">
      <c r="D389" s="222"/>
      <c r="E389" s="222"/>
      <c r="F389" s="222"/>
      <c r="G389" s="222"/>
      <c r="H389" s="222"/>
    </row>
    <row r="390" spans="4:8" s="223" customFormat="1" x14ac:dyDescent="0.35">
      <c r="D390" s="222"/>
      <c r="E390" s="222"/>
      <c r="F390" s="222"/>
      <c r="G390" s="222"/>
      <c r="H390" s="222"/>
    </row>
    <row r="391" spans="4:8" s="223" customFormat="1" x14ac:dyDescent="0.35">
      <c r="D391" s="222"/>
      <c r="E391" s="222"/>
      <c r="F391" s="222"/>
      <c r="G391" s="222"/>
      <c r="H391" s="222"/>
    </row>
    <row r="392" spans="4:8" s="223" customFormat="1" x14ac:dyDescent="0.35">
      <c r="D392" s="222"/>
      <c r="E392" s="222"/>
      <c r="F392" s="222"/>
      <c r="G392" s="222"/>
      <c r="H392" s="222"/>
    </row>
    <row r="393" spans="4:8" s="223" customFormat="1" x14ac:dyDescent="0.35">
      <c r="D393" s="222"/>
      <c r="E393" s="222"/>
      <c r="F393" s="222"/>
      <c r="G393" s="222"/>
      <c r="H393" s="222"/>
    </row>
    <row r="394" spans="4:8" s="223" customFormat="1" x14ac:dyDescent="0.35">
      <c r="D394" s="222"/>
      <c r="E394" s="222"/>
      <c r="F394" s="222"/>
      <c r="G394" s="222"/>
      <c r="H394" s="222"/>
    </row>
    <row r="395" spans="4:8" s="223" customFormat="1" x14ac:dyDescent="0.35">
      <c r="D395" s="222"/>
      <c r="E395" s="222"/>
      <c r="F395" s="222"/>
      <c r="G395" s="222"/>
      <c r="H395" s="222"/>
    </row>
    <row r="396" spans="4:8" s="223" customFormat="1" x14ac:dyDescent="0.35">
      <c r="D396" s="222"/>
      <c r="E396" s="222"/>
      <c r="F396" s="222"/>
      <c r="G396" s="222"/>
      <c r="H396" s="222"/>
    </row>
    <row r="397" spans="4:8" s="223" customFormat="1" x14ac:dyDescent="0.35">
      <c r="D397" s="222"/>
      <c r="E397" s="222"/>
      <c r="F397" s="222"/>
      <c r="G397" s="222"/>
      <c r="H397" s="222"/>
    </row>
    <row r="398" spans="4:8" s="223" customFormat="1" x14ac:dyDescent="0.35">
      <c r="D398" s="222"/>
      <c r="E398" s="222"/>
      <c r="F398" s="222"/>
      <c r="G398" s="222"/>
      <c r="H398" s="222"/>
    </row>
    <row r="399" spans="4:8" s="223" customFormat="1" x14ac:dyDescent="0.35">
      <c r="D399" s="222"/>
      <c r="E399" s="222"/>
      <c r="F399" s="222"/>
      <c r="G399" s="222"/>
      <c r="H399" s="222"/>
    </row>
    <row r="400" spans="4:8" s="223" customFormat="1" x14ac:dyDescent="0.35">
      <c r="D400" s="222"/>
      <c r="E400" s="222"/>
      <c r="F400" s="222"/>
      <c r="G400" s="222"/>
      <c r="H400" s="222"/>
    </row>
    <row r="401" spans="4:8" s="223" customFormat="1" x14ac:dyDescent="0.35">
      <c r="D401" s="222"/>
      <c r="E401" s="222"/>
      <c r="F401" s="222"/>
      <c r="G401" s="222"/>
      <c r="H401" s="222"/>
    </row>
    <row r="402" spans="4:8" s="223" customFormat="1" x14ac:dyDescent="0.35">
      <c r="D402" s="222"/>
      <c r="E402" s="222"/>
      <c r="F402" s="222"/>
      <c r="G402" s="222"/>
      <c r="H402" s="222"/>
    </row>
    <row r="403" spans="4:8" s="223" customFormat="1" x14ac:dyDescent="0.35">
      <c r="D403" s="222"/>
      <c r="E403" s="222"/>
      <c r="F403" s="222"/>
      <c r="G403" s="222"/>
      <c r="H403" s="222"/>
    </row>
    <row r="404" spans="4:8" s="223" customFormat="1" x14ac:dyDescent="0.35">
      <c r="D404" s="222"/>
      <c r="E404" s="222"/>
      <c r="F404" s="222"/>
      <c r="G404" s="222"/>
      <c r="H404" s="222"/>
    </row>
    <row r="405" spans="4:8" s="223" customFormat="1" x14ac:dyDescent="0.35">
      <c r="D405" s="222"/>
      <c r="E405" s="222"/>
      <c r="F405" s="222"/>
      <c r="G405" s="222"/>
      <c r="H405" s="222"/>
    </row>
    <row r="406" spans="4:8" s="223" customFormat="1" x14ac:dyDescent="0.35">
      <c r="D406" s="222"/>
      <c r="E406" s="222"/>
      <c r="F406" s="222"/>
      <c r="G406" s="222"/>
      <c r="H406" s="222"/>
    </row>
    <row r="407" spans="4:8" s="223" customFormat="1" x14ac:dyDescent="0.35">
      <c r="D407" s="222"/>
      <c r="E407" s="222"/>
      <c r="F407" s="222"/>
      <c r="G407" s="222"/>
      <c r="H407" s="222"/>
    </row>
    <row r="408" spans="4:8" s="223" customFormat="1" x14ac:dyDescent="0.35">
      <c r="D408" s="222"/>
      <c r="E408" s="222"/>
      <c r="F408" s="222"/>
      <c r="G408" s="222"/>
      <c r="H408" s="222"/>
    </row>
    <row r="409" spans="4:8" s="223" customFormat="1" x14ac:dyDescent="0.35">
      <c r="D409" s="222"/>
      <c r="E409" s="222"/>
      <c r="F409" s="222"/>
      <c r="G409" s="222"/>
      <c r="H409" s="222"/>
    </row>
    <row r="410" spans="4:8" s="223" customFormat="1" x14ac:dyDescent="0.35">
      <c r="D410" s="222"/>
      <c r="E410" s="222"/>
      <c r="F410" s="222"/>
      <c r="G410" s="222"/>
      <c r="H410" s="222"/>
    </row>
    <row r="411" spans="4:8" s="223" customFormat="1" x14ac:dyDescent="0.35">
      <c r="D411" s="222"/>
      <c r="E411" s="222"/>
      <c r="F411" s="222"/>
      <c r="G411" s="222"/>
      <c r="H411" s="222"/>
    </row>
    <row r="412" spans="4:8" s="223" customFormat="1" x14ac:dyDescent="0.35">
      <c r="D412" s="222"/>
      <c r="E412" s="222"/>
      <c r="F412" s="222"/>
      <c r="G412" s="222"/>
      <c r="H412" s="222"/>
    </row>
    <row r="413" spans="4:8" s="223" customFormat="1" x14ac:dyDescent="0.35">
      <c r="D413" s="222"/>
      <c r="E413" s="222"/>
      <c r="F413" s="222"/>
      <c r="G413" s="222"/>
      <c r="H413" s="222"/>
    </row>
    <row r="414" spans="4:8" s="223" customFormat="1" x14ac:dyDescent="0.35">
      <c r="D414" s="222"/>
      <c r="E414" s="222"/>
      <c r="F414" s="222"/>
      <c r="G414" s="222"/>
      <c r="H414" s="222"/>
    </row>
    <row r="415" spans="4:8" s="223" customFormat="1" x14ac:dyDescent="0.35">
      <c r="D415" s="222"/>
      <c r="E415" s="222"/>
      <c r="F415" s="222"/>
      <c r="G415" s="222"/>
      <c r="H415" s="222"/>
    </row>
    <row r="416" spans="4:8" s="223" customFormat="1" x14ac:dyDescent="0.35">
      <c r="D416" s="222"/>
      <c r="E416" s="222"/>
      <c r="F416" s="222"/>
      <c r="G416" s="222"/>
      <c r="H416" s="222"/>
    </row>
    <row r="417" spans="4:8" s="223" customFormat="1" x14ac:dyDescent="0.35">
      <c r="D417" s="222"/>
      <c r="E417" s="222"/>
      <c r="F417" s="222"/>
      <c r="G417" s="222"/>
      <c r="H417" s="222"/>
    </row>
    <row r="418" spans="4:8" s="223" customFormat="1" x14ac:dyDescent="0.35">
      <c r="D418" s="222"/>
      <c r="E418" s="222"/>
      <c r="F418" s="222"/>
      <c r="G418" s="222"/>
      <c r="H418" s="222"/>
    </row>
    <row r="419" spans="4:8" s="223" customFormat="1" x14ac:dyDescent="0.35">
      <c r="D419" s="222"/>
      <c r="E419" s="222"/>
      <c r="F419" s="222"/>
      <c r="G419" s="222"/>
      <c r="H419" s="222"/>
    </row>
    <row r="420" spans="4:8" s="223" customFormat="1" x14ac:dyDescent="0.35">
      <c r="D420" s="222"/>
      <c r="E420" s="222"/>
      <c r="F420" s="222"/>
      <c r="G420" s="222"/>
      <c r="H420" s="222"/>
    </row>
    <row r="421" spans="4:8" s="223" customFormat="1" x14ac:dyDescent="0.35">
      <c r="D421" s="222"/>
      <c r="E421" s="222"/>
      <c r="F421" s="222"/>
      <c r="G421" s="222"/>
      <c r="H421" s="222"/>
    </row>
    <row r="422" spans="4:8" s="223" customFormat="1" x14ac:dyDescent="0.35">
      <c r="D422" s="222"/>
      <c r="E422" s="222"/>
      <c r="F422" s="222"/>
      <c r="G422" s="222"/>
      <c r="H422" s="222"/>
    </row>
    <row r="423" spans="4:8" s="223" customFormat="1" x14ac:dyDescent="0.35">
      <c r="D423" s="222"/>
      <c r="E423" s="222"/>
      <c r="F423" s="222"/>
      <c r="G423" s="222"/>
      <c r="H423" s="222"/>
    </row>
    <row r="424" spans="4:8" s="223" customFormat="1" x14ac:dyDescent="0.35">
      <c r="D424" s="222"/>
      <c r="E424" s="222"/>
      <c r="F424" s="222"/>
      <c r="G424" s="222"/>
      <c r="H424" s="222"/>
    </row>
    <row r="425" spans="4:8" s="223" customFormat="1" x14ac:dyDescent="0.35">
      <c r="D425" s="222"/>
      <c r="E425" s="222"/>
      <c r="F425" s="222"/>
      <c r="G425" s="222"/>
      <c r="H425" s="222"/>
    </row>
    <row r="426" spans="4:8" s="223" customFormat="1" x14ac:dyDescent="0.35">
      <c r="D426" s="222"/>
      <c r="E426" s="222"/>
      <c r="F426" s="222"/>
      <c r="G426" s="222"/>
      <c r="H426" s="222"/>
    </row>
    <row r="427" spans="4:8" s="223" customFormat="1" x14ac:dyDescent="0.35">
      <c r="D427" s="222"/>
      <c r="E427" s="222"/>
      <c r="F427" s="222"/>
      <c r="G427" s="222"/>
      <c r="H427" s="222"/>
    </row>
    <row r="428" spans="4:8" s="223" customFormat="1" x14ac:dyDescent="0.35">
      <c r="D428" s="222"/>
      <c r="E428" s="222"/>
      <c r="F428" s="222"/>
      <c r="G428" s="222"/>
      <c r="H428" s="222"/>
    </row>
    <row r="429" spans="4:8" s="223" customFormat="1" x14ac:dyDescent="0.35">
      <c r="D429" s="222"/>
      <c r="E429" s="222"/>
      <c r="F429" s="222"/>
      <c r="G429" s="222"/>
      <c r="H429" s="222"/>
    </row>
    <row r="430" spans="4:8" s="223" customFormat="1" x14ac:dyDescent="0.35">
      <c r="D430" s="222"/>
      <c r="E430" s="222"/>
      <c r="F430" s="222"/>
      <c r="G430" s="222"/>
      <c r="H430" s="222"/>
    </row>
    <row r="431" spans="4:8" s="223" customFormat="1" x14ac:dyDescent="0.35">
      <c r="D431" s="222"/>
      <c r="E431" s="222"/>
      <c r="F431" s="222"/>
      <c r="G431" s="222"/>
      <c r="H431" s="222"/>
    </row>
    <row r="432" spans="4:8" s="223" customFormat="1" x14ac:dyDescent="0.35">
      <c r="D432" s="222"/>
      <c r="E432" s="222"/>
      <c r="F432" s="222"/>
      <c r="G432" s="222"/>
      <c r="H432" s="222"/>
    </row>
    <row r="433" spans="4:8" s="223" customFormat="1" x14ac:dyDescent="0.35">
      <c r="D433" s="222"/>
      <c r="E433" s="222"/>
      <c r="F433" s="222"/>
      <c r="G433" s="222"/>
      <c r="H433" s="222"/>
    </row>
    <row r="434" spans="4:8" s="223" customFormat="1" x14ac:dyDescent="0.35">
      <c r="D434" s="222"/>
      <c r="E434" s="222"/>
      <c r="F434" s="222"/>
      <c r="G434" s="222"/>
      <c r="H434" s="222"/>
    </row>
    <row r="435" spans="4:8" s="223" customFormat="1" x14ac:dyDescent="0.35">
      <c r="D435" s="222"/>
      <c r="E435" s="222"/>
      <c r="F435" s="222"/>
      <c r="G435" s="222"/>
      <c r="H435" s="222"/>
    </row>
    <row r="436" spans="4:8" s="223" customFormat="1" x14ac:dyDescent="0.35">
      <c r="D436" s="222"/>
      <c r="E436" s="222"/>
      <c r="F436" s="222"/>
      <c r="G436" s="222"/>
      <c r="H436" s="222"/>
    </row>
    <row r="437" spans="4:8" s="223" customFormat="1" x14ac:dyDescent="0.35">
      <c r="D437" s="222"/>
      <c r="E437" s="222"/>
      <c r="F437" s="222"/>
      <c r="G437" s="222"/>
      <c r="H437" s="222"/>
    </row>
    <row r="438" spans="4:8" s="223" customFormat="1" x14ac:dyDescent="0.35">
      <c r="D438" s="222"/>
      <c r="E438" s="222"/>
      <c r="F438" s="222"/>
      <c r="G438" s="222"/>
      <c r="H438" s="222"/>
    </row>
    <row r="439" spans="4:8" s="223" customFormat="1" x14ac:dyDescent="0.35">
      <c r="D439" s="222"/>
      <c r="E439" s="222"/>
      <c r="F439" s="222"/>
      <c r="G439" s="222"/>
      <c r="H439" s="222"/>
    </row>
    <row r="440" spans="4:8" s="223" customFormat="1" x14ac:dyDescent="0.35">
      <c r="D440" s="222"/>
      <c r="E440" s="222"/>
      <c r="F440" s="222"/>
      <c r="G440" s="222"/>
      <c r="H440" s="222"/>
    </row>
    <row r="441" spans="4:8" s="223" customFormat="1" x14ac:dyDescent="0.35">
      <c r="D441" s="222"/>
      <c r="E441" s="222"/>
      <c r="F441" s="222"/>
      <c r="G441" s="222"/>
      <c r="H441" s="222"/>
    </row>
    <row r="442" spans="4:8" s="223" customFormat="1" x14ac:dyDescent="0.35">
      <c r="D442" s="222"/>
      <c r="E442" s="222"/>
      <c r="F442" s="222"/>
      <c r="G442" s="222"/>
      <c r="H442" s="222"/>
    </row>
    <row r="443" spans="4:8" s="223" customFormat="1" x14ac:dyDescent="0.35">
      <c r="D443" s="222"/>
      <c r="E443" s="222"/>
      <c r="F443" s="222"/>
      <c r="G443" s="222"/>
      <c r="H443" s="222"/>
    </row>
    <row r="444" spans="4:8" s="223" customFormat="1" x14ac:dyDescent="0.35">
      <c r="D444" s="222"/>
      <c r="E444" s="222"/>
      <c r="F444" s="222"/>
      <c r="G444" s="222"/>
      <c r="H444" s="222"/>
    </row>
    <row r="445" spans="4:8" s="223" customFormat="1" x14ac:dyDescent="0.35">
      <c r="D445" s="222"/>
      <c r="E445" s="222"/>
      <c r="F445" s="222"/>
      <c r="G445" s="222"/>
      <c r="H445" s="222"/>
    </row>
    <row r="446" spans="4:8" s="223" customFormat="1" x14ac:dyDescent="0.35">
      <c r="D446" s="222"/>
      <c r="E446" s="222"/>
      <c r="F446" s="222"/>
      <c r="G446" s="222"/>
      <c r="H446" s="222"/>
    </row>
    <row r="447" spans="4:8" s="223" customFormat="1" x14ac:dyDescent="0.35">
      <c r="D447" s="222"/>
      <c r="E447" s="222"/>
      <c r="F447" s="222"/>
      <c r="G447" s="222"/>
      <c r="H447" s="222"/>
    </row>
    <row r="448" spans="4:8" s="223" customFormat="1" x14ac:dyDescent="0.35">
      <c r="D448" s="222"/>
      <c r="E448" s="222"/>
      <c r="F448" s="222"/>
      <c r="G448" s="222"/>
      <c r="H448" s="222"/>
    </row>
    <row r="449" spans="4:8" s="223" customFormat="1" x14ac:dyDescent="0.35">
      <c r="D449" s="222"/>
      <c r="E449" s="222"/>
      <c r="F449" s="222"/>
      <c r="G449" s="222"/>
      <c r="H449" s="222"/>
    </row>
    <row r="450" spans="4:8" s="223" customFormat="1" x14ac:dyDescent="0.35">
      <c r="D450" s="222"/>
      <c r="E450" s="222"/>
      <c r="F450" s="222"/>
      <c r="G450" s="222"/>
      <c r="H450" s="222"/>
    </row>
    <row r="451" spans="4:8" s="223" customFormat="1" x14ac:dyDescent="0.35">
      <c r="D451" s="222"/>
      <c r="E451" s="222"/>
      <c r="F451" s="222"/>
      <c r="G451" s="222"/>
      <c r="H451" s="222"/>
    </row>
    <row r="452" spans="4:8" s="223" customFormat="1" x14ac:dyDescent="0.35">
      <c r="D452" s="222"/>
      <c r="E452" s="222"/>
      <c r="F452" s="222"/>
      <c r="G452" s="222"/>
      <c r="H452" s="222"/>
    </row>
    <row r="453" spans="4:8" s="223" customFormat="1" x14ac:dyDescent="0.35">
      <c r="D453" s="222"/>
      <c r="E453" s="222"/>
      <c r="F453" s="222"/>
      <c r="G453" s="222"/>
      <c r="H453" s="222"/>
    </row>
    <row r="454" spans="4:8" s="223" customFormat="1" x14ac:dyDescent="0.35">
      <c r="D454" s="222"/>
      <c r="E454" s="222"/>
      <c r="F454" s="222"/>
      <c r="G454" s="222"/>
      <c r="H454" s="222"/>
    </row>
    <row r="455" spans="4:8" s="223" customFormat="1" x14ac:dyDescent="0.35">
      <c r="D455" s="222"/>
      <c r="E455" s="222"/>
      <c r="F455" s="222"/>
      <c r="G455" s="222"/>
      <c r="H455" s="222"/>
    </row>
    <row r="456" spans="4:8" s="223" customFormat="1" x14ac:dyDescent="0.35">
      <c r="D456" s="222"/>
      <c r="E456" s="222"/>
      <c r="F456" s="222"/>
      <c r="G456" s="222"/>
      <c r="H456" s="222"/>
    </row>
    <row r="457" spans="4:8" s="223" customFormat="1" x14ac:dyDescent="0.35">
      <c r="D457" s="222"/>
      <c r="E457" s="222"/>
      <c r="F457" s="222"/>
      <c r="G457" s="222"/>
      <c r="H457" s="222"/>
    </row>
    <row r="458" spans="4:8" s="223" customFormat="1" x14ac:dyDescent="0.35">
      <c r="D458" s="222"/>
      <c r="E458" s="222"/>
      <c r="F458" s="222"/>
      <c r="G458" s="222"/>
      <c r="H458" s="222"/>
    </row>
    <row r="459" spans="4:8" s="223" customFormat="1" x14ac:dyDescent="0.35">
      <c r="D459" s="222"/>
      <c r="E459" s="222"/>
      <c r="F459" s="222"/>
      <c r="G459" s="222"/>
      <c r="H459" s="222"/>
    </row>
    <row r="460" spans="4:8" s="223" customFormat="1" x14ac:dyDescent="0.35">
      <c r="D460" s="222"/>
      <c r="E460" s="222"/>
      <c r="F460" s="222"/>
      <c r="G460" s="222"/>
      <c r="H460" s="222"/>
    </row>
    <row r="461" spans="4:8" s="223" customFormat="1" x14ac:dyDescent="0.35">
      <c r="D461" s="222"/>
      <c r="E461" s="222"/>
      <c r="F461" s="222"/>
      <c r="G461" s="222"/>
      <c r="H461" s="222"/>
    </row>
    <row r="462" spans="4:8" s="223" customFormat="1" x14ac:dyDescent="0.35">
      <c r="D462" s="222"/>
      <c r="E462" s="222"/>
      <c r="F462" s="222"/>
      <c r="G462" s="222"/>
      <c r="H462" s="222"/>
    </row>
    <row r="463" spans="4:8" s="223" customFormat="1" x14ac:dyDescent="0.35">
      <c r="D463" s="222"/>
      <c r="E463" s="222"/>
      <c r="F463" s="222"/>
      <c r="G463" s="222"/>
      <c r="H463" s="222"/>
    </row>
    <row r="464" spans="4:8" s="223" customFormat="1" x14ac:dyDescent="0.35">
      <c r="D464" s="222"/>
      <c r="E464" s="222"/>
      <c r="F464" s="222"/>
      <c r="G464" s="222"/>
      <c r="H464" s="222"/>
    </row>
    <row r="465" spans="4:8" s="223" customFormat="1" x14ac:dyDescent="0.35">
      <c r="D465" s="222"/>
      <c r="E465" s="222"/>
      <c r="F465" s="222"/>
      <c r="G465" s="222"/>
      <c r="H465" s="222"/>
    </row>
    <row r="466" spans="4:8" s="223" customFormat="1" x14ac:dyDescent="0.35">
      <c r="D466" s="222"/>
      <c r="E466" s="222"/>
      <c r="F466" s="222"/>
      <c r="G466" s="222"/>
      <c r="H466" s="222"/>
    </row>
    <row r="467" spans="4:8" s="223" customFormat="1" x14ac:dyDescent="0.35">
      <c r="D467" s="222"/>
      <c r="E467" s="222"/>
      <c r="F467" s="222"/>
      <c r="G467" s="222"/>
      <c r="H467" s="222"/>
    </row>
    <row r="468" spans="4:8" s="223" customFormat="1" x14ac:dyDescent="0.35">
      <c r="D468" s="222"/>
      <c r="E468" s="222"/>
      <c r="F468" s="222"/>
      <c r="G468" s="222"/>
      <c r="H468" s="222"/>
    </row>
    <row r="469" spans="4:8" s="223" customFormat="1" x14ac:dyDescent="0.35">
      <c r="D469" s="222"/>
      <c r="E469" s="222"/>
      <c r="F469" s="222"/>
      <c r="G469" s="222"/>
      <c r="H469" s="222"/>
    </row>
    <row r="470" spans="4:8" s="223" customFormat="1" x14ac:dyDescent="0.35">
      <c r="D470" s="222"/>
      <c r="E470" s="222"/>
      <c r="F470" s="222"/>
      <c r="G470" s="222"/>
      <c r="H470" s="222"/>
    </row>
    <row r="471" spans="4:8" s="223" customFormat="1" x14ac:dyDescent="0.35">
      <c r="D471" s="222"/>
      <c r="E471" s="222"/>
      <c r="F471" s="222"/>
      <c r="G471" s="222"/>
      <c r="H471" s="222"/>
    </row>
    <row r="472" spans="4:8" s="223" customFormat="1" x14ac:dyDescent="0.35">
      <c r="D472" s="222"/>
      <c r="E472" s="222"/>
      <c r="F472" s="222"/>
      <c r="G472" s="222"/>
      <c r="H472" s="222"/>
    </row>
    <row r="473" spans="4:8" s="223" customFormat="1" x14ac:dyDescent="0.35">
      <c r="D473" s="222"/>
      <c r="E473" s="222"/>
      <c r="F473" s="222"/>
      <c r="G473" s="222"/>
      <c r="H473" s="222"/>
    </row>
    <row r="474" spans="4:8" s="223" customFormat="1" x14ac:dyDescent="0.35">
      <c r="D474" s="222"/>
      <c r="E474" s="222"/>
      <c r="F474" s="222"/>
      <c r="G474" s="222"/>
      <c r="H474" s="222"/>
    </row>
    <row r="475" spans="4:8" s="223" customFormat="1" x14ac:dyDescent="0.35">
      <c r="D475" s="222"/>
      <c r="E475" s="222"/>
      <c r="F475" s="222"/>
      <c r="G475" s="222"/>
      <c r="H475" s="222"/>
    </row>
    <row r="476" spans="4:8" s="223" customFormat="1" x14ac:dyDescent="0.35">
      <c r="D476" s="222"/>
      <c r="E476" s="222"/>
      <c r="F476" s="222"/>
      <c r="G476" s="222"/>
      <c r="H476" s="222"/>
    </row>
    <row r="477" spans="4:8" s="223" customFormat="1" x14ac:dyDescent="0.35">
      <c r="D477" s="222"/>
      <c r="E477" s="222"/>
      <c r="F477" s="222"/>
      <c r="G477" s="222"/>
      <c r="H477" s="222"/>
    </row>
    <row r="478" spans="4:8" s="223" customFormat="1" x14ac:dyDescent="0.35">
      <c r="D478" s="222"/>
      <c r="E478" s="222"/>
      <c r="F478" s="222"/>
      <c r="G478" s="222"/>
      <c r="H478" s="222"/>
    </row>
    <row r="479" spans="4:8" s="223" customFormat="1" x14ac:dyDescent="0.35">
      <c r="D479" s="222"/>
      <c r="E479" s="222"/>
      <c r="F479" s="222"/>
      <c r="G479" s="222"/>
      <c r="H479" s="222"/>
    </row>
    <row r="480" spans="4:8" s="223" customFormat="1" x14ac:dyDescent="0.35">
      <c r="D480" s="222"/>
      <c r="E480" s="222"/>
      <c r="F480" s="222"/>
      <c r="G480" s="222"/>
      <c r="H480" s="222"/>
    </row>
    <row r="481" spans="4:8" s="223" customFormat="1" x14ac:dyDescent="0.35">
      <c r="D481" s="222"/>
      <c r="E481" s="222"/>
      <c r="F481" s="222"/>
      <c r="G481" s="222"/>
      <c r="H481" s="222"/>
    </row>
    <row r="482" spans="4:8" s="223" customFormat="1" x14ac:dyDescent="0.35">
      <c r="D482" s="222"/>
      <c r="E482" s="222"/>
      <c r="F482" s="222"/>
      <c r="G482" s="222"/>
      <c r="H482" s="222"/>
    </row>
    <row r="483" spans="4:8" s="223" customFormat="1" x14ac:dyDescent="0.35">
      <c r="D483" s="222"/>
      <c r="E483" s="222"/>
      <c r="F483" s="222"/>
      <c r="G483" s="222"/>
      <c r="H483" s="222"/>
    </row>
    <row r="484" spans="4:8" s="223" customFormat="1" x14ac:dyDescent="0.35">
      <c r="D484" s="222"/>
      <c r="E484" s="222"/>
      <c r="F484" s="222"/>
      <c r="G484" s="222"/>
      <c r="H484" s="222"/>
    </row>
    <row r="485" spans="4:8" s="223" customFormat="1" x14ac:dyDescent="0.35">
      <c r="D485" s="222"/>
      <c r="E485" s="222"/>
      <c r="F485" s="222"/>
      <c r="G485" s="222"/>
      <c r="H485" s="222"/>
    </row>
    <row r="486" spans="4:8" s="223" customFormat="1" x14ac:dyDescent="0.35">
      <c r="D486" s="222"/>
      <c r="E486" s="222"/>
      <c r="F486" s="222"/>
      <c r="G486" s="222"/>
      <c r="H486" s="222"/>
    </row>
    <row r="487" spans="4:8" s="223" customFormat="1" x14ac:dyDescent="0.35">
      <c r="D487" s="222"/>
      <c r="E487" s="222"/>
      <c r="F487" s="222"/>
      <c r="G487" s="222"/>
      <c r="H487" s="222"/>
    </row>
    <row r="488" spans="4:8" s="223" customFormat="1" x14ac:dyDescent="0.35">
      <c r="D488" s="222"/>
      <c r="E488" s="222"/>
      <c r="F488" s="222"/>
      <c r="G488" s="222"/>
      <c r="H488" s="222"/>
    </row>
    <row r="489" spans="4:8" s="223" customFormat="1" x14ac:dyDescent="0.35">
      <c r="D489" s="222"/>
      <c r="E489" s="222"/>
      <c r="F489" s="222"/>
      <c r="G489" s="222"/>
      <c r="H489" s="222"/>
    </row>
    <row r="490" spans="4:8" s="223" customFormat="1" x14ac:dyDescent="0.35">
      <c r="D490" s="222"/>
      <c r="E490" s="222"/>
      <c r="F490" s="222"/>
      <c r="G490" s="222"/>
      <c r="H490" s="222"/>
    </row>
    <row r="491" spans="4:8" s="223" customFormat="1" x14ac:dyDescent="0.35">
      <c r="D491" s="222"/>
      <c r="E491" s="222"/>
      <c r="F491" s="222"/>
      <c r="G491" s="222"/>
      <c r="H491" s="222"/>
    </row>
    <row r="492" spans="4:8" s="223" customFormat="1" x14ac:dyDescent="0.35">
      <c r="D492" s="222"/>
      <c r="E492" s="222"/>
      <c r="F492" s="222"/>
      <c r="G492" s="222"/>
      <c r="H492" s="222"/>
    </row>
    <row r="493" spans="4:8" s="223" customFormat="1" x14ac:dyDescent="0.35">
      <c r="D493" s="222"/>
      <c r="E493" s="222"/>
      <c r="F493" s="222"/>
      <c r="G493" s="222"/>
      <c r="H493" s="222"/>
    </row>
    <row r="494" spans="4:8" s="223" customFormat="1" x14ac:dyDescent="0.35">
      <c r="D494" s="222"/>
      <c r="E494" s="222"/>
      <c r="F494" s="222"/>
      <c r="G494" s="222"/>
      <c r="H494" s="222"/>
    </row>
    <row r="495" spans="4:8" s="223" customFormat="1" x14ac:dyDescent="0.35">
      <c r="D495" s="222"/>
      <c r="E495" s="222"/>
      <c r="F495" s="222"/>
      <c r="G495" s="222"/>
      <c r="H495" s="222"/>
    </row>
    <row r="496" spans="4:8" s="223" customFormat="1" x14ac:dyDescent="0.35">
      <c r="D496" s="222"/>
      <c r="E496" s="222"/>
      <c r="F496" s="222"/>
      <c r="G496" s="222"/>
      <c r="H496" s="222"/>
    </row>
    <row r="497" spans="4:8" s="223" customFormat="1" x14ac:dyDescent="0.35">
      <c r="D497" s="222"/>
      <c r="E497" s="222"/>
      <c r="F497" s="222"/>
      <c r="G497" s="222"/>
      <c r="H497" s="222"/>
    </row>
    <row r="498" spans="4:8" s="223" customFormat="1" x14ac:dyDescent="0.35">
      <c r="D498" s="222"/>
      <c r="E498" s="222"/>
      <c r="F498" s="222"/>
      <c r="G498" s="222"/>
      <c r="H498" s="222"/>
    </row>
    <row r="499" spans="4:8" s="223" customFormat="1" x14ac:dyDescent="0.35">
      <c r="D499" s="222"/>
      <c r="E499" s="222"/>
      <c r="F499" s="222"/>
      <c r="G499" s="222"/>
      <c r="H499" s="222"/>
    </row>
    <row r="500" spans="4:8" s="223" customFormat="1" x14ac:dyDescent="0.35">
      <c r="D500" s="222"/>
      <c r="E500" s="222"/>
      <c r="F500" s="222"/>
      <c r="G500" s="222"/>
      <c r="H500" s="222"/>
    </row>
    <row r="501" spans="4:8" s="223" customFormat="1" x14ac:dyDescent="0.35">
      <c r="D501" s="222"/>
      <c r="E501" s="222"/>
      <c r="F501" s="222"/>
      <c r="G501" s="222"/>
      <c r="H501" s="222"/>
    </row>
    <row r="502" spans="4:8" s="223" customFormat="1" x14ac:dyDescent="0.35">
      <c r="D502" s="222"/>
      <c r="E502" s="222"/>
      <c r="F502" s="222"/>
      <c r="G502" s="222"/>
      <c r="H502" s="222"/>
    </row>
    <row r="503" spans="4:8" s="223" customFormat="1" x14ac:dyDescent="0.35">
      <c r="D503" s="222"/>
      <c r="E503" s="222"/>
      <c r="F503" s="222"/>
      <c r="G503" s="222"/>
      <c r="H503" s="222"/>
    </row>
    <row r="504" spans="4:8" s="223" customFormat="1" x14ac:dyDescent="0.35">
      <c r="D504" s="222"/>
      <c r="E504" s="222"/>
      <c r="F504" s="222"/>
      <c r="G504" s="222"/>
      <c r="H504" s="222"/>
    </row>
    <row r="505" spans="4:8" s="223" customFormat="1" x14ac:dyDescent="0.35">
      <c r="D505" s="222"/>
      <c r="E505" s="222"/>
      <c r="F505" s="222"/>
      <c r="G505" s="222"/>
      <c r="H505" s="222"/>
    </row>
    <row r="506" spans="4:8" s="223" customFormat="1" x14ac:dyDescent="0.35">
      <c r="D506" s="222"/>
      <c r="E506" s="222"/>
      <c r="F506" s="222"/>
      <c r="G506" s="222"/>
      <c r="H506" s="222"/>
    </row>
    <row r="507" spans="4:8" s="223" customFormat="1" x14ac:dyDescent="0.35">
      <c r="D507" s="222"/>
      <c r="E507" s="222"/>
      <c r="F507" s="222"/>
      <c r="G507" s="222"/>
      <c r="H507" s="222"/>
    </row>
    <row r="508" spans="4:8" s="223" customFormat="1" x14ac:dyDescent="0.35">
      <c r="D508" s="222"/>
      <c r="E508" s="222"/>
      <c r="F508" s="222"/>
      <c r="G508" s="222"/>
      <c r="H508" s="222"/>
    </row>
    <row r="509" spans="4:8" s="223" customFormat="1" x14ac:dyDescent="0.35">
      <c r="D509" s="222"/>
      <c r="E509" s="222"/>
      <c r="F509" s="222"/>
      <c r="G509" s="222"/>
      <c r="H509" s="222"/>
    </row>
    <row r="510" spans="4:8" s="223" customFormat="1" x14ac:dyDescent="0.35">
      <c r="D510" s="222"/>
      <c r="E510" s="222"/>
      <c r="F510" s="222"/>
      <c r="G510" s="222"/>
      <c r="H510" s="222"/>
    </row>
    <row r="511" spans="4:8" s="223" customFormat="1" x14ac:dyDescent="0.35">
      <c r="D511" s="222"/>
      <c r="E511" s="222"/>
      <c r="F511" s="222"/>
      <c r="G511" s="222"/>
      <c r="H511" s="222"/>
    </row>
    <row r="512" spans="4:8" s="223" customFormat="1" x14ac:dyDescent="0.35">
      <c r="D512" s="222"/>
      <c r="E512" s="222"/>
      <c r="F512" s="222"/>
      <c r="G512" s="222"/>
      <c r="H512" s="222"/>
    </row>
    <row r="513" spans="4:8" s="223" customFormat="1" x14ac:dyDescent="0.35">
      <c r="D513" s="222"/>
      <c r="E513" s="222"/>
      <c r="F513" s="222"/>
      <c r="G513" s="222"/>
      <c r="H513" s="222"/>
    </row>
    <row r="514" spans="4:8" s="223" customFormat="1" x14ac:dyDescent="0.35">
      <c r="D514" s="222"/>
      <c r="E514" s="222"/>
      <c r="F514" s="222"/>
      <c r="G514" s="222"/>
      <c r="H514" s="222"/>
    </row>
    <row r="515" spans="4:8" s="223" customFormat="1" x14ac:dyDescent="0.35">
      <c r="D515" s="222"/>
      <c r="E515" s="222"/>
      <c r="F515" s="222"/>
      <c r="G515" s="222"/>
      <c r="H515" s="222"/>
    </row>
    <row r="516" spans="4:8" s="223" customFormat="1" x14ac:dyDescent="0.35">
      <c r="D516" s="222"/>
      <c r="E516" s="222"/>
      <c r="F516" s="222"/>
      <c r="G516" s="222"/>
      <c r="H516" s="222"/>
    </row>
    <row r="517" spans="4:8" s="223" customFormat="1" x14ac:dyDescent="0.35">
      <c r="D517" s="222"/>
      <c r="E517" s="222"/>
      <c r="F517" s="222"/>
      <c r="G517" s="222"/>
      <c r="H517" s="222"/>
    </row>
    <row r="518" spans="4:8" s="223" customFormat="1" x14ac:dyDescent="0.35">
      <c r="D518" s="222"/>
      <c r="E518" s="222"/>
      <c r="F518" s="222"/>
      <c r="G518" s="222"/>
      <c r="H518" s="222"/>
    </row>
    <row r="519" spans="4:8" s="223" customFormat="1" x14ac:dyDescent="0.35">
      <c r="D519" s="222"/>
      <c r="E519" s="222"/>
      <c r="F519" s="222"/>
      <c r="G519" s="222"/>
      <c r="H519" s="222"/>
    </row>
    <row r="520" spans="4:8" s="223" customFormat="1" x14ac:dyDescent="0.35">
      <c r="D520" s="222"/>
      <c r="E520" s="222"/>
      <c r="F520" s="222"/>
      <c r="G520" s="222"/>
      <c r="H520" s="222"/>
    </row>
    <row r="521" spans="4:8" s="223" customFormat="1" x14ac:dyDescent="0.35">
      <c r="D521" s="222"/>
      <c r="E521" s="222"/>
      <c r="F521" s="222"/>
      <c r="G521" s="222"/>
      <c r="H521" s="222"/>
    </row>
    <row r="522" spans="4:8" s="223" customFormat="1" x14ac:dyDescent="0.35">
      <c r="D522" s="222"/>
      <c r="E522" s="222"/>
      <c r="F522" s="222"/>
      <c r="G522" s="222"/>
      <c r="H522" s="222"/>
    </row>
    <row r="523" spans="4:8" s="223" customFormat="1" x14ac:dyDescent="0.35">
      <c r="D523" s="222"/>
      <c r="E523" s="222"/>
      <c r="F523" s="222"/>
      <c r="G523" s="222"/>
      <c r="H523" s="222"/>
    </row>
    <row r="524" spans="4:8" s="223" customFormat="1" x14ac:dyDescent="0.35">
      <c r="D524" s="222"/>
      <c r="E524" s="222"/>
      <c r="F524" s="222"/>
      <c r="G524" s="222"/>
      <c r="H524" s="222"/>
    </row>
    <row r="525" spans="4:8" s="223" customFormat="1" x14ac:dyDescent="0.35">
      <c r="D525" s="222"/>
      <c r="E525" s="222"/>
      <c r="F525" s="222"/>
      <c r="G525" s="222"/>
      <c r="H525" s="222"/>
    </row>
    <row r="526" spans="4:8" s="223" customFormat="1" x14ac:dyDescent="0.35">
      <c r="D526" s="222"/>
      <c r="E526" s="222"/>
      <c r="F526" s="222"/>
      <c r="G526" s="222"/>
      <c r="H526" s="222"/>
    </row>
    <row r="527" spans="4:8" s="223" customFormat="1" x14ac:dyDescent="0.35">
      <c r="D527" s="222"/>
      <c r="E527" s="222"/>
      <c r="F527" s="222"/>
      <c r="G527" s="222"/>
      <c r="H527" s="222"/>
    </row>
    <row r="528" spans="4:8" s="223" customFormat="1" x14ac:dyDescent="0.35">
      <c r="D528" s="222"/>
      <c r="E528" s="222"/>
      <c r="F528" s="222"/>
      <c r="G528" s="222"/>
      <c r="H528" s="222"/>
    </row>
    <row r="529" spans="4:8" s="223" customFormat="1" x14ac:dyDescent="0.35">
      <c r="D529" s="222"/>
      <c r="E529" s="222"/>
      <c r="F529" s="222"/>
      <c r="G529" s="222"/>
      <c r="H529" s="222"/>
    </row>
    <row r="530" spans="4:8" s="223" customFormat="1" x14ac:dyDescent="0.35">
      <c r="D530" s="222"/>
      <c r="E530" s="222"/>
      <c r="F530" s="222"/>
      <c r="G530" s="222"/>
      <c r="H530" s="222"/>
    </row>
    <row r="531" spans="4:8" s="223" customFormat="1" x14ac:dyDescent="0.35">
      <c r="D531" s="222"/>
      <c r="E531" s="222"/>
      <c r="F531" s="222"/>
      <c r="G531" s="222"/>
      <c r="H531" s="222"/>
    </row>
    <row r="532" spans="4:8" s="223" customFormat="1" x14ac:dyDescent="0.35">
      <c r="D532" s="222"/>
      <c r="E532" s="222"/>
      <c r="F532" s="222"/>
      <c r="G532" s="222"/>
      <c r="H532" s="222"/>
    </row>
    <row r="533" spans="4:8" s="223" customFormat="1" x14ac:dyDescent="0.35">
      <c r="D533" s="222"/>
      <c r="E533" s="222"/>
      <c r="F533" s="222"/>
      <c r="G533" s="222"/>
      <c r="H533" s="222"/>
    </row>
    <row r="534" spans="4:8" s="223" customFormat="1" x14ac:dyDescent="0.35">
      <c r="D534" s="222"/>
      <c r="E534" s="222"/>
      <c r="F534" s="222"/>
      <c r="G534" s="222"/>
      <c r="H534" s="222"/>
    </row>
    <row r="535" spans="4:8" s="223" customFormat="1" x14ac:dyDescent="0.35">
      <c r="D535" s="222"/>
      <c r="E535" s="222"/>
      <c r="F535" s="222"/>
      <c r="G535" s="222"/>
      <c r="H535" s="222"/>
    </row>
    <row r="536" spans="4:8" s="223" customFormat="1" x14ac:dyDescent="0.35">
      <c r="D536" s="222"/>
      <c r="E536" s="222"/>
      <c r="F536" s="222"/>
      <c r="G536" s="222"/>
      <c r="H536" s="222"/>
    </row>
    <row r="537" spans="4:8" s="223" customFormat="1" x14ac:dyDescent="0.35">
      <c r="D537" s="222"/>
      <c r="E537" s="222"/>
      <c r="F537" s="222"/>
      <c r="G537" s="222"/>
      <c r="H537" s="222"/>
    </row>
    <row r="538" spans="4:8" s="223" customFormat="1" x14ac:dyDescent="0.35">
      <c r="D538" s="222"/>
      <c r="E538" s="222"/>
      <c r="F538" s="222"/>
      <c r="G538" s="222"/>
      <c r="H538" s="222"/>
    </row>
    <row r="539" spans="4:8" s="223" customFormat="1" x14ac:dyDescent="0.35">
      <c r="D539" s="222"/>
      <c r="E539" s="222"/>
      <c r="F539" s="222"/>
      <c r="G539" s="222"/>
      <c r="H539" s="222"/>
    </row>
    <row r="540" spans="4:8" s="223" customFormat="1" x14ac:dyDescent="0.35">
      <c r="D540" s="222"/>
      <c r="E540" s="222"/>
      <c r="F540" s="222"/>
      <c r="G540" s="222"/>
      <c r="H540" s="222"/>
    </row>
    <row r="541" spans="4:8" s="223" customFormat="1" x14ac:dyDescent="0.35">
      <c r="D541" s="222"/>
      <c r="E541" s="222"/>
      <c r="F541" s="222"/>
      <c r="G541" s="222"/>
      <c r="H541" s="222"/>
    </row>
    <row r="542" spans="4:8" s="223" customFormat="1" x14ac:dyDescent="0.35">
      <c r="D542" s="222"/>
      <c r="E542" s="222"/>
      <c r="F542" s="222"/>
      <c r="G542" s="222"/>
      <c r="H542" s="222"/>
    </row>
    <row r="543" spans="4:8" s="223" customFormat="1" x14ac:dyDescent="0.35">
      <c r="D543" s="222"/>
      <c r="E543" s="222"/>
      <c r="F543" s="222"/>
      <c r="G543" s="222"/>
      <c r="H543" s="222"/>
    </row>
    <row r="544" spans="4:8" s="223" customFormat="1" x14ac:dyDescent="0.35">
      <c r="D544" s="222"/>
      <c r="E544" s="222"/>
      <c r="F544" s="222"/>
      <c r="G544" s="222"/>
      <c r="H544" s="222"/>
    </row>
    <row r="545" spans="4:8" s="223" customFormat="1" x14ac:dyDescent="0.35">
      <c r="D545" s="222"/>
      <c r="E545" s="222"/>
      <c r="F545" s="222"/>
      <c r="G545" s="222"/>
      <c r="H545" s="222"/>
    </row>
    <row r="546" spans="4:8" s="223" customFormat="1" x14ac:dyDescent="0.35">
      <c r="D546" s="222"/>
      <c r="E546" s="222"/>
      <c r="F546" s="222"/>
      <c r="G546" s="222"/>
      <c r="H546" s="222"/>
    </row>
    <row r="547" spans="4:8" s="223" customFormat="1" x14ac:dyDescent="0.35">
      <c r="D547" s="222"/>
      <c r="E547" s="222"/>
      <c r="F547" s="222"/>
      <c r="G547" s="222"/>
      <c r="H547" s="222"/>
    </row>
    <row r="548" spans="4:8" s="223" customFormat="1" x14ac:dyDescent="0.35">
      <c r="D548" s="222"/>
      <c r="E548" s="222"/>
      <c r="F548" s="222"/>
      <c r="G548" s="222"/>
      <c r="H548" s="222"/>
    </row>
    <row r="549" spans="4:8" s="223" customFormat="1" x14ac:dyDescent="0.35">
      <c r="D549" s="222"/>
      <c r="E549" s="222"/>
      <c r="F549" s="222"/>
      <c r="G549" s="222"/>
      <c r="H549" s="222"/>
    </row>
    <row r="550" spans="4:8" s="223" customFormat="1" x14ac:dyDescent="0.35">
      <c r="D550" s="222"/>
      <c r="E550" s="222"/>
      <c r="F550" s="222"/>
      <c r="G550" s="222"/>
      <c r="H550" s="222"/>
    </row>
    <row r="551" spans="4:8" s="223" customFormat="1" x14ac:dyDescent="0.35">
      <c r="D551" s="222"/>
      <c r="E551" s="222"/>
      <c r="F551" s="222"/>
      <c r="G551" s="222"/>
      <c r="H551" s="222"/>
    </row>
    <row r="552" spans="4:8" s="223" customFormat="1" x14ac:dyDescent="0.35">
      <c r="D552" s="222"/>
      <c r="E552" s="222"/>
      <c r="F552" s="222"/>
      <c r="G552" s="222"/>
      <c r="H552" s="222"/>
    </row>
    <row r="553" spans="4:8" s="223" customFormat="1" x14ac:dyDescent="0.35">
      <c r="D553" s="222"/>
      <c r="E553" s="222"/>
      <c r="F553" s="222"/>
      <c r="G553" s="222"/>
      <c r="H553" s="222"/>
    </row>
    <row r="554" spans="4:8" s="223" customFormat="1" x14ac:dyDescent="0.35">
      <c r="D554" s="222"/>
      <c r="E554" s="222"/>
      <c r="F554" s="222"/>
      <c r="G554" s="222"/>
      <c r="H554" s="222"/>
    </row>
    <row r="555" spans="4:8" s="223" customFormat="1" x14ac:dyDescent="0.35">
      <c r="D555" s="222"/>
      <c r="E555" s="222"/>
      <c r="F555" s="222"/>
      <c r="G555" s="222"/>
      <c r="H555" s="222"/>
    </row>
    <row r="556" spans="4:8" s="223" customFormat="1" x14ac:dyDescent="0.35">
      <c r="D556" s="222"/>
      <c r="E556" s="222"/>
      <c r="F556" s="222"/>
      <c r="G556" s="222"/>
      <c r="H556" s="222"/>
    </row>
    <row r="557" spans="4:8" s="223" customFormat="1" x14ac:dyDescent="0.35">
      <c r="D557" s="222"/>
      <c r="E557" s="222"/>
      <c r="F557" s="222"/>
      <c r="G557" s="222"/>
      <c r="H557" s="222"/>
    </row>
    <row r="558" spans="4:8" s="223" customFormat="1" x14ac:dyDescent="0.35">
      <c r="D558" s="222"/>
      <c r="E558" s="222"/>
      <c r="F558" s="222"/>
      <c r="G558" s="222"/>
      <c r="H558" s="222"/>
    </row>
    <row r="559" spans="4:8" s="223" customFormat="1" x14ac:dyDescent="0.35">
      <c r="D559" s="222"/>
      <c r="E559" s="222"/>
      <c r="F559" s="222"/>
      <c r="G559" s="222"/>
      <c r="H559" s="222"/>
    </row>
    <row r="560" spans="4:8" s="223" customFormat="1" x14ac:dyDescent="0.35">
      <c r="D560" s="222"/>
      <c r="E560" s="222"/>
      <c r="F560" s="222"/>
      <c r="G560" s="222"/>
      <c r="H560" s="222"/>
    </row>
    <row r="561" spans="4:8" s="223" customFormat="1" x14ac:dyDescent="0.35">
      <c r="D561" s="222"/>
      <c r="E561" s="222"/>
      <c r="F561" s="222"/>
      <c r="G561" s="222"/>
      <c r="H561" s="222"/>
    </row>
    <row r="562" spans="4:8" s="223" customFormat="1" x14ac:dyDescent="0.35">
      <c r="D562" s="222"/>
      <c r="E562" s="222"/>
      <c r="F562" s="222"/>
      <c r="G562" s="222"/>
      <c r="H562" s="222"/>
    </row>
    <row r="563" spans="4:8" s="223" customFormat="1" x14ac:dyDescent="0.35">
      <c r="D563" s="222"/>
      <c r="E563" s="222"/>
      <c r="F563" s="222"/>
      <c r="G563" s="222"/>
      <c r="H563" s="222"/>
    </row>
    <row r="564" spans="4:8" s="223" customFormat="1" x14ac:dyDescent="0.35">
      <c r="D564" s="222"/>
      <c r="E564" s="222"/>
      <c r="F564" s="222"/>
      <c r="G564" s="222"/>
      <c r="H564" s="222"/>
    </row>
    <row r="565" spans="4:8" s="223" customFormat="1" x14ac:dyDescent="0.35">
      <c r="D565" s="222"/>
      <c r="E565" s="222"/>
      <c r="F565" s="222"/>
      <c r="G565" s="222"/>
      <c r="H565" s="222"/>
    </row>
    <row r="566" spans="4:8" s="223" customFormat="1" x14ac:dyDescent="0.35">
      <c r="D566" s="222"/>
      <c r="E566" s="222"/>
      <c r="F566" s="222"/>
      <c r="G566" s="222"/>
      <c r="H566" s="222"/>
    </row>
    <row r="567" spans="4:8" s="223" customFormat="1" x14ac:dyDescent="0.35">
      <c r="D567" s="222"/>
      <c r="E567" s="222"/>
      <c r="F567" s="222"/>
      <c r="G567" s="222"/>
      <c r="H567" s="222"/>
    </row>
    <row r="568" spans="4:8" s="223" customFormat="1" x14ac:dyDescent="0.35">
      <c r="D568" s="222"/>
      <c r="E568" s="222"/>
      <c r="F568" s="222"/>
      <c r="G568" s="222"/>
      <c r="H568" s="222"/>
    </row>
    <row r="569" spans="4:8" s="223" customFormat="1" x14ac:dyDescent="0.35">
      <c r="D569" s="222"/>
      <c r="E569" s="222"/>
      <c r="F569" s="222"/>
      <c r="G569" s="222"/>
      <c r="H569" s="222"/>
    </row>
    <row r="570" spans="4:8" s="223" customFormat="1" x14ac:dyDescent="0.35">
      <c r="D570" s="222"/>
      <c r="E570" s="222"/>
      <c r="F570" s="222"/>
      <c r="G570" s="222"/>
      <c r="H570" s="222"/>
    </row>
    <row r="571" spans="4:8" s="223" customFormat="1" x14ac:dyDescent="0.35">
      <c r="D571" s="222"/>
      <c r="E571" s="222"/>
      <c r="F571" s="222"/>
      <c r="G571" s="222"/>
      <c r="H571" s="222"/>
    </row>
    <row r="572" spans="4:8" s="223" customFormat="1" x14ac:dyDescent="0.35">
      <c r="D572" s="222"/>
      <c r="E572" s="222"/>
      <c r="F572" s="222"/>
      <c r="G572" s="222"/>
      <c r="H572" s="222"/>
    </row>
    <row r="573" spans="4:8" s="223" customFormat="1" x14ac:dyDescent="0.35">
      <c r="D573" s="222"/>
      <c r="E573" s="222"/>
      <c r="F573" s="222"/>
      <c r="G573" s="222"/>
      <c r="H573" s="222"/>
    </row>
    <row r="574" spans="4:8" s="223" customFormat="1" x14ac:dyDescent="0.35">
      <c r="D574" s="222"/>
      <c r="E574" s="222"/>
      <c r="F574" s="222"/>
      <c r="G574" s="222"/>
      <c r="H574" s="222"/>
    </row>
    <row r="575" spans="4:8" s="223" customFormat="1" x14ac:dyDescent="0.35">
      <c r="D575" s="222"/>
      <c r="E575" s="222"/>
      <c r="F575" s="222"/>
      <c r="G575" s="222"/>
      <c r="H575" s="222"/>
    </row>
    <row r="576" spans="4:8" s="223" customFormat="1" x14ac:dyDescent="0.35">
      <c r="D576" s="222"/>
      <c r="E576" s="222"/>
      <c r="F576" s="222"/>
      <c r="G576" s="222"/>
      <c r="H576" s="222"/>
    </row>
    <row r="577" spans="4:8" s="223" customFormat="1" x14ac:dyDescent="0.35">
      <c r="D577" s="222"/>
      <c r="E577" s="222"/>
      <c r="F577" s="222"/>
      <c r="G577" s="222"/>
      <c r="H577" s="222"/>
    </row>
    <row r="578" spans="4:8" s="223" customFormat="1" x14ac:dyDescent="0.35">
      <c r="D578" s="222"/>
      <c r="E578" s="222"/>
      <c r="F578" s="222"/>
      <c r="G578" s="222"/>
      <c r="H578" s="222"/>
    </row>
    <row r="579" spans="4:8" s="223" customFormat="1" x14ac:dyDescent="0.35">
      <c r="D579" s="222"/>
      <c r="E579" s="222"/>
      <c r="F579" s="222"/>
      <c r="G579" s="222"/>
      <c r="H579" s="222"/>
    </row>
    <row r="580" spans="4:8" s="223" customFormat="1" x14ac:dyDescent="0.35">
      <c r="D580" s="222"/>
      <c r="E580" s="222"/>
      <c r="F580" s="222"/>
      <c r="G580" s="222"/>
      <c r="H580" s="222"/>
    </row>
    <row r="581" spans="4:8" s="223" customFormat="1" x14ac:dyDescent="0.35">
      <c r="D581" s="222"/>
      <c r="E581" s="222"/>
      <c r="F581" s="222"/>
      <c r="G581" s="222"/>
      <c r="H581" s="222"/>
    </row>
    <row r="582" spans="4:8" s="223" customFormat="1" x14ac:dyDescent="0.35">
      <c r="D582" s="222"/>
      <c r="E582" s="222"/>
      <c r="F582" s="222"/>
      <c r="G582" s="222"/>
      <c r="H582" s="222"/>
    </row>
    <row r="583" spans="4:8" s="223" customFormat="1" x14ac:dyDescent="0.35">
      <c r="D583" s="222"/>
      <c r="E583" s="222"/>
      <c r="F583" s="222"/>
      <c r="G583" s="222"/>
      <c r="H583" s="222"/>
    </row>
    <row r="584" spans="4:8" s="223" customFormat="1" x14ac:dyDescent="0.35">
      <c r="D584" s="222"/>
      <c r="E584" s="222"/>
      <c r="F584" s="222"/>
      <c r="G584" s="222"/>
      <c r="H584" s="222"/>
    </row>
    <row r="585" spans="4:8" s="223" customFormat="1" x14ac:dyDescent="0.35">
      <c r="D585" s="222"/>
      <c r="E585" s="222"/>
      <c r="F585" s="222"/>
      <c r="G585" s="222"/>
      <c r="H585" s="222"/>
    </row>
    <row r="586" spans="4:8" s="223" customFormat="1" x14ac:dyDescent="0.35">
      <c r="D586" s="222"/>
      <c r="E586" s="222"/>
      <c r="F586" s="222"/>
      <c r="G586" s="222"/>
      <c r="H586" s="222"/>
    </row>
    <row r="587" spans="4:8" s="223" customFormat="1" x14ac:dyDescent="0.35">
      <c r="D587" s="222"/>
      <c r="E587" s="222"/>
      <c r="F587" s="222"/>
      <c r="G587" s="222"/>
      <c r="H587" s="222"/>
    </row>
    <row r="588" spans="4:8" s="223" customFormat="1" x14ac:dyDescent="0.35">
      <c r="D588" s="222"/>
      <c r="E588" s="222"/>
      <c r="F588" s="222"/>
      <c r="G588" s="222"/>
      <c r="H588" s="222"/>
    </row>
    <row r="589" spans="4:8" s="223" customFormat="1" x14ac:dyDescent="0.35">
      <c r="D589" s="222"/>
      <c r="E589" s="222"/>
      <c r="F589" s="222"/>
      <c r="G589" s="222"/>
      <c r="H589" s="222"/>
    </row>
    <row r="590" spans="4:8" s="223" customFormat="1" x14ac:dyDescent="0.35">
      <c r="D590" s="222"/>
      <c r="E590" s="222"/>
      <c r="F590" s="222"/>
      <c r="G590" s="222"/>
      <c r="H590" s="222"/>
    </row>
    <row r="591" spans="4:8" s="223" customFormat="1" x14ac:dyDescent="0.35">
      <c r="D591" s="222"/>
      <c r="E591" s="222"/>
      <c r="F591" s="222"/>
      <c r="G591" s="222"/>
      <c r="H591" s="222"/>
    </row>
    <row r="592" spans="4:8" s="223" customFormat="1" x14ac:dyDescent="0.35">
      <c r="D592" s="222"/>
      <c r="E592" s="222"/>
      <c r="F592" s="222"/>
      <c r="G592" s="222"/>
      <c r="H592" s="222"/>
    </row>
    <row r="593" spans="4:8" s="223" customFormat="1" x14ac:dyDescent="0.35">
      <c r="D593" s="222"/>
      <c r="E593" s="222"/>
      <c r="F593" s="222"/>
      <c r="G593" s="222"/>
      <c r="H593" s="222"/>
    </row>
    <row r="594" spans="4:8" s="223" customFormat="1" x14ac:dyDescent="0.35">
      <c r="D594" s="222"/>
      <c r="E594" s="222"/>
      <c r="F594" s="222"/>
      <c r="G594" s="222"/>
      <c r="H594" s="222"/>
    </row>
    <row r="595" spans="4:8" s="223" customFormat="1" x14ac:dyDescent="0.35">
      <c r="D595" s="222"/>
      <c r="E595" s="222"/>
      <c r="F595" s="222"/>
      <c r="G595" s="222"/>
      <c r="H595" s="222"/>
    </row>
    <row r="596" spans="4:8" s="223" customFormat="1" x14ac:dyDescent="0.35">
      <c r="D596" s="222"/>
      <c r="E596" s="222"/>
      <c r="F596" s="222"/>
      <c r="G596" s="222"/>
      <c r="H596" s="222"/>
    </row>
    <row r="597" spans="4:8" s="223" customFormat="1" x14ac:dyDescent="0.35">
      <c r="D597" s="222"/>
      <c r="E597" s="222"/>
      <c r="F597" s="222"/>
      <c r="G597" s="222"/>
      <c r="H597" s="222"/>
    </row>
    <row r="598" spans="4:8" s="223" customFormat="1" x14ac:dyDescent="0.35">
      <c r="D598" s="222"/>
      <c r="E598" s="222"/>
      <c r="F598" s="222"/>
      <c r="G598" s="222"/>
      <c r="H598" s="222"/>
    </row>
    <row r="599" spans="4:8" s="223" customFormat="1" x14ac:dyDescent="0.35">
      <c r="D599" s="222"/>
      <c r="E599" s="222"/>
      <c r="F599" s="222"/>
      <c r="G599" s="222"/>
      <c r="H599" s="222"/>
    </row>
    <row r="600" spans="4:8" s="223" customFormat="1" x14ac:dyDescent="0.35">
      <c r="D600" s="222"/>
      <c r="E600" s="222"/>
      <c r="F600" s="222"/>
      <c r="G600" s="222"/>
      <c r="H600" s="222"/>
    </row>
    <row r="601" spans="4:8" s="223" customFormat="1" x14ac:dyDescent="0.35">
      <c r="D601" s="222"/>
      <c r="E601" s="222"/>
      <c r="F601" s="222"/>
      <c r="G601" s="222"/>
      <c r="H601" s="222"/>
    </row>
    <row r="602" spans="4:8" s="223" customFormat="1" x14ac:dyDescent="0.35">
      <c r="D602" s="222"/>
      <c r="E602" s="222"/>
      <c r="F602" s="222"/>
      <c r="G602" s="222"/>
      <c r="H602" s="222"/>
    </row>
    <row r="603" spans="4:8" s="223" customFormat="1" x14ac:dyDescent="0.35">
      <c r="D603" s="222"/>
      <c r="E603" s="222"/>
      <c r="F603" s="222"/>
      <c r="G603" s="222"/>
      <c r="H603" s="222"/>
    </row>
    <row r="604" spans="4:8" s="223" customFormat="1" x14ac:dyDescent="0.35">
      <c r="D604" s="222"/>
      <c r="E604" s="222"/>
      <c r="F604" s="222"/>
      <c r="G604" s="222"/>
      <c r="H604" s="222"/>
    </row>
    <row r="605" spans="4:8" s="223" customFormat="1" x14ac:dyDescent="0.35">
      <c r="D605" s="222"/>
      <c r="E605" s="222"/>
      <c r="F605" s="222"/>
      <c r="G605" s="222"/>
      <c r="H605" s="222"/>
    </row>
    <row r="606" spans="4:8" s="223" customFormat="1" x14ac:dyDescent="0.35">
      <c r="D606" s="222"/>
      <c r="E606" s="222"/>
      <c r="F606" s="222"/>
      <c r="G606" s="222"/>
      <c r="H606" s="222"/>
    </row>
    <row r="607" spans="4:8" s="223" customFormat="1" x14ac:dyDescent="0.35">
      <c r="D607" s="222"/>
      <c r="E607" s="222"/>
      <c r="F607" s="222"/>
      <c r="G607" s="222"/>
      <c r="H607" s="222"/>
    </row>
    <row r="608" spans="4:8" s="223" customFormat="1" x14ac:dyDescent="0.35">
      <c r="D608" s="222"/>
      <c r="E608" s="222"/>
      <c r="F608" s="222"/>
      <c r="G608" s="222"/>
      <c r="H608" s="222"/>
    </row>
    <row r="609" spans="4:8" s="223" customFormat="1" x14ac:dyDescent="0.35">
      <c r="D609" s="222"/>
      <c r="E609" s="222"/>
      <c r="F609" s="222"/>
      <c r="G609" s="222"/>
      <c r="H609" s="222"/>
    </row>
    <row r="610" spans="4:8" s="223" customFormat="1" x14ac:dyDescent="0.35">
      <c r="D610" s="222"/>
      <c r="E610" s="222"/>
      <c r="F610" s="222"/>
      <c r="G610" s="222"/>
      <c r="H610" s="222"/>
    </row>
    <row r="611" spans="4:8" s="223" customFormat="1" x14ac:dyDescent="0.35">
      <c r="D611" s="222"/>
      <c r="E611" s="222"/>
      <c r="F611" s="222"/>
      <c r="G611" s="222"/>
      <c r="H611" s="222"/>
    </row>
    <row r="612" spans="4:8" s="223" customFormat="1" x14ac:dyDescent="0.35">
      <c r="D612" s="222"/>
      <c r="E612" s="222"/>
      <c r="F612" s="222"/>
      <c r="G612" s="222"/>
      <c r="H612" s="222"/>
    </row>
    <row r="613" spans="4:8" s="223" customFormat="1" x14ac:dyDescent="0.35">
      <c r="D613" s="222"/>
      <c r="E613" s="222"/>
      <c r="F613" s="222"/>
      <c r="G613" s="222"/>
      <c r="H613" s="222"/>
    </row>
    <row r="614" spans="4:8" s="223" customFormat="1" x14ac:dyDescent="0.35">
      <c r="D614" s="222"/>
      <c r="E614" s="222"/>
      <c r="F614" s="222"/>
      <c r="G614" s="222"/>
      <c r="H614" s="222"/>
    </row>
    <row r="615" spans="4:8" s="223" customFormat="1" x14ac:dyDescent="0.35">
      <c r="D615" s="222"/>
      <c r="E615" s="222"/>
      <c r="F615" s="222"/>
      <c r="G615" s="222"/>
      <c r="H615" s="222"/>
    </row>
    <row r="616" spans="4:8" s="223" customFormat="1" x14ac:dyDescent="0.35">
      <c r="D616" s="222"/>
      <c r="E616" s="222"/>
      <c r="F616" s="222"/>
      <c r="G616" s="222"/>
      <c r="H616" s="222"/>
    </row>
    <row r="617" spans="4:8" s="223" customFormat="1" x14ac:dyDescent="0.35">
      <c r="D617" s="222"/>
      <c r="E617" s="222"/>
      <c r="F617" s="222"/>
      <c r="G617" s="222"/>
      <c r="H617" s="222"/>
    </row>
    <row r="618" spans="4:8" s="223" customFormat="1" x14ac:dyDescent="0.35">
      <c r="D618" s="222"/>
      <c r="E618" s="222"/>
      <c r="F618" s="222"/>
      <c r="G618" s="222"/>
      <c r="H618" s="222"/>
    </row>
    <row r="619" spans="4:8" s="223" customFormat="1" x14ac:dyDescent="0.35">
      <c r="D619" s="222"/>
      <c r="E619" s="222"/>
      <c r="F619" s="222"/>
      <c r="G619" s="222"/>
      <c r="H619" s="222"/>
    </row>
    <row r="620" spans="4:8" s="223" customFormat="1" x14ac:dyDescent="0.35">
      <c r="D620" s="222"/>
      <c r="E620" s="222"/>
      <c r="F620" s="222"/>
      <c r="G620" s="222"/>
      <c r="H620" s="222"/>
    </row>
    <row r="621" spans="4:8" s="223" customFormat="1" x14ac:dyDescent="0.35">
      <c r="D621" s="222"/>
      <c r="E621" s="222"/>
      <c r="F621" s="222"/>
      <c r="G621" s="222"/>
      <c r="H621" s="222"/>
    </row>
    <row r="622" spans="4:8" s="223" customFormat="1" x14ac:dyDescent="0.35">
      <c r="D622" s="222"/>
      <c r="E622" s="222"/>
      <c r="F622" s="222"/>
      <c r="G622" s="222"/>
      <c r="H622" s="222"/>
    </row>
    <row r="623" spans="4:8" s="223" customFormat="1" x14ac:dyDescent="0.35">
      <c r="D623" s="222"/>
      <c r="E623" s="222"/>
      <c r="F623" s="222"/>
      <c r="G623" s="222"/>
      <c r="H623" s="222"/>
    </row>
    <row r="624" spans="4:8" s="223" customFormat="1" x14ac:dyDescent="0.35">
      <c r="D624" s="222"/>
      <c r="E624" s="222"/>
      <c r="F624" s="222"/>
      <c r="G624" s="222"/>
      <c r="H624" s="222"/>
    </row>
    <row r="625" spans="4:8" s="223" customFormat="1" x14ac:dyDescent="0.35">
      <c r="D625" s="222"/>
      <c r="E625" s="222"/>
      <c r="F625" s="222"/>
      <c r="G625" s="222"/>
      <c r="H625" s="222"/>
    </row>
    <row r="626" spans="4:8" s="223" customFormat="1" x14ac:dyDescent="0.35">
      <c r="D626" s="222"/>
      <c r="E626" s="222"/>
      <c r="F626" s="222"/>
      <c r="G626" s="222"/>
      <c r="H626" s="222"/>
    </row>
    <row r="627" spans="4:8" s="223" customFormat="1" x14ac:dyDescent="0.35">
      <c r="D627" s="222"/>
      <c r="E627" s="222"/>
      <c r="F627" s="222"/>
      <c r="G627" s="222"/>
      <c r="H627" s="222"/>
    </row>
    <row r="628" spans="4:8" s="223" customFormat="1" x14ac:dyDescent="0.35">
      <c r="D628" s="222"/>
      <c r="E628" s="222"/>
      <c r="F628" s="222"/>
      <c r="G628" s="222"/>
      <c r="H628" s="222"/>
    </row>
    <row r="629" spans="4:8" s="223" customFormat="1" x14ac:dyDescent="0.35">
      <c r="D629" s="222"/>
      <c r="E629" s="222"/>
      <c r="F629" s="222"/>
      <c r="G629" s="222"/>
      <c r="H629" s="222"/>
    </row>
    <row r="630" spans="4:8" s="223" customFormat="1" x14ac:dyDescent="0.35">
      <c r="D630" s="222"/>
      <c r="E630" s="222"/>
      <c r="F630" s="222"/>
      <c r="G630" s="222"/>
      <c r="H630" s="222"/>
    </row>
    <row r="631" spans="4:8" s="223" customFormat="1" x14ac:dyDescent="0.35">
      <c r="D631" s="222"/>
      <c r="E631" s="222"/>
      <c r="F631" s="222"/>
      <c r="G631" s="222"/>
      <c r="H631" s="222"/>
    </row>
    <row r="632" spans="4:8" s="223" customFormat="1" x14ac:dyDescent="0.35">
      <c r="D632" s="222"/>
      <c r="E632" s="222"/>
      <c r="F632" s="222"/>
      <c r="G632" s="222"/>
      <c r="H632" s="222"/>
    </row>
    <row r="633" spans="4:8" s="223" customFormat="1" x14ac:dyDescent="0.35">
      <c r="D633" s="222"/>
      <c r="E633" s="222"/>
      <c r="F633" s="222"/>
      <c r="G633" s="222"/>
      <c r="H633" s="222"/>
    </row>
    <row r="634" spans="4:8" s="223" customFormat="1" x14ac:dyDescent="0.35">
      <c r="D634" s="222"/>
      <c r="E634" s="222"/>
      <c r="F634" s="222"/>
      <c r="G634" s="222"/>
      <c r="H634" s="222"/>
    </row>
    <row r="635" spans="4:8" s="223" customFormat="1" x14ac:dyDescent="0.35">
      <c r="D635" s="222"/>
      <c r="E635" s="222"/>
      <c r="F635" s="222"/>
      <c r="G635" s="222"/>
      <c r="H635" s="222"/>
    </row>
    <row r="636" spans="4:8" s="223" customFormat="1" x14ac:dyDescent="0.35">
      <c r="D636" s="222"/>
      <c r="E636" s="222"/>
      <c r="F636" s="222"/>
      <c r="G636" s="222"/>
      <c r="H636" s="222"/>
    </row>
    <row r="637" spans="4:8" s="223" customFormat="1" x14ac:dyDescent="0.35">
      <c r="D637" s="222"/>
      <c r="E637" s="222"/>
      <c r="F637" s="222"/>
      <c r="G637" s="222"/>
      <c r="H637" s="222"/>
    </row>
    <row r="638" spans="4:8" s="223" customFormat="1" x14ac:dyDescent="0.35">
      <c r="D638" s="222"/>
      <c r="E638" s="222"/>
      <c r="F638" s="222"/>
      <c r="G638" s="222"/>
      <c r="H638" s="222"/>
    </row>
    <row r="639" spans="4:8" s="223" customFormat="1" x14ac:dyDescent="0.35">
      <c r="D639" s="222"/>
      <c r="E639" s="222"/>
      <c r="F639" s="222"/>
      <c r="G639" s="222"/>
      <c r="H639" s="222"/>
    </row>
    <row r="640" spans="4:8" s="223" customFormat="1" x14ac:dyDescent="0.35">
      <c r="D640" s="222"/>
      <c r="E640" s="222"/>
      <c r="F640" s="222"/>
      <c r="G640" s="222"/>
      <c r="H640" s="222"/>
    </row>
    <row r="641" spans="4:8" s="223" customFormat="1" x14ac:dyDescent="0.35">
      <c r="D641" s="222"/>
      <c r="E641" s="222"/>
      <c r="F641" s="222"/>
      <c r="G641" s="222"/>
      <c r="H641" s="222"/>
    </row>
    <row r="642" spans="4:8" s="223" customFormat="1" x14ac:dyDescent="0.35">
      <c r="D642" s="222"/>
      <c r="E642" s="222"/>
      <c r="F642" s="222"/>
      <c r="G642" s="222"/>
      <c r="H642" s="222"/>
    </row>
    <row r="643" spans="4:8" s="223" customFormat="1" x14ac:dyDescent="0.35">
      <c r="D643" s="222"/>
      <c r="E643" s="222"/>
      <c r="F643" s="222"/>
      <c r="G643" s="222"/>
      <c r="H643" s="222"/>
    </row>
    <row r="644" spans="4:8" s="223" customFormat="1" x14ac:dyDescent="0.35">
      <c r="D644" s="222"/>
      <c r="E644" s="222"/>
      <c r="F644" s="222"/>
      <c r="G644" s="222"/>
      <c r="H644" s="222"/>
    </row>
    <row r="645" spans="4:8" s="223" customFormat="1" x14ac:dyDescent="0.35">
      <c r="D645" s="222"/>
      <c r="E645" s="222"/>
      <c r="F645" s="222"/>
      <c r="G645" s="222"/>
      <c r="H645" s="222"/>
    </row>
    <row r="646" spans="4:8" s="223" customFormat="1" x14ac:dyDescent="0.35">
      <c r="D646" s="222"/>
      <c r="E646" s="222"/>
      <c r="F646" s="222"/>
      <c r="G646" s="222"/>
      <c r="H646" s="222"/>
    </row>
    <row r="647" spans="4:8" s="223" customFormat="1" x14ac:dyDescent="0.35">
      <c r="D647" s="222"/>
      <c r="E647" s="222"/>
      <c r="F647" s="222"/>
      <c r="G647" s="222"/>
      <c r="H647" s="222"/>
    </row>
    <row r="648" spans="4:8" s="223" customFormat="1" x14ac:dyDescent="0.35">
      <c r="D648" s="222"/>
      <c r="E648" s="222"/>
      <c r="F648" s="222"/>
      <c r="G648" s="222"/>
      <c r="H648" s="222"/>
    </row>
    <row r="649" spans="4:8" s="223" customFormat="1" x14ac:dyDescent="0.35">
      <c r="D649" s="222"/>
      <c r="E649" s="222"/>
      <c r="F649" s="222"/>
      <c r="G649" s="222"/>
      <c r="H649" s="222"/>
    </row>
    <row r="650" spans="4:8" s="223" customFormat="1" x14ac:dyDescent="0.35">
      <c r="D650" s="222"/>
      <c r="E650" s="222"/>
      <c r="F650" s="222"/>
      <c r="G650" s="222"/>
      <c r="H650" s="222"/>
    </row>
    <row r="651" spans="4:8" s="223" customFormat="1" x14ac:dyDescent="0.35">
      <c r="D651" s="222"/>
      <c r="E651" s="222"/>
      <c r="F651" s="222"/>
      <c r="G651" s="222"/>
      <c r="H651" s="222"/>
    </row>
    <row r="652" spans="4:8" s="223" customFormat="1" x14ac:dyDescent="0.35">
      <c r="D652" s="222"/>
      <c r="E652" s="222"/>
      <c r="F652" s="222"/>
      <c r="G652" s="222"/>
      <c r="H652" s="222"/>
    </row>
    <row r="653" spans="4:8" s="223" customFormat="1" x14ac:dyDescent="0.35">
      <c r="D653" s="222"/>
      <c r="E653" s="222"/>
      <c r="F653" s="222"/>
      <c r="G653" s="222"/>
      <c r="H653" s="222"/>
    </row>
    <row r="654" spans="4:8" s="223" customFormat="1" x14ac:dyDescent="0.35">
      <c r="D654" s="222"/>
      <c r="E654" s="222"/>
      <c r="F654" s="222"/>
      <c r="G654" s="222"/>
      <c r="H654" s="222"/>
    </row>
    <row r="655" spans="4:8" s="223" customFormat="1" x14ac:dyDescent="0.35">
      <c r="D655" s="222"/>
      <c r="E655" s="222"/>
      <c r="F655" s="222"/>
      <c r="G655" s="222"/>
      <c r="H655" s="222"/>
    </row>
    <row r="656" spans="4:8" s="223" customFormat="1" x14ac:dyDescent="0.35">
      <c r="D656" s="222"/>
      <c r="E656" s="222"/>
      <c r="F656" s="222"/>
      <c r="G656" s="222"/>
      <c r="H656" s="222"/>
    </row>
    <row r="657" spans="4:8" s="223" customFormat="1" x14ac:dyDescent="0.35">
      <c r="D657" s="222"/>
      <c r="E657" s="222"/>
      <c r="F657" s="222"/>
      <c r="G657" s="222"/>
      <c r="H657" s="222"/>
    </row>
    <row r="658" spans="4:8" s="223" customFormat="1" x14ac:dyDescent="0.35">
      <c r="D658" s="222"/>
      <c r="E658" s="222"/>
      <c r="F658" s="222"/>
      <c r="G658" s="222"/>
      <c r="H658" s="222"/>
    </row>
    <row r="659" spans="4:8" s="223" customFormat="1" x14ac:dyDescent="0.35">
      <c r="D659" s="222"/>
      <c r="E659" s="222"/>
      <c r="F659" s="222"/>
      <c r="G659" s="222"/>
      <c r="H659" s="222"/>
    </row>
    <row r="660" spans="4:8" s="223" customFormat="1" x14ac:dyDescent="0.35">
      <c r="D660" s="222"/>
      <c r="E660" s="222"/>
      <c r="F660" s="222"/>
      <c r="G660" s="222"/>
      <c r="H660" s="222"/>
    </row>
    <row r="661" spans="4:8" s="223" customFormat="1" x14ac:dyDescent="0.35">
      <c r="D661" s="222"/>
      <c r="E661" s="222"/>
      <c r="F661" s="222"/>
      <c r="G661" s="222"/>
      <c r="H661" s="222"/>
    </row>
    <row r="662" spans="4:8" s="223" customFormat="1" x14ac:dyDescent="0.35">
      <c r="D662" s="222"/>
      <c r="E662" s="222"/>
      <c r="F662" s="222"/>
      <c r="G662" s="222"/>
      <c r="H662" s="222"/>
    </row>
    <row r="663" spans="4:8" s="223" customFormat="1" x14ac:dyDescent="0.35">
      <c r="D663" s="222"/>
      <c r="E663" s="222"/>
      <c r="F663" s="222"/>
      <c r="G663" s="222"/>
      <c r="H663" s="222"/>
    </row>
    <row r="664" spans="4:8" s="223" customFormat="1" x14ac:dyDescent="0.35">
      <c r="D664" s="222"/>
      <c r="E664" s="222"/>
      <c r="F664" s="222"/>
      <c r="G664" s="222"/>
      <c r="H664" s="222"/>
    </row>
    <row r="665" spans="4:8" s="223" customFormat="1" x14ac:dyDescent="0.35">
      <c r="D665" s="222"/>
      <c r="E665" s="222"/>
      <c r="F665" s="222"/>
      <c r="G665" s="222"/>
      <c r="H665" s="222"/>
    </row>
    <row r="666" spans="4:8" s="223" customFormat="1" x14ac:dyDescent="0.35">
      <c r="D666" s="222"/>
      <c r="E666" s="222"/>
      <c r="F666" s="222"/>
      <c r="G666" s="222"/>
      <c r="H666" s="222"/>
    </row>
    <row r="667" spans="4:8" s="223" customFormat="1" x14ac:dyDescent="0.35">
      <c r="D667" s="222"/>
      <c r="E667" s="222"/>
      <c r="F667" s="222"/>
      <c r="G667" s="222"/>
      <c r="H667" s="222"/>
    </row>
    <row r="668" spans="4:8" s="223" customFormat="1" x14ac:dyDescent="0.35">
      <c r="D668" s="222"/>
      <c r="E668" s="222"/>
      <c r="F668" s="222"/>
      <c r="G668" s="222"/>
      <c r="H668" s="222"/>
    </row>
    <row r="669" spans="4:8" s="223" customFormat="1" x14ac:dyDescent="0.35">
      <c r="D669" s="222"/>
      <c r="E669" s="222"/>
      <c r="F669" s="222"/>
      <c r="G669" s="222"/>
      <c r="H669" s="222"/>
    </row>
    <row r="670" spans="4:8" s="223" customFormat="1" x14ac:dyDescent="0.35">
      <c r="D670" s="222"/>
      <c r="E670" s="222"/>
      <c r="F670" s="222"/>
      <c r="G670" s="222"/>
      <c r="H670" s="222"/>
    </row>
    <row r="671" spans="4:8" s="223" customFormat="1" x14ac:dyDescent="0.35">
      <c r="D671" s="222"/>
      <c r="E671" s="222"/>
      <c r="F671" s="222"/>
      <c r="G671" s="222"/>
      <c r="H671" s="222"/>
    </row>
    <row r="672" spans="4:8" s="223" customFormat="1" x14ac:dyDescent="0.35">
      <c r="D672" s="222"/>
      <c r="E672" s="222"/>
      <c r="F672" s="222"/>
      <c r="G672" s="222"/>
      <c r="H672" s="222"/>
    </row>
    <row r="673" spans="4:8" s="223" customFormat="1" x14ac:dyDescent="0.35">
      <c r="D673" s="222"/>
      <c r="E673" s="222"/>
      <c r="F673" s="222"/>
      <c r="G673" s="222"/>
      <c r="H673" s="222"/>
    </row>
    <row r="674" spans="4:8" s="223" customFormat="1" x14ac:dyDescent="0.35">
      <c r="D674" s="222"/>
      <c r="E674" s="222"/>
      <c r="F674" s="222"/>
      <c r="G674" s="222"/>
      <c r="H674" s="222"/>
    </row>
    <row r="675" spans="4:8" s="223" customFormat="1" x14ac:dyDescent="0.35">
      <c r="D675" s="222"/>
      <c r="E675" s="222"/>
      <c r="F675" s="222"/>
      <c r="G675" s="222"/>
      <c r="H675" s="222"/>
    </row>
    <row r="676" spans="4:8" s="223" customFormat="1" x14ac:dyDescent="0.35">
      <c r="D676" s="222"/>
      <c r="E676" s="222"/>
      <c r="F676" s="222"/>
      <c r="G676" s="222"/>
      <c r="H676" s="222"/>
    </row>
    <row r="677" spans="4:8" s="223" customFormat="1" x14ac:dyDescent="0.35">
      <c r="D677" s="222"/>
      <c r="E677" s="222"/>
      <c r="F677" s="222"/>
      <c r="G677" s="222"/>
      <c r="H677" s="222"/>
    </row>
    <row r="678" spans="4:8" s="223" customFormat="1" x14ac:dyDescent="0.35">
      <c r="D678" s="222"/>
      <c r="E678" s="222"/>
      <c r="F678" s="222"/>
      <c r="G678" s="222"/>
      <c r="H678" s="222"/>
    </row>
    <row r="679" spans="4:8" s="223" customFormat="1" x14ac:dyDescent="0.35">
      <c r="D679" s="222"/>
      <c r="E679" s="222"/>
      <c r="F679" s="222"/>
      <c r="G679" s="222"/>
      <c r="H679" s="222"/>
    </row>
    <row r="680" spans="4:8" s="223" customFormat="1" x14ac:dyDescent="0.35">
      <c r="D680" s="222"/>
      <c r="E680" s="222"/>
      <c r="F680" s="222"/>
      <c r="G680" s="222"/>
      <c r="H680" s="222"/>
    </row>
    <row r="681" spans="4:8" s="223" customFormat="1" x14ac:dyDescent="0.35">
      <c r="D681" s="222"/>
      <c r="E681" s="222"/>
      <c r="F681" s="222"/>
      <c r="G681" s="222"/>
      <c r="H681" s="222"/>
    </row>
    <row r="682" spans="4:8" s="223" customFormat="1" x14ac:dyDescent="0.35">
      <c r="D682" s="222"/>
      <c r="E682" s="222"/>
      <c r="F682" s="222"/>
      <c r="G682" s="222"/>
      <c r="H682" s="222"/>
    </row>
    <row r="683" spans="4:8" s="223" customFormat="1" x14ac:dyDescent="0.35">
      <c r="D683" s="222"/>
      <c r="E683" s="222"/>
      <c r="F683" s="222"/>
      <c r="G683" s="222"/>
      <c r="H683" s="222"/>
    </row>
    <row r="684" spans="4:8" s="223" customFormat="1" x14ac:dyDescent="0.35">
      <c r="D684" s="222"/>
      <c r="E684" s="222"/>
      <c r="F684" s="222"/>
      <c r="G684" s="222"/>
      <c r="H684" s="222"/>
    </row>
    <row r="685" spans="4:8" s="223" customFormat="1" x14ac:dyDescent="0.35">
      <c r="D685" s="222"/>
      <c r="E685" s="222"/>
      <c r="F685" s="222"/>
      <c r="G685" s="222"/>
      <c r="H685" s="222"/>
    </row>
    <row r="686" spans="4:8" s="223" customFormat="1" x14ac:dyDescent="0.35">
      <c r="D686" s="222"/>
      <c r="E686" s="222"/>
      <c r="F686" s="222"/>
      <c r="G686" s="222"/>
      <c r="H686" s="222"/>
    </row>
    <row r="687" spans="4:8" s="223" customFormat="1" x14ac:dyDescent="0.35">
      <c r="D687" s="222"/>
      <c r="E687" s="222"/>
      <c r="F687" s="222"/>
      <c r="G687" s="222"/>
      <c r="H687" s="222"/>
    </row>
    <row r="688" spans="4:8" s="223" customFormat="1" x14ac:dyDescent="0.35">
      <c r="D688" s="222"/>
      <c r="E688" s="222"/>
      <c r="F688" s="222"/>
      <c r="G688" s="222"/>
      <c r="H688" s="222"/>
    </row>
    <row r="689" spans="4:8" s="223" customFormat="1" x14ac:dyDescent="0.35">
      <c r="D689" s="222"/>
      <c r="E689" s="222"/>
      <c r="F689" s="222"/>
      <c r="G689" s="222"/>
      <c r="H689" s="222"/>
    </row>
    <row r="690" spans="4:8" s="223" customFormat="1" x14ac:dyDescent="0.35">
      <c r="D690" s="222"/>
      <c r="E690" s="222"/>
      <c r="F690" s="222"/>
      <c r="G690" s="222"/>
      <c r="H690" s="222"/>
    </row>
    <row r="691" spans="4:8" s="223" customFormat="1" x14ac:dyDescent="0.35">
      <c r="D691" s="222"/>
      <c r="E691" s="222"/>
      <c r="F691" s="222"/>
      <c r="G691" s="222"/>
      <c r="H691" s="222"/>
    </row>
    <row r="692" spans="4:8" s="223" customFormat="1" x14ac:dyDescent="0.35">
      <c r="D692" s="222"/>
      <c r="E692" s="222"/>
      <c r="F692" s="222"/>
      <c r="G692" s="222"/>
      <c r="H692" s="222"/>
    </row>
    <row r="693" spans="4:8" s="223" customFormat="1" x14ac:dyDescent="0.35">
      <c r="D693" s="222"/>
      <c r="E693" s="222"/>
      <c r="F693" s="222"/>
      <c r="G693" s="222"/>
      <c r="H693" s="222"/>
    </row>
    <row r="694" spans="4:8" s="223" customFormat="1" x14ac:dyDescent="0.35">
      <c r="D694" s="222"/>
      <c r="E694" s="222"/>
      <c r="F694" s="222"/>
      <c r="G694" s="222"/>
      <c r="H694" s="222"/>
    </row>
    <row r="695" spans="4:8" s="223" customFormat="1" x14ac:dyDescent="0.35">
      <c r="D695" s="222"/>
      <c r="E695" s="222"/>
      <c r="F695" s="222"/>
      <c r="G695" s="222"/>
      <c r="H695" s="222"/>
    </row>
    <row r="696" spans="4:8" s="223" customFormat="1" x14ac:dyDescent="0.35">
      <c r="D696" s="222"/>
      <c r="E696" s="222"/>
      <c r="F696" s="222"/>
      <c r="G696" s="222"/>
      <c r="H696" s="222"/>
    </row>
    <row r="697" spans="4:8" s="223" customFormat="1" x14ac:dyDescent="0.35">
      <c r="D697" s="222"/>
      <c r="E697" s="222"/>
      <c r="F697" s="222"/>
      <c r="G697" s="222"/>
      <c r="H697" s="222"/>
    </row>
    <row r="698" spans="4:8" s="223" customFormat="1" x14ac:dyDescent="0.35">
      <c r="D698" s="222"/>
      <c r="E698" s="222"/>
      <c r="F698" s="222"/>
      <c r="G698" s="222"/>
      <c r="H698" s="222"/>
    </row>
    <row r="699" spans="4:8" s="223" customFormat="1" x14ac:dyDescent="0.35">
      <c r="D699" s="222"/>
      <c r="E699" s="222"/>
      <c r="F699" s="222"/>
      <c r="G699" s="222"/>
      <c r="H699" s="222"/>
    </row>
    <row r="700" spans="4:8" s="223" customFormat="1" x14ac:dyDescent="0.35">
      <c r="D700" s="222"/>
      <c r="E700" s="222"/>
      <c r="F700" s="222"/>
      <c r="G700" s="222"/>
      <c r="H700" s="222"/>
    </row>
    <row r="701" spans="4:8" s="223" customFormat="1" x14ac:dyDescent="0.35">
      <c r="D701" s="222"/>
      <c r="E701" s="222"/>
      <c r="F701" s="222"/>
      <c r="G701" s="222"/>
      <c r="H701" s="222"/>
    </row>
    <row r="702" spans="4:8" s="223" customFormat="1" x14ac:dyDescent="0.35">
      <c r="D702" s="222"/>
      <c r="E702" s="222"/>
      <c r="F702" s="222"/>
      <c r="G702" s="222"/>
      <c r="H702" s="222"/>
    </row>
    <row r="703" spans="4:8" s="223" customFormat="1" x14ac:dyDescent="0.35">
      <c r="D703" s="222"/>
      <c r="E703" s="222"/>
      <c r="F703" s="222"/>
      <c r="G703" s="222"/>
      <c r="H703" s="222"/>
    </row>
    <row r="704" spans="4:8" s="223" customFormat="1" x14ac:dyDescent="0.35">
      <c r="D704" s="222"/>
      <c r="E704" s="222"/>
      <c r="F704" s="222"/>
      <c r="G704" s="222"/>
      <c r="H704" s="222"/>
    </row>
    <row r="705" spans="4:8" s="223" customFormat="1" x14ac:dyDescent="0.35">
      <c r="D705" s="222"/>
      <c r="E705" s="222"/>
      <c r="F705" s="222"/>
      <c r="G705" s="222"/>
      <c r="H705" s="222"/>
    </row>
    <row r="706" spans="4:8" s="223" customFormat="1" x14ac:dyDescent="0.35">
      <c r="D706" s="222"/>
      <c r="E706" s="222"/>
      <c r="F706" s="222"/>
      <c r="G706" s="222"/>
      <c r="H706" s="222"/>
    </row>
    <row r="707" spans="4:8" s="223" customFormat="1" x14ac:dyDescent="0.35">
      <c r="D707" s="222"/>
      <c r="E707" s="222"/>
      <c r="F707" s="222"/>
      <c r="G707" s="222"/>
      <c r="H707" s="222"/>
    </row>
    <row r="708" spans="4:8" s="223" customFormat="1" x14ac:dyDescent="0.35">
      <c r="D708" s="222"/>
      <c r="E708" s="222"/>
      <c r="F708" s="222"/>
      <c r="G708" s="222"/>
      <c r="H708" s="222"/>
    </row>
    <row r="709" spans="4:8" s="223" customFormat="1" x14ac:dyDescent="0.35">
      <c r="D709" s="222"/>
      <c r="E709" s="222"/>
      <c r="F709" s="222"/>
      <c r="G709" s="222"/>
      <c r="H709" s="222"/>
    </row>
    <row r="710" spans="4:8" s="223" customFormat="1" x14ac:dyDescent="0.35">
      <c r="D710" s="222"/>
      <c r="E710" s="222"/>
      <c r="F710" s="222"/>
      <c r="G710" s="222"/>
      <c r="H710" s="222"/>
    </row>
    <row r="711" spans="4:8" s="223" customFormat="1" x14ac:dyDescent="0.35">
      <c r="D711" s="222"/>
      <c r="E711" s="222"/>
      <c r="F711" s="222"/>
      <c r="G711" s="222"/>
      <c r="H711" s="222"/>
    </row>
    <row r="712" spans="4:8" s="223" customFormat="1" x14ac:dyDescent="0.35">
      <c r="D712" s="222"/>
      <c r="E712" s="222"/>
      <c r="F712" s="222"/>
      <c r="G712" s="222"/>
      <c r="H712" s="222"/>
    </row>
    <row r="713" spans="4:8" s="223" customFormat="1" x14ac:dyDescent="0.35">
      <c r="D713" s="222"/>
      <c r="E713" s="222"/>
      <c r="F713" s="222"/>
      <c r="G713" s="222"/>
      <c r="H713" s="222"/>
    </row>
    <row r="714" spans="4:8" s="223" customFormat="1" x14ac:dyDescent="0.35">
      <c r="D714" s="222"/>
      <c r="E714" s="222"/>
      <c r="F714" s="222"/>
      <c r="G714" s="222"/>
      <c r="H714" s="222"/>
    </row>
    <row r="715" spans="4:8" s="223" customFormat="1" x14ac:dyDescent="0.35">
      <c r="D715" s="222"/>
      <c r="E715" s="222"/>
      <c r="F715" s="222"/>
      <c r="G715" s="222"/>
      <c r="H715" s="222"/>
    </row>
    <row r="716" spans="4:8" s="223" customFormat="1" x14ac:dyDescent="0.35">
      <c r="D716" s="222"/>
      <c r="E716" s="222"/>
      <c r="F716" s="222"/>
      <c r="G716" s="222"/>
      <c r="H716" s="222"/>
    </row>
    <row r="717" spans="4:8" s="223" customFormat="1" x14ac:dyDescent="0.35">
      <c r="D717" s="222"/>
      <c r="E717" s="222"/>
      <c r="F717" s="222"/>
      <c r="G717" s="222"/>
      <c r="H717" s="222"/>
    </row>
    <row r="718" spans="4:8" s="223" customFormat="1" x14ac:dyDescent="0.35">
      <c r="D718" s="222"/>
      <c r="E718" s="222"/>
      <c r="F718" s="222"/>
      <c r="G718" s="222"/>
      <c r="H718" s="222"/>
    </row>
    <row r="719" spans="4:8" s="223" customFormat="1" x14ac:dyDescent="0.35">
      <c r="D719" s="222"/>
      <c r="E719" s="222"/>
      <c r="F719" s="222"/>
      <c r="G719" s="222"/>
      <c r="H719" s="222"/>
    </row>
    <row r="720" spans="4:8" s="223" customFormat="1" x14ac:dyDescent="0.35">
      <c r="D720" s="222"/>
      <c r="E720" s="222"/>
      <c r="F720" s="222"/>
      <c r="G720" s="222"/>
      <c r="H720" s="222"/>
    </row>
    <row r="721" spans="4:8" s="223" customFormat="1" x14ac:dyDescent="0.35">
      <c r="D721" s="222"/>
      <c r="E721" s="222"/>
      <c r="F721" s="222"/>
      <c r="G721" s="222"/>
      <c r="H721" s="222"/>
    </row>
    <row r="722" spans="4:8" s="223" customFormat="1" x14ac:dyDescent="0.35">
      <c r="D722" s="222"/>
      <c r="E722" s="222"/>
      <c r="F722" s="222"/>
      <c r="G722" s="222"/>
      <c r="H722" s="222"/>
    </row>
    <row r="723" spans="4:8" s="223" customFormat="1" x14ac:dyDescent="0.35">
      <c r="D723" s="222"/>
      <c r="E723" s="222"/>
      <c r="F723" s="222"/>
      <c r="G723" s="222"/>
      <c r="H723" s="222"/>
    </row>
    <row r="724" spans="4:8" s="223" customFormat="1" x14ac:dyDescent="0.35">
      <c r="D724" s="222"/>
      <c r="E724" s="222"/>
      <c r="F724" s="222"/>
      <c r="G724" s="222"/>
      <c r="H724" s="222"/>
    </row>
    <row r="725" spans="4:8" s="223" customFormat="1" x14ac:dyDescent="0.35">
      <c r="D725" s="222"/>
      <c r="E725" s="222"/>
      <c r="F725" s="222"/>
      <c r="G725" s="222"/>
      <c r="H725" s="222"/>
    </row>
    <row r="726" spans="4:8" s="223" customFormat="1" x14ac:dyDescent="0.35">
      <c r="D726" s="222"/>
      <c r="E726" s="222"/>
      <c r="F726" s="222"/>
      <c r="G726" s="222"/>
      <c r="H726" s="222"/>
    </row>
    <row r="727" spans="4:8" s="223" customFormat="1" x14ac:dyDescent="0.35">
      <c r="D727" s="222"/>
      <c r="E727" s="222"/>
      <c r="F727" s="222"/>
      <c r="G727" s="222"/>
      <c r="H727" s="222"/>
    </row>
    <row r="728" spans="4:8" s="223" customFormat="1" x14ac:dyDescent="0.35">
      <c r="D728" s="222"/>
      <c r="E728" s="222"/>
      <c r="F728" s="222"/>
      <c r="G728" s="222"/>
      <c r="H728" s="222"/>
    </row>
    <row r="729" spans="4:8" s="223" customFormat="1" x14ac:dyDescent="0.35">
      <c r="D729" s="222"/>
      <c r="E729" s="222"/>
      <c r="F729" s="222"/>
      <c r="G729" s="222"/>
      <c r="H729" s="222"/>
    </row>
    <row r="730" spans="4:8" s="223" customFormat="1" x14ac:dyDescent="0.35">
      <c r="D730" s="222"/>
      <c r="E730" s="222"/>
      <c r="F730" s="222"/>
      <c r="G730" s="222"/>
      <c r="H730" s="222"/>
    </row>
    <row r="731" spans="4:8" s="223" customFormat="1" x14ac:dyDescent="0.35">
      <c r="D731" s="222"/>
      <c r="E731" s="222"/>
      <c r="F731" s="222"/>
      <c r="G731" s="222"/>
      <c r="H731" s="222"/>
    </row>
    <row r="732" spans="4:8" s="223" customFormat="1" x14ac:dyDescent="0.35">
      <c r="D732" s="222"/>
      <c r="E732" s="222"/>
      <c r="F732" s="222"/>
      <c r="G732" s="222"/>
      <c r="H732" s="222"/>
    </row>
    <row r="733" spans="4:8" s="223" customFormat="1" x14ac:dyDescent="0.35">
      <c r="D733" s="222"/>
      <c r="E733" s="222"/>
      <c r="F733" s="222"/>
      <c r="G733" s="222"/>
      <c r="H733" s="222"/>
    </row>
    <row r="734" spans="4:8" s="223" customFormat="1" x14ac:dyDescent="0.35">
      <c r="D734" s="222"/>
      <c r="E734" s="222"/>
      <c r="F734" s="222"/>
      <c r="G734" s="222"/>
      <c r="H734" s="222"/>
    </row>
    <row r="735" spans="4:8" s="223" customFormat="1" x14ac:dyDescent="0.35">
      <c r="D735" s="222"/>
      <c r="E735" s="222"/>
      <c r="F735" s="222"/>
      <c r="G735" s="222"/>
      <c r="H735" s="222"/>
    </row>
    <row r="736" spans="4:8" s="223" customFormat="1" x14ac:dyDescent="0.35">
      <c r="D736" s="222"/>
      <c r="E736" s="222"/>
      <c r="F736" s="222"/>
      <c r="G736" s="222"/>
      <c r="H736" s="222"/>
    </row>
    <row r="737" spans="4:8" s="223" customFormat="1" x14ac:dyDescent="0.35">
      <c r="D737" s="222"/>
      <c r="E737" s="222"/>
      <c r="F737" s="222"/>
      <c r="G737" s="222"/>
      <c r="H737" s="222"/>
    </row>
    <row r="738" spans="4:8" s="223" customFormat="1" x14ac:dyDescent="0.35">
      <c r="D738" s="222"/>
      <c r="E738" s="222"/>
      <c r="F738" s="222"/>
      <c r="G738" s="222"/>
      <c r="H738" s="222"/>
    </row>
    <row r="739" spans="4:8" s="223" customFormat="1" x14ac:dyDescent="0.35">
      <c r="D739" s="222"/>
      <c r="E739" s="222"/>
      <c r="F739" s="222"/>
      <c r="G739" s="222"/>
      <c r="H739" s="222"/>
    </row>
    <row r="740" spans="4:8" s="223" customFormat="1" x14ac:dyDescent="0.35">
      <c r="D740" s="222"/>
      <c r="E740" s="222"/>
      <c r="F740" s="222"/>
      <c r="G740" s="222"/>
      <c r="H740" s="222"/>
    </row>
    <row r="741" spans="4:8" s="223" customFormat="1" x14ac:dyDescent="0.35">
      <c r="D741" s="222"/>
      <c r="E741" s="222"/>
      <c r="F741" s="222"/>
      <c r="G741" s="222"/>
      <c r="H741" s="222"/>
    </row>
    <row r="742" spans="4:8" s="223" customFormat="1" x14ac:dyDescent="0.35">
      <c r="D742" s="222"/>
      <c r="E742" s="222"/>
      <c r="F742" s="222"/>
      <c r="G742" s="222"/>
      <c r="H742" s="222"/>
    </row>
    <row r="743" spans="4:8" s="223" customFormat="1" x14ac:dyDescent="0.35">
      <c r="D743" s="222"/>
      <c r="E743" s="222"/>
      <c r="F743" s="222"/>
      <c r="G743" s="222"/>
      <c r="H743" s="222"/>
    </row>
    <row r="744" spans="4:8" s="223" customFormat="1" x14ac:dyDescent="0.35">
      <c r="D744" s="222"/>
      <c r="E744" s="222"/>
      <c r="F744" s="222"/>
      <c r="G744" s="222"/>
      <c r="H744" s="222"/>
    </row>
    <row r="745" spans="4:8" s="223" customFormat="1" x14ac:dyDescent="0.35">
      <c r="D745" s="222"/>
      <c r="E745" s="222"/>
      <c r="F745" s="222"/>
      <c r="G745" s="222"/>
      <c r="H745" s="222"/>
    </row>
    <row r="746" spans="4:8" s="223" customFormat="1" x14ac:dyDescent="0.35">
      <c r="D746" s="222"/>
      <c r="E746" s="222"/>
      <c r="F746" s="222"/>
      <c r="G746" s="222"/>
      <c r="H746" s="222"/>
    </row>
    <row r="747" spans="4:8" s="223" customFormat="1" x14ac:dyDescent="0.35">
      <c r="D747" s="222"/>
      <c r="E747" s="222"/>
      <c r="F747" s="222"/>
      <c r="G747" s="222"/>
      <c r="H747" s="222"/>
    </row>
    <row r="748" spans="4:8" s="223" customFormat="1" x14ac:dyDescent="0.35">
      <c r="D748" s="222"/>
      <c r="E748" s="222"/>
      <c r="F748" s="222"/>
      <c r="G748" s="222"/>
      <c r="H748" s="222"/>
    </row>
    <row r="749" spans="4:8" s="223" customFormat="1" x14ac:dyDescent="0.35">
      <c r="D749" s="222"/>
      <c r="E749" s="222"/>
      <c r="F749" s="222"/>
      <c r="G749" s="222"/>
      <c r="H749" s="222"/>
    </row>
    <row r="750" spans="4:8" s="223" customFormat="1" x14ac:dyDescent="0.35">
      <c r="D750" s="222"/>
      <c r="E750" s="222"/>
      <c r="F750" s="222"/>
      <c r="G750" s="222"/>
      <c r="H750" s="222"/>
    </row>
    <row r="751" spans="4:8" s="223" customFormat="1" x14ac:dyDescent="0.35">
      <c r="D751" s="222"/>
      <c r="E751" s="222"/>
      <c r="F751" s="222"/>
      <c r="G751" s="222"/>
      <c r="H751" s="222"/>
    </row>
    <row r="752" spans="4:8" s="223" customFormat="1" x14ac:dyDescent="0.35">
      <c r="D752" s="222"/>
      <c r="E752" s="222"/>
      <c r="F752" s="222"/>
      <c r="G752" s="222"/>
      <c r="H752" s="222"/>
    </row>
    <row r="753" spans="4:8" s="223" customFormat="1" x14ac:dyDescent="0.35">
      <c r="D753" s="222"/>
      <c r="E753" s="222"/>
      <c r="F753" s="222"/>
      <c r="G753" s="222"/>
      <c r="H753" s="222"/>
    </row>
    <row r="754" spans="4:8" s="223" customFormat="1" x14ac:dyDescent="0.35">
      <c r="D754" s="222"/>
      <c r="E754" s="222"/>
      <c r="F754" s="222"/>
      <c r="G754" s="222"/>
      <c r="H754" s="222"/>
    </row>
    <row r="755" spans="4:8" s="223" customFormat="1" x14ac:dyDescent="0.35">
      <c r="D755" s="222"/>
      <c r="E755" s="222"/>
      <c r="F755" s="222"/>
      <c r="G755" s="222"/>
      <c r="H755" s="222"/>
    </row>
    <row r="756" spans="4:8" s="223" customFormat="1" x14ac:dyDescent="0.35">
      <c r="D756" s="222"/>
      <c r="E756" s="222"/>
      <c r="F756" s="222"/>
      <c r="G756" s="222"/>
      <c r="H756" s="222"/>
    </row>
    <row r="757" spans="4:8" s="223" customFormat="1" x14ac:dyDescent="0.35">
      <c r="D757" s="222"/>
      <c r="E757" s="222"/>
      <c r="F757" s="222"/>
      <c r="G757" s="222"/>
      <c r="H757" s="222"/>
    </row>
    <row r="758" spans="4:8" s="223" customFormat="1" x14ac:dyDescent="0.35">
      <c r="D758" s="222"/>
      <c r="E758" s="222"/>
      <c r="F758" s="222"/>
      <c r="G758" s="222"/>
      <c r="H758" s="222"/>
    </row>
    <row r="759" spans="4:8" s="223" customFormat="1" x14ac:dyDescent="0.35">
      <c r="D759" s="222"/>
      <c r="E759" s="222"/>
      <c r="F759" s="222"/>
      <c r="G759" s="222"/>
      <c r="H759" s="222"/>
    </row>
    <row r="760" spans="4:8" s="223" customFormat="1" x14ac:dyDescent="0.35">
      <c r="D760" s="222"/>
      <c r="E760" s="222"/>
      <c r="F760" s="222"/>
      <c r="G760" s="222"/>
      <c r="H760" s="222"/>
    </row>
    <row r="761" spans="4:8" s="223" customFormat="1" x14ac:dyDescent="0.35">
      <c r="D761" s="222"/>
      <c r="E761" s="222"/>
      <c r="F761" s="222"/>
      <c r="G761" s="222"/>
      <c r="H761" s="222"/>
    </row>
    <row r="762" spans="4:8" s="223" customFormat="1" x14ac:dyDescent="0.35">
      <c r="D762" s="222"/>
      <c r="E762" s="222"/>
      <c r="F762" s="222"/>
      <c r="G762" s="222"/>
      <c r="H762" s="222"/>
    </row>
    <row r="763" spans="4:8" s="223" customFormat="1" x14ac:dyDescent="0.35">
      <c r="D763" s="222"/>
      <c r="E763" s="222"/>
      <c r="F763" s="222"/>
      <c r="G763" s="222"/>
      <c r="H763" s="222"/>
    </row>
    <row r="764" spans="4:8" s="223" customFormat="1" x14ac:dyDescent="0.35">
      <c r="D764" s="222"/>
      <c r="E764" s="222"/>
      <c r="F764" s="222"/>
      <c r="G764" s="222"/>
      <c r="H764" s="222"/>
    </row>
    <row r="765" spans="4:8" s="223" customFormat="1" x14ac:dyDescent="0.35">
      <c r="D765" s="222"/>
      <c r="E765" s="222"/>
      <c r="F765" s="222"/>
      <c r="G765" s="222"/>
      <c r="H765" s="222"/>
    </row>
    <row r="766" spans="4:8" s="223" customFormat="1" x14ac:dyDescent="0.35">
      <c r="D766" s="222"/>
      <c r="E766" s="222"/>
      <c r="F766" s="222"/>
      <c r="G766" s="222"/>
      <c r="H766" s="222"/>
    </row>
    <row r="767" spans="4:8" s="223" customFormat="1" x14ac:dyDescent="0.35">
      <c r="D767" s="222"/>
      <c r="E767" s="222"/>
      <c r="F767" s="222"/>
      <c r="G767" s="222"/>
      <c r="H767" s="222"/>
    </row>
    <row r="768" spans="4:8" s="223" customFormat="1" x14ac:dyDescent="0.35">
      <c r="D768" s="222"/>
      <c r="E768" s="222"/>
      <c r="F768" s="222"/>
      <c r="G768" s="222"/>
      <c r="H768" s="222"/>
    </row>
    <row r="769" spans="4:8" s="223" customFormat="1" x14ac:dyDescent="0.35">
      <c r="D769" s="222"/>
      <c r="E769" s="222"/>
      <c r="F769" s="222"/>
      <c r="G769" s="222"/>
      <c r="H769" s="222"/>
    </row>
    <row r="770" spans="4:8" s="223" customFormat="1" x14ac:dyDescent="0.35">
      <c r="D770" s="222"/>
      <c r="E770" s="222"/>
      <c r="F770" s="222"/>
      <c r="G770" s="222"/>
      <c r="H770" s="222"/>
    </row>
    <row r="771" spans="4:8" s="223" customFormat="1" x14ac:dyDescent="0.35">
      <c r="D771" s="222"/>
      <c r="E771" s="222"/>
      <c r="F771" s="222"/>
      <c r="G771" s="222"/>
      <c r="H771" s="222"/>
    </row>
    <row r="772" spans="4:8" s="223" customFormat="1" x14ac:dyDescent="0.35">
      <c r="D772" s="222"/>
      <c r="E772" s="222"/>
      <c r="F772" s="222"/>
      <c r="G772" s="222"/>
      <c r="H772" s="222"/>
    </row>
    <row r="773" spans="4:8" s="223" customFormat="1" x14ac:dyDescent="0.35">
      <c r="D773" s="222"/>
      <c r="E773" s="222"/>
      <c r="F773" s="222"/>
      <c r="G773" s="222"/>
      <c r="H773" s="222"/>
    </row>
    <row r="774" spans="4:8" s="223" customFormat="1" x14ac:dyDescent="0.35">
      <c r="D774" s="222"/>
      <c r="E774" s="222"/>
      <c r="F774" s="222"/>
      <c r="G774" s="222"/>
      <c r="H774" s="222"/>
    </row>
    <row r="775" spans="4:8" s="223" customFormat="1" x14ac:dyDescent="0.35">
      <c r="D775" s="222"/>
      <c r="E775" s="222"/>
      <c r="F775" s="222"/>
      <c r="G775" s="222"/>
      <c r="H775" s="222"/>
    </row>
    <row r="776" spans="4:8" s="223" customFormat="1" x14ac:dyDescent="0.35">
      <c r="D776" s="222"/>
      <c r="E776" s="222"/>
      <c r="F776" s="222"/>
      <c r="G776" s="222"/>
      <c r="H776" s="222"/>
    </row>
    <row r="777" spans="4:8" s="223" customFormat="1" x14ac:dyDescent="0.35">
      <c r="D777" s="222"/>
      <c r="E777" s="222"/>
      <c r="F777" s="222"/>
      <c r="G777" s="222"/>
      <c r="H777" s="222"/>
    </row>
    <row r="778" spans="4:8" s="223" customFormat="1" x14ac:dyDescent="0.35">
      <c r="D778" s="222"/>
      <c r="E778" s="222"/>
      <c r="F778" s="222"/>
      <c r="G778" s="222"/>
      <c r="H778" s="222"/>
    </row>
    <row r="779" spans="4:8" s="223" customFormat="1" x14ac:dyDescent="0.35">
      <c r="D779" s="222"/>
      <c r="E779" s="222"/>
      <c r="F779" s="222"/>
      <c r="G779" s="222"/>
      <c r="H779" s="222"/>
    </row>
    <row r="780" spans="4:8" s="223" customFormat="1" x14ac:dyDescent="0.35">
      <c r="D780" s="222"/>
      <c r="E780" s="222"/>
      <c r="F780" s="222"/>
      <c r="G780" s="222"/>
      <c r="H780" s="222"/>
    </row>
    <row r="781" spans="4:8" s="223" customFormat="1" x14ac:dyDescent="0.35">
      <c r="D781" s="222"/>
      <c r="E781" s="222"/>
      <c r="F781" s="222"/>
      <c r="G781" s="222"/>
      <c r="H781" s="222"/>
    </row>
    <row r="782" spans="4:8" s="223" customFormat="1" x14ac:dyDescent="0.35">
      <c r="D782" s="222"/>
      <c r="E782" s="222"/>
      <c r="F782" s="222"/>
      <c r="G782" s="222"/>
      <c r="H782" s="222"/>
    </row>
    <row r="783" spans="4:8" s="223" customFormat="1" x14ac:dyDescent="0.35">
      <c r="D783" s="222"/>
      <c r="E783" s="222"/>
      <c r="F783" s="222"/>
      <c r="G783" s="222"/>
      <c r="H783" s="222"/>
    </row>
    <row r="784" spans="4:8" s="223" customFormat="1" x14ac:dyDescent="0.35">
      <c r="D784" s="222"/>
      <c r="E784" s="222"/>
      <c r="F784" s="222"/>
      <c r="G784" s="222"/>
      <c r="H784" s="222"/>
    </row>
    <row r="785" spans="4:8" s="223" customFormat="1" x14ac:dyDescent="0.35">
      <c r="D785" s="222"/>
      <c r="E785" s="222"/>
      <c r="F785" s="222"/>
      <c r="G785" s="222"/>
      <c r="H785" s="222"/>
    </row>
    <row r="786" spans="4:8" s="223" customFormat="1" x14ac:dyDescent="0.35">
      <c r="D786" s="222"/>
      <c r="E786" s="222"/>
      <c r="F786" s="222"/>
      <c r="G786" s="222"/>
      <c r="H786" s="222"/>
    </row>
    <row r="787" spans="4:8" s="223" customFormat="1" x14ac:dyDescent="0.35">
      <c r="D787" s="222"/>
      <c r="E787" s="222"/>
      <c r="F787" s="222"/>
      <c r="G787" s="222"/>
      <c r="H787" s="222"/>
    </row>
    <row r="788" spans="4:8" s="223" customFormat="1" x14ac:dyDescent="0.35">
      <c r="D788" s="222"/>
      <c r="E788" s="222"/>
      <c r="F788" s="222"/>
      <c r="G788" s="222"/>
      <c r="H788" s="222"/>
    </row>
    <row r="789" spans="4:8" s="223" customFormat="1" x14ac:dyDescent="0.35">
      <c r="D789" s="222"/>
      <c r="E789" s="222"/>
      <c r="F789" s="222"/>
      <c r="G789" s="222"/>
      <c r="H789" s="222"/>
    </row>
    <row r="790" spans="4:8" s="223" customFormat="1" x14ac:dyDescent="0.35">
      <c r="D790" s="222"/>
      <c r="E790" s="222"/>
      <c r="F790" s="222"/>
      <c r="G790" s="222"/>
      <c r="H790" s="222"/>
    </row>
    <row r="791" spans="4:8" s="223" customFormat="1" x14ac:dyDescent="0.35">
      <c r="D791" s="222"/>
      <c r="E791" s="222"/>
      <c r="F791" s="222"/>
      <c r="G791" s="222"/>
      <c r="H791" s="222"/>
    </row>
    <row r="792" spans="4:8" s="223" customFormat="1" x14ac:dyDescent="0.35">
      <c r="D792" s="222"/>
      <c r="E792" s="222"/>
      <c r="F792" s="222"/>
      <c r="G792" s="222"/>
      <c r="H792" s="222"/>
    </row>
    <row r="793" spans="4:8" s="223" customFormat="1" x14ac:dyDescent="0.35">
      <c r="D793" s="222"/>
      <c r="E793" s="222"/>
      <c r="F793" s="222"/>
      <c r="G793" s="222"/>
      <c r="H793" s="222"/>
    </row>
    <row r="794" spans="4:8" s="223" customFormat="1" x14ac:dyDescent="0.35">
      <c r="D794" s="222"/>
      <c r="E794" s="222"/>
      <c r="F794" s="222"/>
      <c r="G794" s="222"/>
      <c r="H794" s="222"/>
    </row>
    <row r="795" spans="4:8" s="223" customFormat="1" x14ac:dyDescent="0.35">
      <c r="D795" s="222"/>
      <c r="E795" s="222"/>
      <c r="F795" s="222"/>
      <c r="G795" s="222"/>
      <c r="H795" s="222"/>
    </row>
    <row r="796" spans="4:8" s="223" customFormat="1" x14ac:dyDescent="0.35">
      <c r="D796" s="222"/>
      <c r="E796" s="222"/>
      <c r="F796" s="222"/>
      <c r="G796" s="222"/>
      <c r="H796" s="222"/>
    </row>
    <row r="797" spans="4:8" s="223" customFormat="1" x14ac:dyDescent="0.35">
      <c r="D797" s="222"/>
      <c r="E797" s="222"/>
      <c r="F797" s="222"/>
      <c r="G797" s="222"/>
      <c r="H797" s="222"/>
    </row>
    <row r="798" spans="4:8" s="223" customFormat="1" x14ac:dyDescent="0.35">
      <c r="D798" s="222"/>
      <c r="E798" s="222"/>
      <c r="F798" s="222"/>
      <c r="G798" s="222"/>
      <c r="H798" s="222"/>
    </row>
    <row r="799" spans="4:8" s="223" customFormat="1" x14ac:dyDescent="0.35">
      <c r="D799" s="222"/>
      <c r="E799" s="222"/>
      <c r="F799" s="222"/>
      <c r="G799" s="222"/>
      <c r="H799" s="222"/>
    </row>
    <row r="800" spans="4:8" s="223" customFormat="1" x14ac:dyDescent="0.35">
      <c r="D800" s="222"/>
      <c r="E800" s="222"/>
      <c r="F800" s="222"/>
      <c r="G800" s="222"/>
      <c r="H800" s="222"/>
    </row>
    <row r="801" spans="4:8" s="223" customFormat="1" x14ac:dyDescent="0.35">
      <c r="D801" s="222"/>
      <c r="E801" s="222"/>
      <c r="F801" s="222"/>
      <c r="G801" s="222"/>
      <c r="H801" s="222"/>
    </row>
    <row r="802" spans="4:8" s="223" customFormat="1" x14ac:dyDescent="0.35">
      <c r="D802" s="222"/>
      <c r="E802" s="222"/>
      <c r="F802" s="222"/>
      <c r="G802" s="222"/>
      <c r="H802" s="222"/>
    </row>
    <row r="803" spans="4:8" s="223" customFormat="1" x14ac:dyDescent="0.35">
      <c r="D803" s="222"/>
      <c r="E803" s="222"/>
      <c r="F803" s="222"/>
      <c r="G803" s="222"/>
      <c r="H803" s="222"/>
    </row>
    <row r="804" spans="4:8" s="223" customFormat="1" x14ac:dyDescent="0.35">
      <c r="D804" s="222"/>
      <c r="E804" s="222"/>
      <c r="F804" s="222"/>
      <c r="G804" s="222"/>
      <c r="H804" s="222"/>
    </row>
    <row r="805" spans="4:8" s="223" customFormat="1" x14ac:dyDescent="0.35">
      <c r="D805" s="222"/>
      <c r="E805" s="222"/>
      <c r="F805" s="222"/>
      <c r="G805" s="222"/>
      <c r="H805" s="222"/>
    </row>
    <row r="806" spans="4:8" s="223" customFormat="1" x14ac:dyDescent="0.35">
      <c r="D806" s="222"/>
      <c r="E806" s="222"/>
      <c r="F806" s="222"/>
      <c r="G806" s="222"/>
      <c r="H806" s="222"/>
    </row>
    <row r="807" spans="4:8" s="223" customFormat="1" x14ac:dyDescent="0.35">
      <c r="D807" s="222"/>
      <c r="E807" s="222"/>
      <c r="F807" s="222"/>
      <c r="G807" s="222"/>
      <c r="H807" s="222"/>
    </row>
    <row r="808" spans="4:8" s="223" customFormat="1" x14ac:dyDescent="0.35">
      <c r="D808" s="222"/>
      <c r="E808" s="222"/>
      <c r="F808" s="222"/>
      <c r="G808" s="222"/>
      <c r="H808" s="222"/>
    </row>
    <row r="809" spans="4:8" s="223" customFormat="1" x14ac:dyDescent="0.35">
      <c r="D809" s="222"/>
      <c r="E809" s="222"/>
      <c r="F809" s="222"/>
      <c r="G809" s="222"/>
      <c r="H809" s="222"/>
    </row>
    <row r="810" spans="4:8" s="223" customFormat="1" x14ac:dyDescent="0.35">
      <c r="D810" s="222"/>
      <c r="E810" s="222"/>
      <c r="F810" s="222"/>
      <c r="G810" s="222"/>
      <c r="H810" s="222"/>
    </row>
    <row r="811" spans="4:8" s="223" customFormat="1" x14ac:dyDescent="0.35">
      <c r="D811" s="222"/>
      <c r="E811" s="222"/>
      <c r="F811" s="222"/>
      <c r="G811" s="222"/>
      <c r="H811" s="222"/>
    </row>
    <row r="812" spans="4:8" s="223" customFormat="1" x14ac:dyDescent="0.35">
      <c r="D812" s="222"/>
      <c r="E812" s="222"/>
      <c r="F812" s="222"/>
      <c r="G812" s="222"/>
      <c r="H812" s="222"/>
    </row>
    <row r="813" spans="4:8" s="223" customFormat="1" x14ac:dyDescent="0.35">
      <c r="D813" s="222"/>
      <c r="E813" s="222"/>
      <c r="F813" s="222"/>
      <c r="G813" s="222"/>
      <c r="H813" s="222"/>
    </row>
    <row r="814" spans="4:8" s="223" customFormat="1" x14ac:dyDescent="0.35">
      <c r="D814" s="222"/>
      <c r="E814" s="222"/>
      <c r="F814" s="222"/>
      <c r="G814" s="222"/>
      <c r="H814" s="222"/>
    </row>
    <row r="815" spans="4:8" s="223" customFormat="1" x14ac:dyDescent="0.35">
      <c r="D815" s="222"/>
      <c r="E815" s="222"/>
      <c r="F815" s="222"/>
      <c r="G815" s="222"/>
      <c r="H815" s="222"/>
    </row>
    <row r="816" spans="4:8" s="223" customFormat="1" x14ac:dyDescent="0.35">
      <c r="D816" s="222"/>
      <c r="E816" s="222"/>
      <c r="F816" s="222"/>
      <c r="G816" s="222"/>
      <c r="H816" s="222"/>
    </row>
    <row r="817" spans="4:8" s="223" customFormat="1" x14ac:dyDescent="0.35">
      <c r="D817" s="222"/>
      <c r="E817" s="222"/>
      <c r="F817" s="222"/>
      <c r="G817" s="222"/>
      <c r="H817" s="222"/>
    </row>
    <row r="818" spans="4:8" s="223" customFormat="1" x14ac:dyDescent="0.35">
      <c r="D818" s="222"/>
      <c r="E818" s="222"/>
      <c r="F818" s="222"/>
      <c r="G818" s="222"/>
      <c r="H818" s="222"/>
    </row>
    <row r="819" spans="4:8" s="223" customFormat="1" x14ac:dyDescent="0.35">
      <c r="D819" s="222"/>
      <c r="E819" s="222"/>
      <c r="F819" s="222"/>
      <c r="G819" s="222"/>
      <c r="H819" s="222"/>
    </row>
    <row r="820" spans="4:8" s="223" customFormat="1" x14ac:dyDescent="0.35">
      <c r="D820" s="222"/>
      <c r="E820" s="222"/>
      <c r="F820" s="222"/>
      <c r="G820" s="222"/>
      <c r="H820" s="222"/>
    </row>
    <row r="821" spans="4:8" s="223" customFormat="1" x14ac:dyDescent="0.35">
      <c r="D821" s="222"/>
      <c r="E821" s="222"/>
      <c r="F821" s="222"/>
      <c r="G821" s="222"/>
      <c r="H821" s="222"/>
    </row>
    <row r="822" spans="4:8" s="223" customFormat="1" x14ac:dyDescent="0.35">
      <c r="D822" s="222"/>
      <c r="E822" s="222"/>
      <c r="F822" s="222"/>
      <c r="G822" s="222"/>
      <c r="H822" s="222"/>
    </row>
    <row r="823" spans="4:8" s="223" customFormat="1" x14ac:dyDescent="0.35">
      <c r="D823" s="222"/>
      <c r="E823" s="222"/>
      <c r="F823" s="222"/>
      <c r="G823" s="222"/>
      <c r="H823" s="222"/>
    </row>
    <row r="824" spans="4:8" s="223" customFormat="1" x14ac:dyDescent="0.35">
      <c r="D824" s="222"/>
      <c r="E824" s="222"/>
      <c r="F824" s="222"/>
      <c r="G824" s="222"/>
      <c r="H824" s="222"/>
    </row>
    <row r="825" spans="4:8" s="223" customFormat="1" x14ac:dyDescent="0.35">
      <c r="D825" s="222"/>
      <c r="E825" s="222"/>
      <c r="F825" s="222"/>
      <c r="G825" s="222"/>
      <c r="H825" s="222"/>
    </row>
    <row r="826" spans="4:8" s="223" customFormat="1" x14ac:dyDescent="0.35">
      <c r="D826" s="222"/>
      <c r="E826" s="222"/>
      <c r="F826" s="222"/>
      <c r="G826" s="222"/>
      <c r="H826" s="222"/>
    </row>
    <row r="827" spans="4:8" s="223" customFormat="1" x14ac:dyDescent="0.35">
      <c r="D827" s="222"/>
      <c r="E827" s="222"/>
      <c r="F827" s="222"/>
      <c r="G827" s="222"/>
      <c r="H827" s="222"/>
    </row>
    <row r="828" spans="4:8" s="223" customFormat="1" x14ac:dyDescent="0.35">
      <c r="D828" s="222"/>
      <c r="E828" s="222"/>
      <c r="F828" s="222"/>
      <c r="G828" s="222"/>
      <c r="H828" s="222"/>
    </row>
    <row r="829" spans="4:8" s="223" customFormat="1" x14ac:dyDescent="0.35">
      <c r="D829" s="222"/>
      <c r="E829" s="222"/>
      <c r="F829" s="222"/>
      <c r="G829" s="222"/>
      <c r="H829" s="222"/>
    </row>
    <row r="830" spans="4:8" s="223" customFormat="1" x14ac:dyDescent="0.35">
      <c r="D830" s="222"/>
      <c r="E830" s="222"/>
      <c r="F830" s="222"/>
      <c r="G830" s="222"/>
      <c r="H830" s="222"/>
    </row>
    <row r="831" spans="4:8" s="223" customFormat="1" x14ac:dyDescent="0.35">
      <c r="D831" s="222"/>
      <c r="E831" s="222"/>
      <c r="F831" s="222"/>
      <c r="G831" s="222"/>
      <c r="H831" s="222"/>
    </row>
    <row r="832" spans="4:8" s="223" customFormat="1" x14ac:dyDescent="0.35">
      <c r="D832" s="222"/>
      <c r="E832" s="222"/>
      <c r="F832" s="222"/>
      <c r="G832" s="222"/>
      <c r="H832" s="222"/>
    </row>
    <row r="833" spans="4:8" s="223" customFormat="1" x14ac:dyDescent="0.35">
      <c r="D833" s="222"/>
      <c r="E833" s="222"/>
      <c r="F833" s="222"/>
      <c r="G833" s="222"/>
      <c r="H833" s="222"/>
    </row>
    <row r="834" spans="4:8" s="223" customFormat="1" x14ac:dyDescent="0.35">
      <c r="D834" s="222"/>
      <c r="E834" s="222"/>
      <c r="F834" s="222"/>
      <c r="G834" s="222"/>
      <c r="H834" s="222"/>
    </row>
    <row r="835" spans="4:8" s="223" customFormat="1" x14ac:dyDescent="0.35">
      <c r="D835" s="222"/>
      <c r="E835" s="222"/>
      <c r="F835" s="222"/>
      <c r="G835" s="222"/>
      <c r="H835" s="222"/>
    </row>
    <row r="836" spans="4:8" s="223" customFormat="1" x14ac:dyDescent="0.35">
      <c r="D836" s="222"/>
      <c r="E836" s="222"/>
      <c r="F836" s="222"/>
      <c r="G836" s="222"/>
      <c r="H836" s="222"/>
    </row>
    <row r="837" spans="4:8" s="223" customFormat="1" x14ac:dyDescent="0.35">
      <c r="D837" s="222"/>
      <c r="E837" s="222"/>
      <c r="F837" s="222"/>
      <c r="G837" s="222"/>
      <c r="H837" s="222"/>
    </row>
    <row r="838" spans="4:8" s="223" customFormat="1" x14ac:dyDescent="0.35">
      <c r="D838" s="222"/>
      <c r="E838" s="222"/>
      <c r="F838" s="222"/>
      <c r="G838" s="222"/>
      <c r="H838" s="222"/>
    </row>
    <row r="839" spans="4:8" s="223" customFormat="1" x14ac:dyDescent="0.35">
      <c r="D839" s="222"/>
      <c r="E839" s="222"/>
      <c r="F839" s="222"/>
      <c r="G839" s="222"/>
      <c r="H839" s="222"/>
    </row>
    <row r="840" spans="4:8" s="223" customFormat="1" x14ac:dyDescent="0.35">
      <c r="D840" s="222"/>
      <c r="E840" s="222"/>
      <c r="F840" s="222"/>
      <c r="G840" s="222"/>
      <c r="H840" s="222"/>
    </row>
    <row r="841" spans="4:8" s="223" customFormat="1" x14ac:dyDescent="0.35">
      <c r="D841" s="222"/>
      <c r="E841" s="222"/>
      <c r="F841" s="222"/>
      <c r="G841" s="222"/>
      <c r="H841" s="222"/>
    </row>
    <row r="842" spans="4:8" s="223" customFormat="1" x14ac:dyDescent="0.35">
      <c r="D842" s="222"/>
      <c r="E842" s="222"/>
      <c r="F842" s="222"/>
      <c r="G842" s="222"/>
      <c r="H842" s="222"/>
    </row>
    <row r="843" spans="4:8" s="223" customFormat="1" x14ac:dyDescent="0.35">
      <c r="D843" s="222"/>
      <c r="E843" s="222"/>
      <c r="F843" s="222"/>
      <c r="G843" s="222"/>
      <c r="H843" s="222"/>
    </row>
    <row r="844" spans="4:8" s="223" customFormat="1" x14ac:dyDescent="0.35">
      <c r="D844" s="222"/>
      <c r="E844" s="222"/>
      <c r="F844" s="222"/>
      <c r="G844" s="222"/>
      <c r="H844" s="222"/>
    </row>
    <row r="845" spans="4:8" s="223" customFormat="1" x14ac:dyDescent="0.35">
      <c r="D845" s="222"/>
      <c r="E845" s="222"/>
      <c r="F845" s="222"/>
      <c r="G845" s="222"/>
      <c r="H845" s="222"/>
    </row>
    <row r="846" spans="4:8" s="223" customFormat="1" x14ac:dyDescent="0.35">
      <c r="D846" s="222"/>
      <c r="E846" s="222"/>
      <c r="F846" s="222"/>
      <c r="G846" s="222"/>
      <c r="H846" s="222"/>
    </row>
    <row r="847" spans="4:8" s="223" customFormat="1" x14ac:dyDescent="0.35">
      <c r="D847" s="222"/>
      <c r="E847" s="222"/>
      <c r="F847" s="222"/>
      <c r="G847" s="222"/>
      <c r="H847" s="222"/>
    </row>
    <row r="848" spans="4:8" s="223" customFormat="1" x14ac:dyDescent="0.35">
      <c r="D848" s="222"/>
      <c r="E848" s="222"/>
      <c r="F848" s="222"/>
      <c r="G848" s="222"/>
      <c r="H848" s="222"/>
    </row>
    <row r="849" spans="4:8" s="223" customFormat="1" x14ac:dyDescent="0.35">
      <c r="D849" s="222"/>
      <c r="E849" s="222"/>
      <c r="F849" s="222"/>
      <c r="G849" s="222"/>
      <c r="H849" s="222"/>
    </row>
    <row r="850" spans="4:8" s="223" customFormat="1" x14ac:dyDescent="0.35">
      <c r="D850" s="222"/>
      <c r="E850" s="222"/>
      <c r="F850" s="222"/>
      <c r="G850" s="222"/>
      <c r="H850" s="222"/>
    </row>
    <row r="851" spans="4:8" s="223" customFormat="1" x14ac:dyDescent="0.35">
      <c r="D851" s="222"/>
      <c r="E851" s="222"/>
      <c r="F851" s="222"/>
      <c r="G851" s="222"/>
      <c r="H851" s="222"/>
    </row>
    <row r="852" spans="4:8" s="223" customFormat="1" x14ac:dyDescent="0.35">
      <c r="D852" s="222"/>
      <c r="E852" s="222"/>
      <c r="F852" s="222"/>
      <c r="G852" s="222"/>
      <c r="H852" s="222"/>
    </row>
    <row r="853" spans="4:8" s="223" customFormat="1" x14ac:dyDescent="0.35">
      <c r="D853" s="222"/>
      <c r="E853" s="222"/>
      <c r="F853" s="222"/>
      <c r="G853" s="222"/>
      <c r="H853" s="222"/>
    </row>
    <row r="854" spans="4:8" s="223" customFormat="1" x14ac:dyDescent="0.35">
      <c r="D854" s="222"/>
      <c r="E854" s="222"/>
      <c r="F854" s="222"/>
      <c r="G854" s="222"/>
      <c r="H854" s="222"/>
    </row>
    <row r="855" spans="4:8" s="223" customFormat="1" x14ac:dyDescent="0.35">
      <c r="D855" s="222"/>
      <c r="E855" s="222"/>
      <c r="F855" s="222"/>
      <c r="G855" s="222"/>
      <c r="H855" s="222"/>
    </row>
    <row r="856" spans="4:8" s="223" customFormat="1" x14ac:dyDescent="0.35">
      <c r="D856" s="222"/>
      <c r="E856" s="222"/>
      <c r="F856" s="222"/>
      <c r="G856" s="222"/>
      <c r="H856" s="222"/>
    </row>
    <row r="857" spans="4:8" s="223" customFormat="1" x14ac:dyDescent="0.35">
      <c r="D857" s="222"/>
      <c r="E857" s="222"/>
      <c r="F857" s="222"/>
      <c r="G857" s="222"/>
      <c r="H857" s="222"/>
    </row>
    <row r="858" spans="4:8" s="223" customFormat="1" x14ac:dyDescent="0.35">
      <c r="D858" s="222"/>
      <c r="E858" s="222"/>
      <c r="F858" s="222"/>
      <c r="G858" s="222"/>
      <c r="H858" s="222"/>
    </row>
    <row r="859" spans="4:8" s="223" customFormat="1" x14ac:dyDescent="0.35">
      <c r="D859" s="222"/>
      <c r="E859" s="222"/>
      <c r="F859" s="222"/>
      <c r="G859" s="222"/>
      <c r="H859" s="222"/>
    </row>
    <row r="860" spans="4:8" s="223" customFormat="1" x14ac:dyDescent="0.35">
      <c r="D860" s="222"/>
      <c r="E860" s="222"/>
      <c r="F860" s="222"/>
      <c r="G860" s="222"/>
      <c r="H860" s="222"/>
    </row>
    <row r="861" spans="4:8" s="223" customFormat="1" x14ac:dyDescent="0.35">
      <c r="D861" s="222"/>
      <c r="E861" s="222"/>
      <c r="F861" s="222"/>
      <c r="G861" s="222"/>
      <c r="H861" s="222"/>
    </row>
    <row r="862" spans="4:8" s="223" customFormat="1" x14ac:dyDescent="0.35">
      <c r="D862" s="222"/>
      <c r="E862" s="222"/>
      <c r="F862" s="222"/>
      <c r="G862" s="222"/>
      <c r="H862" s="222"/>
    </row>
    <row r="863" spans="4:8" s="223" customFormat="1" x14ac:dyDescent="0.35">
      <c r="D863" s="222"/>
      <c r="E863" s="222"/>
      <c r="F863" s="222"/>
      <c r="G863" s="222"/>
      <c r="H863" s="222"/>
    </row>
    <row r="864" spans="4:8" s="223" customFormat="1" x14ac:dyDescent="0.35">
      <c r="D864" s="222"/>
      <c r="E864" s="222"/>
      <c r="F864" s="222"/>
      <c r="G864" s="222"/>
      <c r="H864" s="222"/>
    </row>
    <row r="865" spans="4:8" s="223" customFormat="1" x14ac:dyDescent="0.35">
      <c r="D865" s="222"/>
      <c r="E865" s="222"/>
      <c r="F865" s="222"/>
      <c r="G865" s="222"/>
      <c r="H865" s="222"/>
    </row>
    <row r="866" spans="4:8" s="223" customFormat="1" x14ac:dyDescent="0.35">
      <c r="D866" s="222"/>
      <c r="E866" s="222"/>
      <c r="F866" s="222"/>
      <c r="G866" s="222"/>
      <c r="H866" s="222"/>
    </row>
    <row r="867" spans="4:8" s="223" customFormat="1" x14ac:dyDescent="0.35">
      <c r="D867" s="222"/>
      <c r="E867" s="222"/>
      <c r="F867" s="222"/>
      <c r="G867" s="222"/>
      <c r="H867" s="222"/>
    </row>
    <row r="868" spans="4:8" s="223" customFormat="1" x14ac:dyDescent="0.35">
      <c r="D868" s="222"/>
      <c r="E868" s="222"/>
      <c r="F868" s="222"/>
      <c r="G868" s="222"/>
      <c r="H868" s="222"/>
    </row>
    <row r="869" spans="4:8" s="223" customFormat="1" x14ac:dyDescent="0.35">
      <c r="D869" s="222"/>
      <c r="E869" s="222"/>
      <c r="F869" s="222"/>
      <c r="G869" s="222"/>
      <c r="H869" s="222"/>
    </row>
    <row r="870" spans="4:8" s="223" customFormat="1" x14ac:dyDescent="0.35">
      <c r="D870" s="222"/>
      <c r="E870" s="222"/>
      <c r="F870" s="222"/>
      <c r="G870" s="222"/>
      <c r="H870" s="222"/>
    </row>
    <row r="871" spans="4:8" s="223" customFormat="1" x14ac:dyDescent="0.35">
      <c r="D871" s="222"/>
      <c r="E871" s="222"/>
      <c r="F871" s="222"/>
      <c r="G871" s="222"/>
      <c r="H871" s="222"/>
    </row>
    <row r="872" spans="4:8" s="223" customFormat="1" x14ac:dyDescent="0.35">
      <c r="D872" s="222"/>
      <c r="E872" s="222"/>
      <c r="F872" s="222"/>
      <c r="G872" s="222"/>
      <c r="H872" s="222"/>
    </row>
    <row r="873" spans="4:8" s="223" customFormat="1" x14ac:dyDescent="0.35">
      <c r="D873" s="222"/>
      <c r="E873" s="222"/>
      <c r="F873" s="222"/>
      <c r="G873" s="222"/>
      <c r="H873" s="222"/>
    </row>
    <row r="874" spans="4:8" s="223" customFormat="1" x14ac:dyDescent="0.35">
      <c r="D874" s="222"/>
      <c r="E874" s="222"/>
      <c r="F874" s="222"/>
      <c r="G874" s="222"/>
      <c r="H874" s="222"/>
    </row>
    <row r="875" spans="4:8" s="223" customFormat="1" x14ac:dyDescent="0.35">
      <c r="D875" s="222"/>
      <c r="E875" s="222"/>
      <c r="F875" s="222"/>
      <c r="G875" s="222"/>
      <c r="H875" s="222"/>
    </row>
    <row r="876" spans="4:8" s="223" customFormat="1" x14ac:dyDescent="0.35">
      <c r="D876" s="222"/>
      <c r="E876" s="222"/>
      <c r="F876" s="222"/>
      <c r="G876" s="222"/>
      <c r="H876" s="222"/>
    </row>
    <row r="877" spans="4:8" s="223" customFormat="1" x14ac:dyDescent="0.35">
      <c r="D877" s="222"/>
      <c r="E877" s="222"/>
      <c r="F877" s="222"/>
      <c r="G877" s="222"/>
      <c r="H877" s="222"/>
    </row>
    <row r="878" spans="4:8" s="223" customFormat="1" x14ac:dyDescent="0.35">
      <c r="D878" s="222"/>
      <c r="E878" s="222"/>
      <c r="F878" s="222"/>
      <c r="G878" s="222"/>
      <c r="H878" s="222"/>
    </row>
    <row r="879" spans="4:8" s="223" customFormat="1" x14ac:dyDescent="0.35">
      <c r="D879" s="222"/>
      <c r="E879" s="222"/>
      <c r="F879" s="222"/>
      <c r="G879" s="222"/>
      <c r="H879" s="222"/>
    </row>
    <row r="880" spans="4:8" s="223" customFormat="1" x14ac:dyDescent="0.35">
      <c r="D880" s="222"/>
      <c r="E880" s="222"/>
      <c r="F880" s="222"/>
      <c r="G880" s="222"/>
      <c r="H880" s="222"/>
    </row>
    <row r="881" spans="4:8" s="223" customFormat="1" x14ac:dyDescent="0.35">
      <c r="D881" s="222"/>
      <c r="E881" s="222"/>
      <c r="F881" s="222"/>
      <c r="G881" s="222"/>
      <c r="H881" s="222"/>
    </row>
    <row r="882" spans="4:8" s="223" customFormat="1" x14ac:dyDescent="0.35">
      <c r="D882" s="222"/>
      <c r="E882" s="222"/>
      <c r="F882" s="222"/>
      <c r="G882" s="222"/>
      <c r="H882" s="222"/>
    </row>
    <row r="883" spans="4:8" s="223" customFormat="1" x14ac:dyDescent="0.35">
      <c r="D883" s="222"/>
      <c r="E883" s="222"/>
      <c r="F883" s="222"/>
      <c r="G883" s="222"/>
      <c r="H883" s="222"/>
    </row>
    <row r="884" spans="4:8" s="223" customFormat="1" x14ac:dyDescent="0.35">
      <c r="D884" s="222"/>
      <c r="E884" s="222"/>
      <c r="F884" s="222"/>
      <c r="G884" s="222"/>
      <c r="H884" s="222"/>
    </row>
    <row r="885" spans="4:8" s="223" customFormat="1" x14ac:dyDescent="0.35">
      <c r="D885" s="222"/>
      <c r="E885" s="222"/>
      <c r="F885" s="222"/>
      <c r="G885" s="222"/>
      <c r="H885" s="222"/>
    </row>
    <row r="886" spans="4:8" s="223" customFormat="1" x14ac:dyDescent="0.35">
      <c r="D886" s="222"/>
      <c r="E886" s="222"/>
      <c r="F886" s="222"/>
      <c r="G886" s="222"/>
      <c r="H886" s="222"/>
    </row>
    <row r="887" spans="4:8" s="223" customFormat="1" x14ac:dyDescent="0.35">
      <c r="D887" s="222"/>
      <c r="E887" s="222"/>
      <c r="F887" s="222"/>
      <c r="G887" s="222"/>
      <c r="H887" s="222"/>
    </row>
    <row r="888" spans="4:8" s="223" customFormat="1" x14ac:dyDescent="0.35">
      <c r="D888" s="222"/>
      <c r="E888" s="222"/>
      <c r="F888" s="222"/>
      <c r="G888" s="222"/>
      <c r="H888" s="222"/>
    </row>
    <row r="889" spans="4:8" s="223" customFormat="1" x14ac:dyDescent="0.35">
      <c r="D889" s="222"/>
      <c r="E889" s="222"/>
      <c r="F889" s="222"/>
      <c r="G889" s="222"/>
      <c r="H889" s="222"/>
    </row>
    <row r="890" spans="4:8" s="223" customFormat="1" x14ac:dyDescent="0.35">
      <c r="D890" s="222"/>
      <c r="E890" s="222"/>
      <c r="F890" s="222"/>
      <c r="G890" s="222"/>
      <c r="H890" s="222"/>
    </row>
    <row r="891" spans="4:8" s="223" customFormat="1" x14ac:dyDescent="0.35">
      <c r="D891" s="222"/>
      <c r="E891" s="222"/>
      <c r="F891" s="222"/>
      <c r="G891" s="222"/>
      <c r="H891" s="222"/>
    </row>
    <row r="892" spans="4:8" s="223" customFormat="1" x14ac:dyDescent="0.35">
      <c r="D892" s="222"/>
      <c r="E892" s="222"/>
      <c r="F892" s="222"/>
      <c r="G892" s="222"/>
      <c r="H892" s="222"/>
    </row>
    <row r="893" spans="4:8" s="223" customFormat="1" x14ac:dyDescent="0.35">
      <c r="D893" s="222"/>
      <c r="E893" s="222"/>
      <c r="F893" s="222"/>
      <c r="G893" s="222"/>
      <c r="H893" s="222"/>
    </row>
    <row r="894" spans="4:8" s="223" customFormat="1" x14ac:dyDescent="0.35">
      <c r="D894" s="222"/>
      <c r="E894" s="222"/>
      <c r="F894" s="222"/>
      <c r="G894" s="222"/>
      <c r="H894" s="222"/>
    </row>
    <row r="895" spans="4:8" s="223" customFormat="1" x14ac:dyDescent="0.35">
      <c r="D895" s="222"/>
      <c r="E895" s="222"/>
      <c r="F895" s="222"/>
      <c r="G895" s="222"/>
      <c r="H895" s="222"/>
    </row>
    <row r="896" spans="4:8" s="223" customFormat="1" x14ac:dyDescent="0.35">
      <c r="D896" s="222"/>
      <c r="E896" s="222"/>
      <c r="F896" s="222"/>
      <c r="G896" s="222"/>
      <c r="H896" s="222"/>
    </row>
    <row r="897" spans="4:8" s="223" customFormat="1" x14ac:dyDescent="0.35">
      <c r="D897" s="222"/>
      <c r="E897" s="222"/>
      <c r="F897" s="222"/>
      <c r="G897" s="222"/>
      <c r="H897" s="222"/>
    </row>
    <row r="898" spans="4:8" s="223" customFormat="1" x14ac:dyDescent="0.35">
      <c r="D898" s="222"/>
      <c r="E898" s="222"/>
      <c r="F898" s="222"/>
      <c r="G898" s="222"/>
      <c r="H898" s="222"/>
    </row>
    <row r="899" spans="4:8" s="223" customFormat="1" x14ac:dyDescent="0.35">
      <c r="D899" s="222"/>
      <c r="E899" s="222"/>
      <c r="F899" s="222"/>
      <c r="G899" s="222"/>
      <c r="H899" s="222"/>
    </row>
    <row r="900" spans="4:8" s="223" customFormat="1" x14ac:dyDescent="0.35">
      <c r="D900" s="222"/>
      <c r="E900" s="222"/>
      <c r="F900" s="222"/>
      <c r="G900" s="222"/>
      <c r="H900" s="222"/>
    </row>
    <row r="901" spans="4:8" s="223" customFormat="1" x14ac:dyDescent="0.35">
      <c r="D901" s="222"/>
      <c r="E901" s="222"/>
      <c r="F901" s="222"/>
      <c r="G901" s="222"/>
      <c r="H901" s="222"/>
    </row>
    <row r="902" spans="4:8" s="223" customFormat="1" x14ac:dyDescent="0.35">
      <c r="D902" s="222"/>
      <c r="E902" s="222"/>
      <c r="F902" s="222"/>
      <c r="G902" s="222"/>
      <c r="H902" s="222"/>
    </row>
    <row r="903" spans="4:8" s="223" customFormat="1" x14ac:dyDescent="0.35">
      <c r="D903" s="222"/>
      <c r="E903" s="222"/>
      <c r="F903" s="222"/>
      <c r="G903" s="222"/>
      <c r="H903" s="222"/>
    </row>
    <row r="904" spans="4:8" s="223" customFormat="1" x14ac:dyDescent="0.35">
      <c r="D904" s="222"/>
      <c r="E904" s="222"/>
      <c r="F904" s="222"/>
      <c r="G904" s="222"/>
      <c r="H904" s="222"/>
    </row>
    <row r="905" spans="4:8" s="223" customFormat="1" x14ac:dyDescent="0.35">
      <c r="D905" s="222"/>
      <c r="E905" s="222"/>
      <c r="F905" s="222"/>
      <c r="G905" s="222"/>
      <c r="H905" s="222"/>
    </row>
    <row r="906" spans="4:8" s="223" customFormat="1" x14ac:dyDescent="0.35">
      <c r="D906" s="222"/>
      <c r="E906" s="222"/>
      <c r="F906" s="222"/>
      <c r="G906" s="222"/>
      <c r="H906" s="222"/>
    </row>
    <row r="907" spans="4:8" s="223" customFormat="1" x14ac:dyDescent="0.35">
      <c r="D907" s="222"/>
      <c r="E907" s="222"/>
      <c r="F907" s="222"/>
      <c r="G907" s="222"/>
      <c r="H907" s="222"/>
    </row>
    <row r="908" spans="4:8" s="223" customFormat="1" x14ac:dyDescent="0.35">
      <c r="D908" s="222"/>
      <c r="E908" s="222"/>
      <c r="F908" s="222"/>
      <c r="G908" s="222"/>
      <c r="H908" s="222"/>
    </row>
    <row r="909" spans="4:8" s="223" customFormat="1" x14ac:dyDescent="0.35">
      <c r="D909" s="222"/>
      <c r="E909" s="222"/>
      <c r="F909" s="222"/>
      <c r="G909" s="222"/>
      <c r="H909" s="222"/>
    </row>
    <row r="910" spans="4:8" s="223" customFormat="1" x14ac:dyDescent="0.35">
      <c r="D910" s="222"/>
      <c r="E910" s="222"/>
      <c r="F910" s="222"/>
      <c r="G910" s="222"/>
      <c r="H910" s="222"/>
    </row>
    <row r="911" spans="4:8" s="223" customFormat="1" x14ac:dyDescent="0.35">
      <c r="D911" s="222"/>
      <c r="E911" s="222"/>
      <c r="F911" s="222"/>
      <c r="G911" s="222"/>
      <c r="H911" s="222"/>
    </row>
    <row r="912" spans="4:8" s="223" customFormat="1" x14ac:dyDescent="0.35">
      <c r="D912" s="222"/>
      <c r="E912" s="222"/>
      <c r="F912" s="222"/>
      <c r="G912" s="222"/>
      <c r="H912" s="222"/>
    </row>
    <row r="913" spans="4:8" s="223" customFormat="1" x14ac:dyDescent="0.35">
      <c r="D913" s="222"/>
      <c r="E913" s="222"/>
      <c r="F913" s="222"/>
      <c r="G913" s="222"/>
      <c r="H913" s="222"/>
    </row>
    <row r="914" spans="4:8" s="223" customFormat="1" x14ac:dyDescent="0.35">
      <c r="D914" s="222"/>
      <c r="E914" s="222"/>
      <c r="F914" s="222"/>
      <c r="G914" s="222"/>
      <c r="H914" s="222"/>
    </row>
    <row r="915" spans="4:8" s="223" customFormat="1" x14ac:dyDescent="0.35">
      <c r="D915" s="222"/>
      <c r="E915" s="222"/>
      <c r="F915" s="222"/>
      <c r="G915" s="222"/>
      <c r="H915" s="222"/>
    </row>
    <row r="916" spans="4:8" s="223" customFormat="1" x14ac:dyDescent="0.35">
      <c r="D916" s="222"/>
      <c r="E916" s="222"/>
      <c r="F916" s="222"/>
      <c r="G916" s="222"/>
      <c r="H916" s="222"/>
    </row>
    <row r="917" spans="4:8" s="223" customFormat="1" x14ac:dyDescent="0.35">
      <c r="D917" s="222"/>
      <c r="E917" s="222"/>
      <c r="F917" s="222"/>
      <c r="G917" s="222"/>
      <c r="H917" s="222"/>
    </row>
    <row r="918" spans="4:8" s="223" customFormat="1" x14ac:dyDescent="0.35">
      <c r="D918" s="222"/>
      <c r="E918" s="222"/>
      <c r="F918" s="222"/>
      <c r="G918" s="222"/>
      <c r="H918" s="222"/>
    </row>
    <row r="919" spans="4:8" s="223" customFormat="1" x14ac:dyDescent="0.35">
      <c r="D919" s="222"/>
      <c r="E919" s="222"/>
      <c r="F919" s="222"/>
      <c r="G919" s="222"/>
      <c r="H919" s="222"/>
    </row>
    <row r="920" spans="4:8" s="223" customFormat="1" x14ac:dyDescent="0.35">
      <c r="D920" s="222"/>
      <c r="E920" s="222"/>
      <c r="F920" s="222"/>
      <c r="G920" s="222"/>
      <c r="H920" s="222"/>
    </row>
    <row r="921" spans="4:8" s="223" customFormat="1" x14ac:dyDescent="0.35">
      <c r="D921" s="222"/>
      <c r="E921" s="222"/>
      <c r="F921" s="222"/>
      <c r="G921" s="222"/>
      <c r="H921" s="222"/>
    </row>
    <row r="922" spans="4:8" s="223" customFormat="1" x14ac:dyDescent="0.35">
      <c r="D922" s="222"/>
      <c r="E922" s="222"/>
      <c r="F922" s="222"/>
      <c r="G922" s="222"/>
      <c r="H922" s="222"/>
    </row>
    <row r="923" spans="4:8" s="223" customFormat="1" x14ac:dyDescent="0.35">
      <c r="D923" s="222"/>
      <c r="E923" s="222"/>
      <c r="F923" s="222"/>
      <c r="G923" s="222"/>
      <c r="H923" s="222"/>
    </row>
    <row r="924" spans="4:8" s="223" customFormat="1" x14ac:dyDescent="0.35">
      <c r="D924" s="222"/>
      <c r="E924" s="222"/>
      <c r="F924" s="222"/>
      <c r="G924" s="222"/>
      <c r="H924" s="222"/>
    </row>
    <row r="925" spans="4:8" s="223" customFormat="1" x14ac:dyDescent="0.35">
      <c r="D925" s="222"/>
      <c r="E925" s="222"/>
      <c r="F925" s="222"/>
      <c r="G925" s="222"/>
      <c r="H925" s="222"/>
    </row>
    <row r="926" spans="4:8" s="223" customFormat="1" x14ac:dyDescent="0.35">
      <c r="D926" s="222"/>
      <c r="E926" s="222"/>
      <c r="F926" s="222"/>
      <c r="G926" s="222"/>
      <c r="H926" s="222"/>
    </row>
    <row r="927" spans="4:8" s="223" customFormat="1" x14ac:dyDescent="0.35">
      <c r="D927" s="222"/>
      <c r="E927" s="222"/>
      <c r="F927" s="222"/>
      <c r="G927" s="222"/>
      <c r="H927" s="222"/>
    </row>
    <row r="928" spans="4:8" s="223" customFormat="1" x14ac:dyDescent="0.35">
      <c r="D928" s="222"/>
      <c r="E928" s="222"/>
      <c r="F928" s="222"/>
      <c r="G928" s="222"/>
      <c r="H928" s="222"/>
    </row>
    <row r="929" spans="4:8" s="223" customFormat="1" x14ac:dyDescent="0.35">
      <c r="D929" s="222"/>
      <c r="E929" s="222"/>
      <c r="F929" s="222"/>
      <c r="G929" s="222"/>
      <c r="H929" s="222"/>
    </row>
    <row r="930" spans="4:8" s="223" customFormat="1" x14ac:dyDescent="0.35">
      <c r="D930" s="222"/>
      <c r="E930" s="222"/>
      <c r="F930" s="222"/>
      <c r="G930" s="222"/>
      <c r="H930" s="222"/>
    </row>
    <row r="931" spans="4:8" s="223" customFormat="1" x14ac:dyDescent="0.35">
      <c r="D931" s="222"/>
      <c r="E931" s="222"/>
      <c r="F931" s="222"/>
      <c r="G931" s="222"/>
      <c r="H931" s="222"/>
    </row>
    <row r="932" spans="4:8" s="223" customFormat="1" x14ac:dyDescent="0.35">
      <c r="D932" s="222"/>
      <c r="E932" s="222"/>
      <c r="F932" s="222"/>
      <c r="G932" s="222"/>
      <c r="H932" s="222"/>
    </row>
    <row r="933" spans="4:8" s="223" customFormat="1" x14ac:dyDescent="0.35">
      <c r="D933" s="222"/>
      <c r="E933" s="222"/>
      <c r="F933" s="222"/>
      <c r="G933" s="222"/>
      <c r="H933" s="222"/>
    </row>
    <row r="934" spans="4:8" s="223" customFormat="1" x14ac:dyDescent="0.35">
      <c r="D934" s="222"/>
      <c r="E934" s="222"/>
      <c r="F934" s="222"/>
      <c r="G934" s="222"/>
      <c r="H934" s="222"/>
    </row>
    <row r="935" spans="4:8" s="223" customFormat="1" x14ac:dyDescent="0.35">
      <c r="D935" s="222"/>
      <c r="E935" s="222"/>
      <c r="F935" s="222"/>
      <c r="G935" s="222"/>
      <c r="H935" s="222"/>
    </row>
    <row r="936" spans="4:8" s="223" customFormat="1" x14ac:dyDescent="0.35">
      <c r="D936" s="222"/>
      <c r="E936" s="222"/>
      <c r="F936" s="222"/>
      <c r="G936" s="222"/>
      <c r="H936" s="222"/>
    </row>
    <row r="937" spans="4:8" s="223" customFormat="1" x14ac:dyDescent="0.35">
      <c r="D937" s="222"/>
      <c r="E937" s="222"/>
      <c r="F937" s="222"/>
      <c r="G937" s="222"/>
      <c r="H937" s="222"/>
    </row>
    <row r="938" spans="4:8" s="223" customFormat="1" x14ac:dyDescent="0.35">
      <c r="D938" s="222"/>
      <c r="E938" s="222"/>
      <c r="F938" s="222"/>
      <c r="G938" s="222"/>
      <c r="H938" s="222"/>
    </row>
    <row r="939" spans="4:8" s="223" customFormat="1" x14ac:dyDescent="0.35">
      <c r="D939" s="222"/>
      <c r="E939" s="222"/>
      <c r="F939" s="222"/>
      <c r="G939" s="222"/>
      <c r="H939" s="222"/>
    </row>
    <row r="940" spans="4:8" s="223" customFormat="1" x14ac:dyDescent="0.35">
      <c r="D940" s="222"/>
      <c r="E940" s="222"/>
      <c r="F940" s="222"/>
      <c r="G940" s="222"/>
      <c r="H940" s="222"/>
    </row>
    <row r="941" spans="4:8" s="223" customFormat="1" x14ac:dyDescent="0.35">
      <c r="D941" s="222"/>
      <c r="E941" s="222"/>
      <c r="F941" s="222"/>
      <c r="G941" s="222"/>
      <c r="H941" s="222"/>
    </row>
    <row r="942" spans="4:8" s="223" customFormat="1" x14ac:dyDescent="0.35">
      <c r="D942" s="222"/>
      <c r="E942" s="222"/>
      <c r="F942" s="222"/>
      <c r="G942" s="222"/>
      <c r="H942" s="222"/>
    </row>
    <row r="943" spans="4:8" s="223" customFormat="1" x14ac:dyDescent="0.35">
      <c r="D943" s="222"/>
      <c r="E943" s="222"/>
      <c r="F943" s="222"/>
      <c r="G943" s="222"/>
      <c r="H943" s="222"/>
    </row>
    <row r="944" spans="4:8" s="223" customFormat="1" x14ac:dyDescent="0.35">
      <c r="D944" s="222"/>
      <c r="E944" s="222"/>
      <c r="F944" s="222"/>
      <c r="G944" s="222"/>
      <c r="H944" s="222"/>
    </row>
    <row r="945" spans="4:8" s="223" customFormat="1" x14ac:dyDescent="0.35">
      <c r="D945" s="222"/>
      <c r="E945" s="222"/>
      <c r="F945" s="222"/>
      <c r="G945" s="222"/>
      <c r="H945" s="222"/>
    </row>
    <row r="946" spans="4:8" s="223" customFormat="1" x14ac:dyDescent="0.35">
      <c r="D946" s="222"/>
      <c r="E946" s="222"/>
      <c r="F946" s="222"/>
      <c r="G946" s="222"/>
      <c r="H946" s="222"/>
    </row>
    <row r="947" spans="4:8" s="223" customFormat="1" x14ac:dyDescent="0.35">
      <c r="D947" s="222"/>
      <c r="E947" s="222"/>
      <c r="F947" s="222"/>
      <c r="G947" s="222"/>
      <c r="H947" s="222"/>
    </row>
    <row r="948" spans="4:8" s="223" customFormat="1" x14ac:dyDescent="0.35">
      <c r="D948" s="222"/>
      <c r="E948" s="222"/>
      <c r="F948" s="222"/>
      <c r="G948" s="222"/>
      <c r="H948" s="222"/>
    </row>
    <row r="949" spans="4:8" s="223" customFormat="1" x14ac:dyDescent="0.35">
      <c r="D949" s="222"/>
      <c r="E949" s="222"/>
      <c r="F949" s="222"/>
      <c r="G949" s="222"/>
      <c r="H949" s="222"/>
    </row>
    <row r="950" spans="4:8" s="223" customFormat="1" x14ac:dyDescent="0.35">
      <c r="D950" s="222"/>
      <c r="E950" s="222"/>
      <c r="F950" s="222"/>
      <c r="G950" s="222"/>
      <c r="H950" s="222"/>
    </row>
    <row r="951" spans="4:8" s="223" customFormat="1" x14ac:dyDescent="0.35">
      <c r="D951" s="222"/>
      <c r="E951" s="222"/>
      <c r="F951" s="222"/>
      <c r="G951" s="222"/>
      <c r="H951" s="222"/>
    </row>
    <row r="952" spans="4:8" s="223" customFormat="1" x14ac:dyDescent="0.35">
      <c r="D952" s="222"/>
      <c r="E952" s="222"/>
      <c r="F952" s="222"/>
      <c r="G952" s="222"/>
      <c r="H952" s="222"/>
    </row>
    <row r="953" spans="4:8" s="223" customFormat="1" x14ac:dyDescent="0.35">
      <c r="D953" s="222"/>
      <c r="E953" s="222"/>
      <c r="F953" s="222"/>
      <c r="G953" s="222"/>
      <c r="H953" s="222"/>
    </row>
    <row r="954" spans="4:8" s="223" customFormat="1" x14ac:dyDescent="0.35">
      <c r="D954" s="222"/>
      <c r="E954" s="222"/>
      <c r="F954" s="222"/>
      <c r="G954" s="222"/>
      <c r="H954" s="222"/>
    </row>
    <row r="955" spans="4:8" s="223" customFormat="1" x14ac:dyDescent="0.35">
      <c r="D955" s="222"/>
      <c r="E955" s="222"/>
      <c r="F955" s="222"/>
      <c r="G955" s="222"/>
      <c r="H955" s="222"/>
    </row>
    <row r="956" spans="4:8" s="223" customFormat="1" x14ac:dyDescent="0.35">
      <c r="D956" s="222"/>
      <c r="E956" s="222"/>
      <c r="F956" s="222"/>
      <c r="G956" s="222"/>
      <c r="H956" s="222"/>
    </row>
    <row r="957" spans="4:8" s="223" customFormat="1" x14ac:dyDescent="0.35">
      <c r="D957" s="222"/>
      <c r="E957" s="222"/>
      <c r="F957" s="222"/>
      <c r="G957" s="222"/>
      <c r="H957" s="222"/>
    </row>
    <row r="958" spans="4:8" s="223" customFormat="1" x14ac:dyDescent="0.35">
      <c r="D958" s="222"/>
      <c r="E958" s="222"/>
      <c r="F958" s="222"/>
      <c r="G958" s="222"/>
      <c r="H958" s="222"/>
    </row>
    <row r="959" spans="4:8" s="223" customFormat="1" x14ac:dyDescent="0.35">
      <c r="D959" s="222"/>
      <c r="E959" s="222"/>
      <c r="F959" s="222"/>
      <c r="G959" s="222"/>
      <c r="H959" s="222"/>
    </row>
    <row r="960" spans="4:8" s="223" customFormat="1" x14ac:dyDescent="0.35">
      <c r="D960" s="222"/>
      <c r="E960" s="222"/>
      <c r="F960" s="222"/>
      <c r="G960" s="222"/>
      <c r="H960" s="222"/>
    </row>
    <row r="961" spans="4:8" s="223" customFormat="1" x14ac:dyDescent="0.35">
      <c r="D961" s="222"/>
      <c r="E961" s="222"/>
      <c r="F961" s="222"/>
      <c r="G961" s="222"/>
      <c r="H961" s="222"/>
    </row>
    <row r="962" spans="4:8" s="223" customFormat="1" x14ac:dyDescent="0.35">
      <c r="D962" s="222"/>
      <c r="E962" s="222"/>
      <c r="F962" s="222"/>
      <c r="G962" s="222"/>
      <c r="H962" s="222"/>
    </row>
    <row r="963" spans="4:8" s="223" customFormat="1" x14ac:dyDescent="0.35">
      <c r="D963" s="222"/>
      <c r="E963" s="222"/>
      <c r="F963" s="222"/>
      <c r="G963" s="222"/>
      <c r="H963" s="222"/>
    </row>
    <row r="964" spans="4:8" s="223" customFormat="1" x14ac:dyDescent="0.35">
      <c r="D964" s="222"/>
      <c r="E964" s="222"/>
      <c r="F964" s="222"/>
      <c r="G964" s="222"/>
      <c r="H964" s="222"/>
    </row>
    <row r="965" spans="4:8" s="223" customFormat="1" x14ac:dyDescent="0.35">
      <c r="D965" s="222"/>
      <c r="E965" s="222"/>
      <c r="F965" s="222"/>
      <c r="G965" s="222"/>
      <c r="H965" s="222"/>
    </row>
    <row r="966" spans="4:8" s="223" customFormat="1" x14ac:dyDescent="0.35">
      <c r="D966" s="222"/>
      <c r="E966" s="222"/>
      <c r="F966" s="222"/>
      <c r="G966" s="222"/>
      <c r="H966" s="222"/>
    </row>
    <row r="967" spans="4:8" s="223" customFormat="1" x14ac:dyDescent="0.35">
      <c r="D967" s="222"/>
      <c r="E967" s="222"/>
      <c r="F967" s="222"/>
      <c r="G967" s="222"/>
      <c r="H967" s="222"/>
    </row>
    <row r="968" spans="4:8" s="223" customFormat="1" x14ac:dyDescent="0.35">
      <c r="D968" s="222"/>
      <c r="E968" s="222"/>
      <c r="F968" s="222"/>
      <c r="G968" s="222"/>
      <c r="H968" s="222"/>
    </row>
    <row r="969" spans="4:8" s="223" customFormat="1" x14ac:dyDescent="0.35">
      <c r="D969" s="222"/>
      <c r="E969" s="222"/>
      <c r="F969" s="222"/>
      <c r="G969" s="222"/>
      <c r="H969" s="222"/>
    </row>
    <row r="970" spans="4:8" s="223" customFormat="1" x14ac:dyDescent="0.35">
      <c r="D970" s="222"/>
      <c r="E970" s="222"/>
      <c r="F970" s="222"/>
      <c r="G970" s="222"/>
      <c r="H970" s="222"/>
    </row>
    <row r="971" spans="4:8" s="223" customFormat="1" x14ac:dyDescent="0.35">
      <c r="D971" s="222"/>
      <c r="E971" s="222"/>
      <c r="F971" s="222"/>
      <c r="G971" s="222"/>
      <c r="H971" s="222"/>
    </row>
    <row r="972" spans="4:8" s="223" customFormat="1" x14ac:dyDescent="0.35">
      <c r="D972" s="222"/>
      <c r="E972" s="222"/>
      <c r="F972" s="222"/>
      <c r="G972" s="222"/>
      <c r="H972" s="222"/>
    </row>
    <row r="973" spans="4:8" s="223" customFormat="1" x14ac:dyDescent="0.35">
      <c r="D973" s="222"/>
      <c r="E973" s="222"/>
      <c r="F973" s="222"/>
      <c r="G973" s="222"/>
      <c r="H973" s="222"/>
    </row>
    <row r="974" spans="4:8" s="223" customFormat="1" x14ac:dyDescent="0.35">
      <c r="D974" s="222"/>
      <c r="E974" s="222"/>
      <c r="F974" s="222"/>
      <c r="G974" s="222"/>
      <c r="H974" s="222"/>
    </row>
    <row r="975" spans="4:8" s="223" customFormat="1" x14ac:dyDescent="0.35">
      <c r="D975" s="222"/>
      <c r="E975" s="222"/>
      <c r="F975" s="222"/>
      <c r="G975" s="222"/>
      <c r="H975" s="222"/>
    </row>
    <row r="976" spans="4:8" s="223" customFormat="1" x14ac:dyDescent="0.35">
      <c r="D976" s="222"/>
      <c r="E976" s="222"/>
      <c r="F976" s="222"/>
      <c r="G976" s="222"/>
      <c r="H976" s="222"/>
    </row>
    <row r="977" spans="4:8" s="223" customFormat="1" x14ac:dyDescent="0.35">
      <c r="D977" s="222"/>
      <c r="E977" s="222"/>
      <c r="F977" s="222"/>
      <c r="G977" s="222"/>
      <c r="H977" s="222"/>
    </row>
    <row r="978" spans="4:8" s="223" customFormat="1" x14ac:dyDescent="0.35">
      <c r="D978" s="222"/>
      <c r="E978" s="222"/>
      <c r="F978" s="222"/>
      <c r="G978" s="222"/>
      <c r="H978" s="222"/>
    </row>
    <row r="979" spans="4:8" s="223" customFormat="1" x14ac:dyDescent="0.35">
      <c r="D979" s="222"/>
      <c r="E979" s="222"/>
      <c r="F979" s="222"/>
      <c r="G979" s="222"/>
      <c r="H979" s="222"/>
    </row>
    <row r="980" spans="4:8" s="223" customFormat="1" x14ac:dyDescent="0.35">
      <c r="D980" s="222"/>
      <c r="E980" s="222"/>
      <c r="F980" s="222"/>
      <c r="G980" s="222"/>
      <c r="H980" s="222"/>
    </row>
    <row r="981" spans="4:8" s="223" customFormat="1" x14ac:dyDescent="0.35">
      <c r="D981" s="222"/>
      <c r="E981" s="222"/>
      <c r="F981" s="222"/>
      <c r="G981" s="222"/>
      <c r="H981" s="222"/>
    </row>
    <row r="982" spans="4:8" s="223" customFormat="1" x14ac:dyDescent="0.35">
      <c r="D982" s="222"/>
      <c r="E982" s="222"/>
      <c r="F982" s="222"/>
      <c r="G982" s="222"/>
      <c r="H982" s="222"/>
    </row>
    <row r="983" spans="4:8" s="223" customFormat="1" x14ac:dyDescent="0.35">
      <c r="D983" s="222"/>
      <c r="E983" s="222"/>
      <c r="F983" s="222"/>
      <c r="G983" s="222"/>
      <c r="H983" s="222"/>
    </row>
    <row r="984" spans="4:8" s="223" customFormat="1" x14ac:dyDescent="0.35">
      <c r="D984" s="222"/>
      <c r="E984" s="222"/>
      <c r="F984" s="222"/>
      <c r="G984" s="222"/>
      <c r="H984" s="222"/>
    </row>
    <row r="985" spans="4:8" s="223" customFormat="1" x14ac:dyDescent="0.35">
      <c r="D985" s="222"/>
      <c r="E985" s="222"/>
      <c r="F985" s="222"/>
      <c r="G985" s="222"/>
      <c r="H985" s="222"/>
    </row>
    <row r="986" spans="4:8" s="223" customFormat="1" x14ac:dyDescent="0.35">
      <c r="D986" s="222"/>
      <c r="E986" s="222"/>
      <c r="F986" s="222"/>
      <c r="G986" s="222"/>
      <c r="H986" s="222"/>
    </row>
    <row r="987" spans="4:8" s="223" customFormat="1" x14ac:dyDescent="0.35">
      <c r="D987" s="222"/>
      <c r="E987" s="222"/>
      <c r="F987" s="222"/>
      <c r="G987" s="222"/>
      <c r="H987" s="222"/>
    </row>
    <row r="988" spans="4:8" s="223" customFormat="1" x14ac:dyDescent="0.35">
      <c r="D988" s="222"/>
      <c r="E988" s="222"/>
      <c r="F988" s="222"/>
      <c r="G988" s="222"/>
      <c r="H988" s="222"/>
    </row>
    <row r="989" spans="4:8" s="223" customFormat="1" x14ac:dyDescent="0.35">
      <c r="D989" s="222"/>
      <c r="E989" s="222"/>
      <c r="F989" s="222"/>
      <c r="G989" s="222"/>
      <c r="H989" s="222"/>
    </row>
    <row r="990" spans="4:8" s="223" customFormat="1" x14ac:dyDescent="0.35">
      <c r="D990" s="222"/>
      <c r="E990" s="222"/>
      <c r="F990" s="222"/>
      <c r="G990" s="222"/>
      <c r="H990" s="222"/>
    </row>
    <row r="991" spans="4:8" s="223" customFormat="1" x14ac:dyDescent="0.35">
      <c r="D991" s="222"/>
      <c r="E991" s="222"/>
      <c r="F991" s="222"/>
      <c r="G991" s="222"/>
      <c r="H991" s="222"/>
    </row>
    <row r="992" spans="4:8" s="223" customFormat="1" x14ac:dyDescent="0.35">
      <c r="D992" s="222"/>
      <c r="E992" s="222"/>
      <c r="F992" s="222"/>
      <c r="G992" s="222"/>
      <c r="H992" s="222"/>
    </row>
    <row r="993" spans="4:8" s="223" customFormat="1" x14ac:dyDescent="0.35">
      <c r="D993" s="222"/>
      <c r="E993" s="222"/>
      <c r="F993" s="222"/>
      <c r="G993" s="222"/>
      <c r="H993" s="222"/>
    </row>
    <row r="994" spans="4:8" s="223" customFormat="1" x14ac:dyDescent="0.35">
      <c r="D994" s="222"/>
      <c r="E994" s="222"/>
      <c r="F994" s="222"/>
      <c r="G994" s="222"/>
      <c r="H994" s="222"/>
    </row>
    <row r="995" spans="4:8" s="223" customFormat="1" x14ac:dyDescent="0.35">
      <c r="D995" s="222"/>
      <c r="E995" s="222"/>
      <c r="F995" s="222"/>
      <c r="G995" s="222"/>
      <c r="H995" s="222"/>
    </row>
    <row r="996" spans="4:8" s="223" customFormat="1" x14ac:dyDescent="0.35">
      <c r="D996" s="222"/>
      <c r="E996" s="222"/>
      <c r="F996" s="222"/>
      <c r="G996" s="222"/>
      <c r="H996" s="222"/>
    </row>
    <row r="997" spans="4:8" s="223" customFormat="1" x14ac:dyDescent="0.35">
      <c r="D997" s="222"/>
      <c r="E997" s="222"/>
      <c r="F997" s="222"/>
      <c r="G997" s="222"/>
      <c r="H997" s="222"/>
    </row>
    <row r="998" spans="4:8" s="223" customFormat="1" x14ac:dyDescent="0.35">
      <c r="D998" s="222"/>
      <c r="E998" s="222"/>
      <c r="F998" s="222"/>
      <c r="G998" s="222"/>
      <c r="H998" s="222"/>
    </row>
    <row r="999" spans="4:8" s="223" customFormat="1" x14ac:dyDescent="0.35">
      <c r="D999" s="222"/>
      <c r="E999" s="222"/>
      <c r="F999" s="222"/>
      <c r="G999" s="222"/>
      <c r="H999" s="222"/>
    </row>
    <row r="1000" spans="4:8" s="223" customFormat="1" x14ac:dyDescent="0.35">
      <c r="D1000" s="222"/>
      <c r="E1000" s="222"/>
      <c r="F1000" s="222"/>
      <c r="G1000" s="222"/>
      <c r="H1000" s="222"/>
    </row>
    <row r="1001" spans="4:8" s="223" customFormat="1" x14ac:dyDescent="0.35">
      <c r="D1001" s="222"/>
      <c r="E1001" s="222"/>
      <c r="F1001" s="222"/>
      <c r="G1001" s="222"/>
      <c r="H1001" s="222"/>
    </row>
    <row r="1002" spans="4:8" s="223" customFormat="1" x14ac:dyDescent="0.35">
      <c r="D1002" s="222"/>
      <c r="E1002" s="222"/>
      <c r="F1002" s="222"/>
      <c r="G1002" s="222"/>
      <c r="H1002" s="222"/>
    </row>
    <row r="1003" spans="4:8" s="223" customFormat="1" x14ac:dyDescent="0.35">
      <c r="D1003" s="222"/>
      <c r="E1003" s="222"/>
      <c r="F1003" s="222"/>
      <c r="G1003" s="222"/>
      <c r="H1003" s="222"/>
    </row>
    <row r="1004" spans="4:8" s="223" customFormat="1" x14ac:dyDescent="0.35">
      <c r="D1004" s="222"/>
      <c r="E1004" s="222"/>
      <c r="F1004" s="222"/>
      <c r="G1004" s="222"/>
      <c r="H1004" s="222"/>
    </row>
    <row r="1005" spans="4:8" s="223" customFormat="1" x14ac:dyDescent="0.35">
      <c r="D1005" s="222"/>
      <c r="E1005" s="222"/>
      <c r="F1005" s="222"/>
      <c r="G1005" s="222"/>
      <c r="H1005" s="222"/>
    </row>
    <row r="1006" spans="4:8" s="223" customFormat="1" x14ac:dyDescent="0.35">
      <c r="D1006" s="222"/>
      <c r="E1006" s="222"/>
      <c r="F1006" s="222"/>
      <c r="G1006" s="222"/>
      <c r="H1006" s="222"/>
    </row>
    <row r="1007" spans="4:8" s="223" customFormat="1" x14ac:dyDescent="0.35">
      <c r="D1007" s="222"/>
      <c r="E1007" s="222"/>
      <c r="F1007" s="222"/>
      <c r="G1007" s="222"/>
      <c r="H1007" s="222"/>
    </row>
    <row r="1008" spans="4:8" s="223" customFormat="1" x14ac:dyDescent="0.35">
      <c r="D1008" s="222"/>
      <c r="E1008" s="222"/>
      <c r="F1008" s="222"/>
      <c r="G1008" s="222"/>
      <c r="H1008" s="222"/>
    </row>
    <row r="1009" spans="4:8" s="223" customFormat="1" x14ac:dyDescent="0.35">
      <c r="D1009" s="222"/>
      <c r="E1009" s="222"/>
      <c r="F1009" s="222"/>
      <c r="G1009" s="222"/>
      <c r="H1009" s="222"/>
    </row>
    <row r="1010" spans="4:8" s="223" customFormat="1" x14ac:dyDescent="0.35">
      <c r="D1010" s="222"/>
      <c r="E1010" s="222"/>
      <c r="F1010" s="222"/>
      <c r="G1010" s="222"/>
      <c r="H1010" s="222"/>
    </row>
    <row r="1011" spans="4:8" s="223" customFormat="1" x14ac:dyDescent="0.35">
      <c r="D1011" s="222"/>
      <c r="E1011" s="222"/>
      <c r="F1011" s="222"/>
      <c r="G1011" s="222"/>
      <c r="H1011" s="222"/>
    </row>
    <row r="1012" spans="4:8" s="223" customFormat="1" x14ac:dyDescent="0.35">
      <c r="D1012" s="222"/>
      <c r="E1012" s="222"/>
      <c r="F1012" s="222"/>
      <c r="G1012" s="222"/>
      <c r="H1012" s="222"/>
    </row>
    <row r="1013" spans="4:8" s="223" customFormat="1" x14ac:dyDescent="0.35">
      <c r="D1013" s="222"/>
      <c r="E1013" s="222"/>
      <c r="F1013" s="222"/>
      <c r="G1013" s="222"/>
      <c r="H1013" s="222"/>
    </row>
    <row r="1014" spans="4:8" s="223" customFormat="1" x14ac:dyDescent="0.35">
      <c r="D1014" s="222"/>
      <c r="E1014" s="222"/>
      <c r="F1014" s="222"/>
      <c r="G1014" s="222"/>
      <c r="H1014" s="222"/>
    </row>
    <row r="1015" spans="4:8" s="223" customFormat="1" x14ac:dyDescent="0.35">
      <c r="D1015" s="222"/>
      <c r="E1015" s="222"/>
      <c r="F1015" s="222"/>
      <c r="G1015" s="222"/>
      <c r="H1015" s="222"/>
    </row>
    <row r="1016" spans="4:8" s="223" customFormat="1" x14ac:dyDescent="0.35">
      <c r="D1016" s="222"/>
      <c r="E1016" s="222"/>
      <c r="F1016" s="222"/>
      <c r="G1016" s="222"/>
      <c r="H1016" s="222"/>
    </row>
    <row r="1017" spans="4:8" s="223" customFormat="1" x14ac:dyDescent="0.35">
      <c r="D1017" s="222"/>
      <c r="E1017" s="222"/>
      <c r="F1017" s="222"/>
      <c r="G1017" s="222"/>
      <c r="H1017" s="222"/>
    </row>
    <row r="1018" spans="4:8" s="223" customFormat="1" x14ac:dyDescent="0.35">
      <c r="D1018" s="222"/>
      <c r="E1018" s="222"/>
      <c r="F1018" s="222"/>
      <c r="G1018" s="222"/>
      <c r="H1018" s="222"/>
    </row>
    <row r="1019" spans="4:8" s="223" customFormat="1" x14ac:dyDescent="0.35">
      <c r="D1019" s="222"/>
      <c r="E1019" s="222"/>
      <c r="F1019" s="222"/>
      <c r="G1019" s="222"/>
      <c r="H1019" s="222"/>
    </row>
    <row r="1020" spans="4:8" s="223" customFormat="1" x14ac:dyDescent="0.35">
      <c r="D1020" s="222"/>
      <c r="E1020" s="222"/>
      <c r="F1020" s="222"/>
      <c r="G1020" s="222"/>
      <c r="H1020" s="222"/>
    </row>
    <row r="1021" spans="4:8" s="223" customFormat="1" x14ac:dyDescent="0.35">
      <c r="D1021" s="222"/>
      <c r="E1021" s="222"/>
      <c r="F1021" s="222"/>
      <c r="G1021" s="222"/>
      <c r="H1021" s="222"/>
    </row>
    <row r="1022" spans="4:8" s="223" customFormat="1" x14ac:dyDescent="0.35">
      <c r="D1022" s="222"/>
      <c r="E1022" s="222"/>
      <c r="F1022" s="222"/>
      <c r="G1022" s="222"/>
      <c r="H1022" s="222"/>
    </row>
    <row r="1023" spans="4:8" s="223" customFormat="1" x14ac:dyDescent="0.35">
      <c r="D1023" s="222"/>
      <c r="E1023" s="222"/>
      <c r="F1023" s="222"/>
      <c r="G1023" s="222"/>
      <c r="H1023" s="222"/>
    </row>
    <row r="1024" spans="4:8" s="223" customFormat="1" x14ac:dyDescent="0.35">
      <c r="D1024" s="222"/>
      <c r="E1024" s="222"/>
      <c r="F1024" s="222"/>
      <c r="G1024" s="222"/>
      <c r="H1024" s="222"/>
    </row>
    <row r="1025" spans="4:8" s="223" customFormat="1" x14ac:dyDescent="0.35">
      <c r="D1025" s="222"/>
      <c r="E1025" s="222"/>
      <c r="F1025" s="222"/>
      <c r="G1025" s="222"/>
      <c r="H1025" s="222"/>
    </row>
    <row r="1026" spans="4:8" s="223" customFormat="1" x14ac:dyDescent="0.35">
      <c r="D1026" s="222"/>
      <c r="E1026" s="222"/>
      <c r="F1026" s="222"/>
      <c r="G1026" s="222"/>
      <c r="H1026" s="222"/>
    </row>
    <row r="1027" spans="4:8" s="223" customFormat="1" x14ac:dyDescent="0.35">
      <c r="D1027" s="222"/>
      <c r="E1027" s="222"/>
      <c r="F1027" s="222"/>
      <c r="G1027" s="222"/>
      <c r="H1027" s="222"/>
    </row>
    <row r="1028" spans="4:8" s="223" customFormat="1" x14ac:dyDescent="0.35">
      <c r="D1028" s="222"/>
      <c r="E1028" s="222"/>
      <c r="F1028" s="222"/>
      <c r="G1028" s="222"/>
      <c r="H1028" s="222"/>
    </row>
    <row r="1029" spans="4:8" s="223" customFormat="1" x14ac:dyDescent="0.35">
      <c r="D1029" s="222"/>
      <c r="E1029" s="222"/>
      <c r="F1029" s="222"/>
      <c r="G1029" s="222"/>
      <c r="H1029" s="222"/>
    </row>
    <row r="1030" spans="4:8" s="223" customFormat="1" x14ac:dyDescent="0.35">
      <c r="D1030" s="222"/>
      <c r="E1030" s="222"/>
      <c r="F1030" s="222"/>
      <c r="G1030" s="222"/>
      <c r="H1030" s="222"/>
    </row>
    <row r="1031" spans="4:8" s="223" customFormat="1" x14ac:dyDescent="0.35">
      <c r="D1031" s="222"/>
      <c r="E1031" s="222"/>
      <c r="F1031" s="222"/>
      <c r="G1031" s="222"/>
      <c r="H1031" s="222"/>
    </row>
    <row r="1032" spans="4:8" s="223" customFormat="1" x14ac:dyDescent="0.35">
      <c r="D1032" s="222"/>
      <c r="E1032" s="222"/>
      <c r="F1032" s="222"/>
      <c r="G1032" s="222"/>
      <c r="H1032" s="222"/>
    </row>
    <row r="1033" spans="4:8" s="223" customFormat="1" x14ac:dyDescent="0.35">
      <c r="D1033" s="222"/>
      <c r="E1033" s="222"/>
      <c r="F1033" s="222"/>
      <c r="G1033" s="222"/>
      <c r="H1033" s="222"/>
    </row>
    <row r="1034" spans="4:8" s="223" customFormat="1" x14ac:dyDescent="0.35">
      <c r="D1034" s="222"/>
      <c r="E1034" s="222"/>
      <c r="F1034" s="222"/>
      <c r="G1034" s="222"/>
      <c r="H1034" s="222"/>
    </row>
    <row r="1035" spans="4:8" s="223" customFormat="1" x14ac:dyDescent="0.35">
      <c r="D1035" s="222"/>
      <c r="E1035" s="222"/>
      <c r="F1035" s="222"/>
      <c r="G1035" s="222"/>
      <c r="H1035" s="222"/>
    </row>
    <row r="1036" spans="4:8" s="223" customFormat="1" x14ac:dyDescent="0.35">
      <c r="D1036" s="222"/>
      <c r="E1036" s="222"/>
      <c r="F1036" s="222"/>
      <c r="G1036" s="222"/>
      <c r="H1036" s="222"/>
    </row>
    <row r="1037" spans="4:8" s="223" customFormat="1" x14ac:dyDescent="0.35">
      <c r="D1037" s="222"/>
      <c r="E1037" s="222"/>
      <c r="F1037" s="222"/>
      <c r="G1037" s="222"/>
      <c r="H1037" s="222"/>
    </row>
    <row r="1038" spans="4:8" s="223" customFormat="1" x14ac:dyDescent="0.35">
      <c r="D1038" s="222"/>
      <c r="E1038" s="222"/>
      <c r="F1038" s="222"/>
      <c r="G1038" s="222"/>
      <c r="H1038" s="222"/>
    </row>
    <row r="1039" spans="4:8" s="223" customFormat="1" x14ac:dyDescent="0.35">
      <c r="D1039" s="222"/>
      <c r="E1039" s="222"/>
      <c r="F1039" s="222"/>
      <c r="G1039" s="222"/>
      <c r="H1039" s="222"/>
    </row>
    <row r="1040" spans="4:8" s="223" customFormat="1" x14ac:dyDescent="0.35">
      <c r="D1040" s="222"/>
      <c r="E1040" s="222"/>
      <c r="F1040" s="222"/>
      <c r="G1040" s="222"/>
      <c r="H1040" s="222"/>
    </row>
    <row r="1041" spans="4:8" s="223" customFormat="1" x14ac:dyDescent="0.35">
      <c r="D1041" s="222"/>
      <c r="E1041" s="222"/>
      <c r="F1041" s="222"/>
      <c r="G1041" s="222"/>
      <c r="H1041" s="222"/>
    </row>
    <row r="1042" spans="4:8" s="223" customFormat="1" x14ac:dyDescent="0.35">
      <c r="D1042" s="222"/>
      <c r="E1042" s="222"/>
      <c r="F1042" s="222"/>
      <c r="G1042" s="222"/>
      <c r="H1042" s="222"/>
    </row>
    <row r="1043" spans="4:8" s="223" customFormat="1" x14ac:dyDescent="0.35">
      <c r="D1043" s="222"/>
      <c r="E1043" s="222"/>
      <c r="F1043" s="222"/>
      <c r="G1043" s="222"/>
      <c r="H1043" s="222"/>
    </row>
    <row r="1044" spans="4:8" s="223" customFormat="1" x14ac:dyDescent="0.35">
      <c r="D1044" s="222"/>
      <c r="E1044" s="222"/>
      <c r="F1044" s="222"/>
      <c r="G1044" s="222"/>
      <c r="H1044" s="222"/>
    </row>
    <row r="1045" spans="4:8" s="223" customFormat="1" x14ac:dyDescent="0.35">
      <c r="D1045" s="222"/>
      <c r="E1045" s="222"/>
      <c r="F1045" s="222"/>
      <c r="G1045" s="222"/>
      <c r="H1045" s="222"/>
    </row>
    <row r="1046" spans="4:8" s="223" customFormat="1" x14ac:dyDescent="0.35">
      <c r="D1046" s="222"/>
      <c r="E1046" s="222"/>
      <c r="F1046" s="222"/>
      <c r="G1046" s="222"/>
      <c r="H1046" s="222"/>
    </row>
    <row r="1047" spans="4:8" s="223" customFormat="1" x14ac:dyDescent="0.35">
      <c r="D1047" s="222"/>
      <c r="E1047" s="222"/>
      <c r="F1047" s="222"/>
      <c r="G1047" s="222"/>
      <c r="H1047" s="222"/>
    </row>
    <row r="1048" spans="4:8" s="223" customFormat="1" x14ac:dyDescent="0.35">
      <c r="D1048" s="222"/>
      <c r="E1048" s="222"/>
      <c r="F1048" s="222"/>
      <c r="G1048" s="222"/>
      <c r="H1048" s="222"/>
    </row>
    <row r="1049" spans="4:8" s="223" customFormat="1" x14ac:dyDescent="0.35">
      <c r="D1049" s="222"/>
      <c r="E1049" s="222"/>
      <c r="F1049" s="222"/>
      <c r="G1049" s="222"/>
      <c r="H1049" s="222"/>
    </row>
    <row r="1050" spans="4:8" s="223" customFormat="1" x14ac:dyDescent="0.35">
      <c r="D1050" s="222"/>
      <c r="E1050" s="222"/>
      <c r="F1050" s="222"/>
      <c r="G1050" s="222"/>
      <c r="H1050" s="222"/>
    </row>
    <row r="1051" spans="4:8" s="223" customFormat="1" x14ac:dyDescent="0.35">
      <c r="D1051" s="222"/>
      <c r="E1051" s="222"/>
      <c r="F1051" s="222"/>
      <c r="G1051" s="222"/>
      <c r="H1051" s="222"/>
    </row>
    <row r="1052" spans="4:8" s="223" customFormat="1" x14ac:dyDescent="0.35">
      <c r="D1052" s="222"/>
      <c r="E1052" s="222"/>
      <c r="F1052" s="222"/>
      <c r="G1052" s="222"/>
      <c r="H1052" s="222"/>
    </row>
    <row r="1053" spans="4:8" s="223" customFormat="1" x14ac:dyDescent="0.35">
      <c r="D1053" s="222"/>
      <c r="E1053" s="222"/>
      <c r="F1053" s="222"/>
      <c r="G1053" s="222"/>
      <c r="H1053" s="222"/>
    </row>
    <row r="1054" spans="4:8" s="223" customFormat="1" x14ac:dyDescent="0.35">
      <c r="D1054" s="222"/>
      <c r="E1054" s="222"/>
      <c r="F1054" s="222"/>
      <c r="G1054" s="222"/>
      <c r="H1054" s="222"/>
    </row>
    <row r="1055" spans="4:8" s="223" customFormat="1" x14ac:dyDescent="0.35">
      <c r="D1055" s="222"/>
      <c r="E1055" s="222"/>
      <c r="F1055" s="222"/>
      <c r="G1055" s="222"/>
      <c r="H1055" s="222"/>
    </row>
    <row r="1056" spans="4:8" s="223" customFormat="1" x14ac:dyDescent="0.35">
      <c r="D1056" s="222"/>
      <c r="E1056" s="222"/>
      <c r="F1056" s="222"/>
      <c r="G1056" s="222"/>
      <c r="H1056" s="222"/>
    </row>
    <row r="1057" spans="4:8" s="223" customFormat="1" x14ac:dyDescent="0.35">
      <c r="D1057" s="222"/>
      <c r="E1057" s="222"/>
      <c r="F1057" s="222"/>
      <c r="G1057" s="222"/>
      <c r="H1057" s="222"/>
    </row>
    <row r="1058" spans="4:8" s="223" customFormat="1" x14ac:dyDescent="0.35">
      <c r="D1058" s="222"/>
      <c r="E1058" s="222"/>
      <c r="F1058" s="222"/>
      <c r="G1058" s="222"/>
      <c r="H1058" s="222"/>
    </row>
    <row r="1059" spans="4:8" s="223" customFormat="1" x14ac:dyDescent="0.35">
      <c r="D1059" s="222"/>
      <c r="E1059" s="222"/>
      <c r="F1059" s="222"/>
      <c r="G1059" s="222"/>
      <c r="H1059" s="222"/>
    </row>
    <row r="1060" spans="4:8" s="223" customFormat="1" x14ac:dyDescent="0.35">
      <c r="D1060" s="222"/>
      <c r="E1060" s="222"/>
      <c r="F1060" s="222"/>
      <c r="G1060" s="222"/>
      <c r="H1060" s="222"/>
    </row>
    <row r="1061" spans="4:8" s="223" customFormat="1" x14ac:dyDescent="0.35">
      <c r="D1061" s="222"/>
      <c r="E1061" s="222"/>
      <c r="F1061" s="222"/>
      <c r="G1061" s="222"/>
      <c r="H1061" s="222"/>
    </row>
    <row r="1062" spans="4:8" s="223" customFormat="1" x14ac:dyDescent="0.35">
      <c r="D1062" s="222"/>
      <c r="E1062" s="222"/>
      <c r="F1062" s="222"/>
      <c r="G1062" s="222"/>
      <c r="H1062" s="222"/>
    </row>
    <row r="1063" spans="4:8" s="223" customFormat="1" x14ac:dyDescent="0.35">
      <c r="D1063" s="222"/>
      <c r="E1063" s="222"/>
      <c r="F1063" s="222"/>
      <c r="G1063" s="222"/>
      <c r="H1063" s="222"/>
    </row>
    <row r="1064" spans="4:8" s="223" customFormat="1" x14ac:dyDescent="0.35">
      <c r="D1064" s="222"/>
      <c r="E1064" s="222"/>
      <c r="F1064" s="222"/>
      <c r="G1064" s="222"/>
      <c r="H1064" s="222"/>
    </row>
    <row r="1065" spans="4:8" s="223" customFormat="1" x14ac:dyDescent="0.35">
      <c r="D1065" s="222"/>
      <c r="E1065" s="222"/>
      <c r="F1065" s="222"/>
      <c r="G1065" s="222"/>
      <c r="H1065" s="222"/>
    </row>
    <row r="1066" spans="4:8" s="223" customFormat="1" x14ac:dyDescent="0.35">
      <c r="D1066" s="222"/>
      <c r="E1066" s="222"/>
      <c r="F1066" s="222"/>
      <c r="G1066" s="222"/>
      <c r="H1066" s="222"/>
    </row>
    <row r="1067" spans="4:8" s="223" customFormat="1" x14ac:dyDescent="0.35">
      <c r="D1067" s="222"/>
      <c r="E1067" s="222"/>
      <c r="F1067" s="222"/>
      <c r="G1067" s="222"/>
      <c r="H1067" s="222"/>
    </row>
    <row r="1068" spans="4:8" s="223" customFormat="1" x14ac:dyDescent="0.35">
      <c r="D1068" s="222"/>
      <c r="E1068" s="222"/>
      <c r="F1068" s="222"/>
      <c r="G1068" s="222"/>
      <c r="H1068" s="222"/>
    </row>
    <row r="1069" spans="4:8" s="223" customFormat="1" x14ac:dyDescent="0.35">
      <c r="D1069" s="222"/>
      <c r="E1069" s="222"/>
      <c r="F1069" s="222"/>
      <c r="G1069" s="222"/>
      <c r="H1069" s="222"/>
    </row>
    <row r="1070" spans="4:8" s="223" customFormat="1" x14ac:dyDescent="0.35">
      <c r="D1070" s="222"/>
      <c r="E1070" s="222"/>
      <c r="F1070" s="222"/>
      <c r="G1070" s="222"/>
      <c r="H1070" s="222"/>
    </row>
    <row r="1071" spans="4:8" s="223" customFormat="1" x14ac:dyDescent="0.35">
      <c r="D1071" s="222"/>
      <c r="E1071" s="222"/>
      <c r="F1071" s="222"/>
      <c r="G1071" s="222"/>
      <c r="H1071" s="222"/>
    </row>
    <row r="1072" spans="4:8" s="223" customFormat="1" x14ac:dyDescent="0.35">
      <c r="D1072" s="222"/>
      <c r="E1072" s="222"/>
      <c r="F1072" s="222"/>
      <c r="G1072" s="222"/>
      <c r="H1072" s="222"/>
    </row>
    <row r="1073" spans="4:8" s="223" customFormat="1" x14ac:dyDescent="0.35">
      <c r="D1073" s="222"/>
      <c r="E1073" s="222"/>
      <c r="F1073" s="222"/>
      <c r="G1073" s="222"/>
      <c r="H1073" s="222"/>
    </row>
    <row r="1074" spans="4:8" s="223" customFormat="1" x14ac:dyDescent="0.35">
      <c r="D1074" s="222"/>
      <c r="E1074" s="222"/>
      <c r="F1074" s="222"/>
      <c r="G1074" s="222"/>
      <c r="H1074" s="222"/>
    </row>
    <row r="1075" spans="4:8" s="223" customFormat="1" x14ac:dyDescent="0.35">
      <c r="D1075" s="222"/>
      <c r="E1075" s="222"/>
      <c r="F1075" s="222"/>
      <c r="G1075" s="222"/>
      <c r="H1075" s="222"/>
    </row>
    <row r="1076" spans="4:8" s="223" customFormat="1" x14ac:dyDescent="0.35">
      <c r="D1076" s="222"/>
      <c r="E1076" s="222"/>
      <c r="F1076" s="222"/>
      <c r="G1076" s="222"/>
      <c r="H1076" s="222"/>
    </row>
    <row r="1077" spans="4:8" s="223" customFormat="1" x14ac:dyDescent="0.35">
      <c r="D1077" s="222"/>
      <c r="E1077" s="222"/>
      <c r="F1077" s="222"/>
      <c r="G1077" s="222"/>
      <c r="H1077" s="222"/>
    </row>
    <row r="1078" spans="4:8" s="223" customFormat="1" x14ac:dyDescent="0.35">
      <c r="D1078" s="222"/>
      <c r="E1078" s="222"/>
      <c r="F1078" s="222"/>
      <c r="G1078" s="222"/>
      <c r="H1078" s="222"/>
    </row>
    <row r="1079" spans="4:8" s="223" customFormat="1" x14ac:dyDescent="0.35">
      <c r="D1079" s="222"/>
      <c r="E1079" s="222"/>
      <c r="F1079" s="222"/>
      <c r="G1079" s="222"/>
      <c r="H1079" s="222"/>
    </row>
    <row r="1080" spans="4:8" s="223" customFormat="1" x14ac:dyDescent="0.35">
      <c r="D1080" s="222"/>
      <c r="E1080" s="222"/>
      <c r="F1080" s="222"/>
      <c r="G1080" s="222"/>
      <c r="H1080" s="222"/>
    </row>
    <row r="1081" spans="4:8" s="223" customFormat="1" x14ac:dyDescent="0.35">
      <c r="D1081" s="222"/>
      <c r="E1081" s="222"/>
      <c r="F1081" s="222"/>
      <c r="G1081" s="222"/>
      <c r="H1081" s="222"/>
    </row>
    <row r="1082" spans="4:8" s="223" customFormat="1" x14ac:dyDescent="0.35">
      <c r="D1082" s="222"/>
      <c r="E1082" s="222"/>
      <c r="F1082" s="222"/>
      <c r="G1082" s="222"/>
      <c r="H1082" s="222"/>
    </row>
    <row r="1083" spans="4:8" s="223" customFormat="1" x14ac:dyDescent="0.35">
      <c r="D1083" s="222"/>
      <c r="E1083" s="222"/>
      <c r="F1083" s="222"/>
      <c r="G1083" s="222"/>
      <c r="H1083" s="222"/>
    </row>
    <row r="1084" spans="4:8" s="223" customFormat="1" x14ac:dyDescent="0.35">
      <c r="D1084" s="222"/>
      <c r="E1084" s="222"/>
      <c r="F1084" s="222"/>
      <c r="G1084" s="222"/>
      <c r="H1084" s="222"/>
    </row>
    <row r="1085" spans="4:8" s="223" customFormat="1" x14ac:dyDescent="0.35">
      <c r="D1085" s="222"/>
      <c r="E1085" s="222"/>
      <c r="F1085" s="222"/>
      <c r="G1085" s="222"/>
      <c r="H1085" s="222"/>
    </row>
    <row r="1086" spans="4:8" s="223" customFormat="1" x14ac:dyDescent="0.35">
      <c r="D1086" s="222"/>
      <c r="E1086" s="222"/>
      <c r="F1086" s="222"/>
      <c r="G1086" s="222"/>
      <c r="H1086" s="222"/>
    </row>
    <row r="1087" spans="4:8" s="223" customFormat="1" x14ac:dyDescent="0.35">
      <c r="D1087" s="222"/>
      <c r="E1087" s="222"/>
      <c r="F1087" s="222"/>
      <c r="G1087" s="222"/>
      <c r="H1087" s="222"/>
    </row>
    <row r="1088" spans="4:8" s="223" customFormat="1" x14ac:dyDescent="0.35">
      <c r="D1088" s="222"/>
      <c r="E1088" s="222"/>
      <c r="F1088" s="222"/>
      <c r="G1088" s="222"/>
      <c r="H1088" s="222"/>
    </row>
    <row r="1089" spans="4:8" s="223" customFormat="1" x14ac:dyDescent="0.35">
      <c r="D1089" s="222"/>
      <c r="E1089" s="222"/>
      <c r="F1089" s="222"/>
      <c r="G1089" s="222"/>
      <c r="H1089" s="222"/>
    </row>
    <row r="1090" spans="4:8" s="223" customFormat="1" x14ac:dyDescent="0.35">
      <c r="D1090" s="222"/>
      <c r="E1090" s="222"/>
      <c r="F1090" s="222"/>
      <c r="G1090" s="222"/>
      <c r="H1090" s="222"/>
    </row>
    <row r="1091" spans="4:8" s="223" customFormat="1" x14ac:dyDescent="0.35">
      <c r="D1091" s="222"/>
      <c r="E1091" s="222"/>
      <c r="F1091" s="222"/>
      <c r="G1091" s="222"/>
      <c r="H1091" s="222"/>
    </row>
    <row r="1092" spans="4:8" s="223" customFormat="1" x14ac:dyDescent="0.35">
      <c r="D1092" s="222"/>
      <c r="E1092" s="222"/>
      <c r="F1092" s="222"/>
      <c r="G1092" s="222"/>
      <c r="H1092" s="222"/>
    </row>
    <row r="1093" spans="4:8" s="223" customFormat="1" x14ac:dyDescent="0.35">
      <c r="D1093" s="222"/>
      <c r="E1093" s="222"/>
      <c r="F1093" s="222"/>
      <c r="G1093" s="222"/>
      <c r="H1093" s="222"/>
    </row>
    <row r="1094" spans="4:8" s="223" customFormat="1" x14ac:dyDescent="0.35">
      <c r="D1094" s="222"/>
      <c r="E1094" s="222"/>
      <c r="F1094" s="222"/>
      <c r="G1094" s="222"/>
      <c r="H1094" s="222"/>
    </row>
    <row r="1095" spans="4:8" s="223" customFormat="1" x14ac:dyDescent="0.35">
      <c r="D1095" s="222"/>
      <c r="E1095" s="222"/>
      <c r="F1095" s="222"/>
      <c r="G1095" s="222"/>
      <c r="H1095" s="222"/>
    </row>
    <row r="1096" spans="4:8" s="223" customFormat="1" x14ac:dyDescent="0.35">
      <c r="D1096" s="222"/>
      <c r="E1096" s="222"/>
      <c r="F1096" s="222"/>
      <c r="G1096" s="222"/>
      <c r="H1096" s="222"/>
    </row>
    <row r="1097" spans="4:8" s="223" customFormat="1" x14ac:dyDescent="0.35">
      <c r="D1097" s="222"/>
      <c r="E1097" s="222"/>
      <c r="F1097" s="222"/>
      <c r="G1097" s="222"/>
      <c r="H1097" s="222"/>
    </row>
    <row r="1098" spans="4:8" s="223" customFormat="1" x14ac:dyDescent="0.35">
      <c r="D1098" s="222"/>
      <c r="E1098" s="222"/>
      <c r="F1098" s="222"/>
      <c r="G1098" s="222"/>
      <c r="H1098" s="222"/>
    </row>
    <row r="1099" spans="4:8" s="223" customFormat="1" x14ac:dyDescent="0.35">
      <c r="D1099" s="222"/>
      <c r="E1099" s="222"/>
      <c r="F1099" s="222"/>
      <c r="G1099" s="222"/>
      <c r="H1099" s="222"/>
    </row>
    <row r="1100" spans="4:8" s="223" customFormat="1" x14ac:dyDescent="0.35">
      <c r="D1100" s="222"/>
      <c r="E1100" s="222"/>
      <c r="F1100" s="222"/>
      <c r="G1100" s="222"/>
      <c r="H1100" s="222"/>
    </row>
    <row r="1101" spans="4:8" s="223" customFormat="1" x14ac:dyDescent="0.35">
      <c r="D1101" s="222"/>
      <c r="E1101" s="222"/>
      <c r="F1101" s="222"/>
      <c r="G1101" s="222"/>
      <c r="H1101" s="222"/>
    </row>
    <row r="1102" spans="4:8" s="223" customFormat="1" x14ac:dyDescent="0.35">
      <c r="D1102" s="222"/>
      <c r="E1102" s="222"/>
      <c r="F1102" s="222"/>
      <c r="G1102" s="222"/>
      <c r="H1102" s="222"/>
    </row>
    <row r="1103" spans="4:8" s="223" customFormat="1" x14ac:dyDescent="0.35">
      <c r="D1103" s="222"/>
      <c r="E1103" s="222"/>
      <c r="F1103" s="222"/>
      <c r="G1103" s="222"/>
      <c r="H1103" s="222"/>
    </row>
    <row r="1104" spans="4:8" s="223" customFormat="1" x14ac:dyDescent="0.35">
      <c r="D1104" s="222"/>
      <c r="E1104" s="222"/>
      <c r="F1104" s="222"/>
      <c r="G1104" s="222"/>
      <c r="H1104" s="222"/>
    </row>
    <row r="1105" spans="4:8" s="223" customFormat="1" x14ac:dyDescent="0.35">
      <c r="D1105" s="222"/>
      <c r="E1105" s="222"/>
      <c r="F1105" s="222"/>
      <c r="G1105" s="222"/>
      <c r="H1105" s="222"/>
    </row>
    <row r="1106" spans="4:8" s="223" customFormat="1" x14ac:dyDescent="0.35">
      <c r="D1106" s="222"/>
      <c r="E1106" s="222"/>
      <c r="F1106" s="222"/>
      <c r="G1106" s="222"/>
      <c r="H1106" s="222"/>
    </row>
    <row r="1107" spans="4:8" s="223" customFormat="1" x14ac:dyDescent="0.35">
      <c r="D1107" s="222"/>
      <c r="E1107" s="222"/>
      <c r="F1107" s="222"/>
      <c r="G1107" s="222"/>
      <c r="H1107" s="222"/>
    </row>
    <row r="1108" spans="4:8" s="223" customFormat="1" x14ac:dyDescent="0.35">
      <c r="D1108" s="222"/>
      <c r="E1108" s="222"/>
      <c r="F1108" s="222"/>
      <c r="G1108" s="222"/>
      <c r="H1108" s="222"/>
    </row>
    <row r="1109" spans="4:8" s="223" customFormat="1" x14ac:dyDescent="0.35">
      <c r="D1109" s="222"/>
      <c r="E1109" s="222"/>
      <c r="F1109" s="222"/>
      <c r="G1109" s="222"/>
      <c r="H1109" s="222"/>
    </row>
    <row r="1110" spans="4:8" s="223" customFormat="1" x14ac:dyDescent="0.35">
      <c r="D1110" s="222"/>
      <c r="E1110" s="222"/>
      <c r="F1110" s="222"/>
      <c r="G1110" s="222"/>
      <c r="H1110" s="222"/>
    </row>
    <row r="1111" spans="4:8" s="223" customFormat="1" x14ac:dyDescent="0.35">
      <c r="D1111" s="222"/>
      <c r="E1111" s="222"/>
      <c r="F1111" s="222"/>
      <c r="G1111" s="222"/>
      <c r="H1111" s="222"/>
    </row>
    <row r="1112" spans="4:8" s="223" customFormat="1" x14ac:dyDescent="0.35">
      <c r="D1112" s="222"/>
      <c r="E1112" s="222"/>
      <c r="F1112" s="222"/>
      <c r="G1112" s="222"/>
      <c r="H1112" s="222"/>
    </row>
    <row r="1113" spans="4:8" s="223" customFormat="1" x14ac:dyDescent="0.35">
      <c r="D1113" s="222"/>
      <c r="E1113" s="222"/>
      <c r="F1113" s="222"/>
      <c r="G1113" s="222"/>
      <c r="H1113" s="222"/>
    </row>
    <row r="1114" spans="4:8" s="223" customFormat="1" x14ac:dyDescent="0.35">
      <c r="D1114" s="222"/>
      <c r="E1114" s="222"/>
      <c r="F1114" s="222"/>
      <c r="G1114" s="222"/>
      <c r="H1114" s="222"/>
    </row>
    <row r="1115" spans="4:8" s="223" customFormat="1" x14ac:dyDescent="0.35">
      <c r="D1115" s="222"/>
      <c r="E1115" s="222"/>
      <c r="F1115" s="222"/>
      <c r="G1115" s="222"/>
      <c r="H1115" s="222"/>
    </row>
    <row r="1116" spans="4:8" s="223" customFormat="1" x14ac:dyDescent="0.35">
      <c r="D1116" s="222"/>
      <c r="E1116" s="222"/>
      <c r="F1116" s="222"/>
      <c r="G1116" s="222"/>
      <c r="H1116" s="222"/>
    </row>
    <row r="1117" spans="4:8" s="223" customFormat="1" x14ac:dyDescent="0.35">
      <c r="D1117" s="222"/>
      <c r="E1117" s="222"/>
      <c r="F1117" s="222"/>
      <c r="G1117" s="222"/>
      <c r="H1117" s="222"/>
    </row>
    <row r="1118" spans="4:8" s="223" customFormat="1" x14ac:dyDescent="0.35">
      <c r="D1118" s="222"/>
      <c r="E1118" s="222"/>
      <c r="F1118" s="222"/>
      <c r="G1118" s="222"/>
      <c r="H1118" s="222"/>
    </row>
    <row r="1119" spans="4:8" s="223" customFormat="1" x14ac:dyDescent="0.35">
      <c r="D1119" s="222"/>
      <c r="E1119" s="222"/>
      <c r="F1119" s="222"/>
      <c r="G1119" s="222"/>
      <c r="H1119" s="222"/>
    </row>
    <row r="1120" spans="4:8" s="223" customFormat="1" x14ac:dyDescent="0.35">
      <c r="D1120" s="222"/>
      <c r="E1120" s="222"/>
      <c r="F1120" s="222"/>
      <c r="G1120" s="222"/>
      <c r="H1120" s="222"/>
    </row>
    <row r="1121" spans="4:8" s="223" customFormat="1" x14ac:dyDescent="0.35">
      <c r="D1121" s="222"/>
      <c r="E1121" s="222"/>
      <c r="F1121" s="222"/>
      <c r="G1121" s="222"/>
      <c r="H1121" s="222"/>
    </row>
    <row r="1122" spans="4:8" s="223" customFormat="1" x14ac:dyDescent="0.35">
      <c r="D1122" s="222"/>
      <c r="E1122" s="222"/>
      <c r="F1122" s="222"/>
      <c r="G1122" s="222"/>
      <c r="H1122" s="222"/>
    </row>
    <row r="1123" spans="4:8" s="223" customFormat="1" x14ac:dyDescent="0.35">
      <c r="D1123" s="222"/>
      <c r="E1123" s="222"/>
      <c r="F1123" s="222"/>
      <c r="G1123" s="222"/>
      <c r="H1123" s="222"/>
    </row>
    <row r="1124" spans="4:8" s="223" customFormat="1" x14ac:dyDescent="0.35">
      <c r="D1124" s="222"/>
      <c r="E1124" s="222"/>
      <c r="F1124" s="222"/>
      <c r="G1124" s="222"/>
      <c r="H1124" s="222"/>
    </row>
    <row r="1125" spans="4:8" s="223" customFormat="1" x14ac:dyDescent="0.35">
      <c r="D1125" s="222"/>
      <c r="E1125" s="222"/>
      <c r="F1125" s="222"/>
      <c r="G1125" s="222"/>
      <c r="H1125" s="222"/>
    </row>
    <row r="1126" spans="4:8" s="223" customFormat="1" x14ac:dyDescent="0.35">
      <c r="D1126" s="222"/>
      <c r="E1126" s="222"/>
      <c r="F1126" s="222"/>
      <c r="G1126" s="222"/>
      <c r="H1126" s="222"/>
    </row>
    <row r="1127" spans="4:8" s="223" customFormat="1" x14ac:dyDescent="0.35">
      <c r="D1127" s="222"/>
      <c r="E1127" s="222"/>
      <c r="F1127" s="222"/>
      <c r="G1127" s="222"/>
      <c r="H1127" s="222"/>
    </row>
    <row r="1128" spans="4:8" s="223" customFormat="1" x14ac:dyDescent="0.35">
      <c r="D1128" s="222"/>
      <c r="E1128" s="222"/>
      <c r="F1128" s="222"/>
      <c r="G1128" s="222"/>
      <c r="H1128" s="222"/>
    </row>
    <row r="1129" spans="4:8" s="223" customFormat="1" x14ac:dyDescent="0.35">
      <c r="D1129" s="222"/>
      <c r="E1129" s="222"/>
      <c r="F1129" s="222"/>
      <c r="G1129" s="222"/>
      <c r="H1129" s="222"/>
    </row>
    <row r="1130" spans="4:8" s="223" customFormat="1" x14ac:dyDescent="0.35">
      <c r="D1130" s="222"/>
      <c r="E1130" s="222"/>
      <c r="F1130" s="222"/>
      <c r="G1130" s="222"/>
      <c r="H1130" s="222"/>
    </row>
    <row r="1131" spans="4:8" s="223" customFormat="1" x14ac:dyDescent="0.35">
      <c r="D1131" s="222"/>
      <c r="E1131" s="222"/>
      <c r="F1131" s="222"/>
      <c r="G1131" s="222"/>
      <c r="H1131" s="222"/>
    </row>
    <row r="1132" spans="4:8" s="223" customFormat="1" x14ac:dyDescent="0.35">
      <c r="D1132" s="222"/>
      <c r="E1132" s="222"/>
      <c r="F1132" s="222"/>
      <c r="G1132" s="222"/>
      <c r="H1132" s="222"/>
    </row>
    <row r="1133" spans="4:8" s="223" customFormat="1" x14ac:dyDescent="0.35">
      <c r="D1133" s="222"/>
      <c r="E1133" s="222"/>
      <c r="F1133" s="222"/>
      <c r="G1133" s="222"/>
      <c r="H1133" s="222"/>
    </row>
    <row r="1134" spans="4:8" s="223" customFormat="1" x14ac:dyDescent="0.35">
      <c r="D1134" s="222"/>
      <c r="E1134" s="222"/>
      <c r="F1134" s="222"/>
      <c r="G1134" s="222"/>
      <c r="H1134" s="222"/>
    </row>
    <row r="1135" spans="4:8" s="223" customFormat="1" x14ac:dyDescent="0.35">
      <c r="D1135" s="222"/>
      <c r="E1135" s="222"/>
      <c r="F1135" s="222"/>
      <c r="G1135" s="222"/>
      <c r="H1135" s="222"/>
    </row>
    <row r="1136" spans="4:8" s="223" customFormat="1" x14ac:dyDescent="0.35">
      <c r="D1136" s="222"/>
      <c r="E1136" s="222"/>
      <c r="F1136" s="222"/>
      <c r="G1136" s="222"/>
      <c r="H1136" s="222"/>
    </row>
    <row r="1137" spans="4:8" s="223" customFormat="1" x14ac:dyDescent="0.35">
      <c r="D1137" s="222"/>
      <c r="E1137" s="222"/>
      <c r="F1137" s="222"/>
      <c r="G1137" s="222"/>
      <c r="H1137" s="222"/>
    </row>
    <row r="1138" spans="4:8" s="223" customFormat="1" x14ac:dyDescent="0.35">
      <c r="D1138" s="222"/>
      <c r="E1138" s="222"/>
      <c r="F1138" s="222"/>
      <c r="G1138" s="222"/>
      <c r="H1138" s="222"/>
    </row>
    <row r="1139" spans="4:8" s="223" customFormat="1" x14ac:dyDescent="0.35">
      <c r="D1139" s="222"/>
      <c r="E1139" s="222"/>
      <c r="F1139" s="222"/>
      <c r="G1139" s="222"/>
      <c r="H1139" s="222"/>
    </row>
    <row r="1140" spans="4:8" s="223" customFormat="1" x14ac:dyDescent="0.35">
      <c r="D1140" s="222"/>
      <c r="E1140" s="222"/>
      <c r="F1140" s="222"/>
      <c r="G1140" s="222"/>
      <c r="H1140" s="222"/>
    </row>
    <row r="1141" spans="4:8" s="223" customFormat="1" x14ac:dyDescent="0.35">
      <c r="D1141" s="222"/>
      <c r="E1141" s="222"/>
      <c r="F1141" s="222"/>
      <c r="G1141" s="222"/>
      <c r="H1141" s="222"/>
    </row>
    <row r="1142" spans="4:8" s="223" customFormat="1" x14ac:dyDescent="0.35">
      <c r="D1142" s="222"/>
      <c r="E1142" s="222"/>
      <c r="F1142" s="222"/>
      <c r="G1142" s="222"/>
      <c r="H1142" s="222"/>
    </row>
    <row r="1143" spans="4:8" s="223" customFormat="1" x14ac:dyDescent="0.35">
      <c r="D1143" s="222"/>
      <c r="E1143" s="222"/>
      <c r="F1143" s="222"/>
      <c r="G1143" s="222"/>
      <c r="H1143" s="222"/>
    </row>
    <row r="1144" spans="4:8" s="223" customFormat="1" x14ac:dyDescent="0.35">
      <c r="D1144" s="222"/>
      <c r="E1144" s="222"/>
      <c r="F1144" s="222"/>
      <c r="G1144" s="222"/>
      <c r="H1144" s="222"/>
    </row>
    <row r="1145" spans="4:8" s="223" customFormat="1" x14ac:dyDescent="0.35">
      <c r="D1145" s="222"/>
      <c r="E1145" s="222"/>
      <c r="F1145" s="222"/>
      <c r="G1145" s="222"/>
      <c r="H1145" s="222"/>
    </row>
    <row r="1146" spans="4:8" s="223" customFormat="1" x14ac:dyDescent="0.35">
      <c r="D1146" s="222"/>
      <c r="E1146" s="222"/>
      <c r="F1146" s="222"/>
      <c r="G1146" s="222"/>
      <c r="H1146" s="222"/>
    </row>
    <row r="1147" spans="4:8" s="223" customFormat="1" x14ac:dyDescent="0.35">
      <c r="D1147" s="222"/>
      <c r="E1147" s="222"/>
      <c r="F1147" s="222"/>
      <c r="G1147" s="222"/>
      <c r="H1147" s="222"/>
    </row>
    <row r="1148" spans="4:8" s="223" customFormat="1" x14ac:dyDescent="0.35">
      <c r="D1148" s="222"/>
      <c r="E1148" s="222"/>
      <c r="F1148" s="222"/>
      <c r="G1148" s="222"/>
      <c r="H1148" s="222"/>
    </row>
    <row r="1149" spans="4:8" s="223" customFormat="1" x14ac:dyDescent="0.35">
      <c r="D1149" s="222"/>
      <c r="E1149" s="222"/>
      <c r="F1149" s="222"/>
      <c r="G1149" s="222"/>
      <c r="H1149" s="222"/>
    </row>
    <row r="1150" spans="4:8" s="223" customFormat="1" x14ac:dyDescent="0.35">
      <c r="D1150" s="222"/>
      <c r="E1150" s="222"/>
      <c r="F1150" s="222"/>
      <c r="G1150" s="222"/>
      <c r="H1150" s="222"/>
    </row>
    <row r="1151" spans="4:8" s="223" customFormat="1" x14ac:dyDescent="0.35">
      <c r="D1151" s="222"/>
      <c r="E1151" s="222"/>
      <c r="F1151" s="222"/>
      <c r="G1151" s="222"/>
      <c r="H1151" s="222"/>
    </row>
    <row r="1152" spans="4:8" s="223" customFormat="1" x14ac:dyDescent="0.35">
      <c r="D1152" s="222"/>
      <c r="E1152" s="222"/>
      <c r="F1152" s="222"/>
      <c r="G1152" s="222"/>
      <c r="H1152" s="222"/>
    </row>
    <row r="1153" spans="4:8" s="223" customFormat="1" x14ac:dyDescent="0.35">
      <c r="D1153" s="222"/>
      <c r="E1153" s="222"/>
      <c r="F1153" s="222"/>
      <c r="G1153" s="222"/>
      <c r="H1153" s="222"/>
    </row>
    <row r="1154" spans="4:8" s="223" customFormat="1" x14ac:dyDescent="0.35">
      <c r="D1154" s="222"/>
      <c r="E1154" s="222"/>
      <c r="F1154" s="222"/>
      <c r="G1154" s="222"/>
      <c r="H1154" s="222"/>
    </row>
    <row r="1155" spans="4:8" s="223" customFormat="1" x14ac:dyDescent="0.35">
      <c r="D1155" s="222"/>
      <c r="E1155" s="222"/>
      <c r="F1155" s="222"/>
      <c r="G1155" s="222"/>
      <c r="H1155" s="222"/>
    </row>
    <row r="1156" spans="4:8" s="223" customFormat="1" x14ac:dyDescent="0.35">
      <c r="D1156" s="222"/>
      <c r="E1156" s="222"/>
      <c r="F1156" s="222"/>
      <c r="G1156" s="222"/>
      <c r="H1156" s="222"/>
    </row>
    <row r="1157" spans="4:8" s="223" customFormat="1" x14ac:dyDescent="0.35">
      <c r="D1157" s="222"/>
      <c r="E1157" s="222"/>
      <c r="F1157" s="222"/>
      <c r="G1157" s="222"/>
      <c r="H1157" s="222"/>
    </row>
    <row r="1158" spans="4:8" s="223" customFormat="1" x14ac:dyDescent="0.35">
      <c r="D1158" s="222"/>
      <c r="E1158" s="222"/>
      <c r="F1158" s="222"/>
      <c r="G1158" s="222"/>
      <c r="H1158" s="222"/>
    </row>
    <row r="1159" spans="4:8" s="223" customFormat="1" x14ac:dyDescent="0.35">
      <c r="D1159" s="222"/>
      <c r="E1159" s="222"/>
      <c r="F1159" s="222"/>
      <c r="G1159" s="222"/>
      <c r="H1159" s="222"/>
    </row>
    <row r="1160" spans="4:8" s="223" customFormat="1" x14ac:dyDescent="0.35">
      <c r="D1160" s="222"/>
      <c r="E1160" s="222"/>
      <c r="F1160" s="222"/>
      <c r="G1160" s="222"/>
      <c r="H1160" s="222"/>
    </row>
    <row r="1161" spans="4:8" s="223" customFormat="1" x14ac:dyDescent="0.35">
      <c r="D1161" s="222"/>
      <c r="E1161" s="222"/>
      <c r="F1161" s="222"/>
      <c r="G1161" s="222"/>
      <c r="H1161" s="222"/>
    </row>
    <row r="1162" spans="4:8" s="223" customFormat="1" x14ac:dyDescent="0.35">
      <c r="D1162" s="222"/>
      <c r="E1162" s="222"/>
      <c r="F1162" s="222"/>
      <c r="G1162" s="222"/>
      <c r="H1162" s="222"/>
    </row>
    <row r="1163" spans="4:8" s="223" customFormat="1" x14ac:dyDescent="0.35">
      <c r="D1163" s="222"/>
      <c r="E1163" s="222"/>
      <c r="F1163" s="222"/>
      <c r="G1163" s="222"/>
      <c r="H1163" s="222"/>
    </row>
    <row r="1164" spans="4:8" s="223" customFormat="1" x14ac:dyDescent="0.35">
      <c r="D1164" s="222"/>
      <c r="E1164" s="222"/>
      <c r="F1164" s="222"/>
      <c r="G1164" s="222"/>
      <c r="H1164" s="222"/>
    </row>
    <row r="1165" spans="4:8" s="223" customFormat="1" x14ac:dyDescent="0.35">
      <c r="D1165" s="222"/>
      <c r="E1165" s="222"/>
      <c r="F1165" s="222"/>
      <c r="G1165" s="222"/>
      <c r="H1165" s="222"/>
    </row>
    <row r="1166" spans="4:8" s="223" customFormat="1" x14ac:dyDescent="0.35">
      <c r="D1166" s="222"/>
      <c r="E1166" s="222"/>
      <c r="F1166" s="222"/>
      <c r="G1166" s="222"/>
      <c r="H1166" s="222"/>
    </row>
    <row r="1167" spans="4:8" s="223" customFormat="1" x14ac:dyDescent="0.35">
      <c r="D1167" s="222"/>
      <c r="E1167" s="222"/>
      <c r="F1167" s="222"/>
      <c r="G1167" s="222"/>
      <c r="H1167" s="222"/>
    </row>
    <row r="1168" spans="4:8" s="223" customFormat="1" x14ac:dyDescent="0.35">
      <c r="D1168" s="222"/>
      <c r="E1168" s="222"/>
      <c r="F1168" s="222"/>
      <c r="G1168" s="222"/>
      <c r="H1168" s="222"/>
    </row>
    <row r="1169" spans="4:8" s="223" customFormat="1" x14ac:dyDescent="0.35">
      <c r="D1169" s="222"/>
      <c r="E1169" s="222"/>
      <c r="F1169" s="222"/>
      <c r="G1169" s="222"/>
      <c r="H1169" s="222"/>
    </row>
    <row r="1170" spans="4:8" s="223" customFormat="1" x14ac:dyDescent="0.35">
      <c r="D1170" s="222"/>
      <c r="E1170" s="222"/>
      <c r="F1170" s="222"/>
      <c r="G1170" s="222"/>
      <c r="H1170" s="222"/>
    </row>
    <row r="1171" spans="4:8" s="223" customFormat="1" x14ac:dyDescent="0.35">
      <c r="D1171" s="222"/>
      <c r="E1171" s="222"/>
      <c r="F1171" s="222"/>
      <c r="G1171" s="222"/>
      <c r="H1171" s="222"/>
    </row>
    <row r="1172" spans="4:8" s="223" customFormat="1" x14ac:dyDescent="0.35">
      <c r="D1172" s="222"/>
      <c r="E1172" s="222"/>
      <c r="F1172" s="222"/>
      <c r="G1172" s="222"/>
      <c r="H1172" s="222"/>
    </row>
    <row r="1173" spans="4:8" s="223" customFormat="1" x14ac:dyDescent="0.35">
      <c r="D1173" s="222"/>
      <c r="E1173" s="222"/>
      <c r="F1173" s="222"/>
      <c r="G1173" s="222"/>
      <c r="H1173" s="222"/>
    </row>
    <row r="1174" spans="4:8" s="223" customFormat="1" x14ac:dyDescent="0.35">
      <c r="D1174" s="222"/>
      <c r="E1174" s="222"/>
      <c r="F1174" s="222"/>
      <c r="G1174" s="222"/>
      <c r="H1174" s="222"/>
    </row>
    <row r="1175" spans="4:8" s="223" customFormat="1" x14ac:dyDescent="0.35">
      <c r="D1175" s="222"/>
      <c r="E1175" s="222"/>
      <c r="F1175" s="222"/>
      <c r="G1175" s="222"/>
      <c r="H1175" s="222"/>
    </row>
    <row r="1176" spans="4:8" s="223" customFormat="1" x14ac:dyDescent="0.35">
      <c r="D1176" s="222"/>
      <c r="E1176" s="222"/>
      <c r="F1176" s="222"/>
      <c r="G1176" s="222"/>
      <c r="H1176" s="222"/>
    </row>
    <row r="1177" spans="4:8" s="223" customFormat="1" x14ac:dyDescent="0.35">
      <c r="D1177" s="222"/>
      <c r="E1177" s="222"/>
      <c r="F1177" s="222"/>
      <c r="G1177" s="222"/>
      <c r="H1177" s="222"/>
    </row>
    <row r="1178" spans="4:8" s="223" customFormat="1" x14ac:dyDescent="0.35">
      <c r="D1178" s="222"/>
      <c r="E1178" s="222"/>
      <c r="F1178" s="222"/>
      <c r="G1178" s="222"/>
      <c r="H1178" s="222"/>
    </row>
    <row r="1179" spans="4:8" s="223" customFormat="1" x14ac:dyDescent="0.35">
      <c r="D1179" s="222"/>
      <c r="E1179" s="222"/>
      <c r="F1179" s="222"/>
      <c r="G1179" s="222"/>
      <c r="H1179" s="222"/>
    </row>
    <row r="1180" spans="4:8" s="223" customFormat="1" x14ac:dyDescent="0.35">
      <c r="D1180" s="222"/>
      <c r="E1180" s="222"/>
      <c r="F1180" s="222"/>
      <c r="G1180" s="222"/>
      <c r="H1180" s="222"/>
    </row>
    <row r="1181" spans="4:8" s="223" customFormat="1" x14ac:dyDescent="0.35">
      <c r="D1181" s="222"/>
      <c r="E1181" s="222"/>
      <c r="F1181" s="222"/>
      <c r="G1181" s="222"/>
      <c r="H1181" s="222"/>
    </row>
    <row r="1182" spans="4:8" s="223" customFormat="1" x14ac:dyDescent="0.35">
      <c r="D1182" s="222"/>
      <c r="E1182" s="222"/>
      <c r="F1182" s="222"/>
      <c r="G1182" s="222"/>
      <c r="H1182" s="222"/>
    </row>
    <row r="1183" spans="4:8" s="223" customFormat="1" x14ac:dyDescent="0.35">
      <c r="D1183" s="222"/>
      <c r="E1183" s="222"/>
      <c r="F1183" s="222"/>
      <c r="G1183" s="222"/>
      <c r="H1183" s="222"/>
    </row>
    <row r="1184" spans="4:8" s="223" customFormat="1" x14ac:dyDescent="0.35">
      <c r="D1184" s="222"/>
      <c r="E1184" s="222"/>
      <c r="F1184" s="222"/>
      <c r="G1184" s="222"/>
      <c r="H1184" s="222"/>
    </row>
    <row r="1185" spans="4:8" s="223" customFormat="1" x14ac:dyDescent="0.35">
      <c r="D1185" s="222"/>
      <c r="E1185" s="222"/>
      <c r="F1185" s="222"/>
      <c r="G1185" s="222"/>
      <c r="H1185" s="222"/>
    </row>
    <row r="1186" spans="4:8" s="223" customFormat="1" x14ac:dyDescent="0.35">
      <c r="D1186" s="222"/>
      <c r="E1186" s="222"/>
      <c r="F1186" s="222"/>
      <c r="G1186" s="222"/>
      <c r="H1186" s="222"/>
    </row>
    <row r="1187" spans="4:8" s="223" customFormat="1" x14ac:dyDescent="0.35">
      <c r="D1187" s="222"/>
      <c r="E1187" s="222"/>
      <c r="F1187" s="222"/>
      <c r="G1187" s="222"/>
      <c r="H1187" s="222"/>
    </row>
    <row r="1188" spans="4:8" s="223" customFormat="1" x14ac:dyDescent="0.35">
      <c r="D1188" s="222"/>
      <c r="E1188" s="222"/>
      <c r="F1188" s="222"/>
      <c r="G1188" s="222"/>
      <c r="H1188" s="222"/>
    </row>
    <row r="1189" spans="4:8" s="223" customFormat="1" x14ac:dyDescent="0.35">
      <c r="D1189" s="222"/>
      <c r="E1189" s="222"/>
      <c r="F1189" s="222"/>
      <c r="G1189" s="222"/>
      <c r="H1189" s="222"/>
    </row>
    <row r="1190" spans="4:8" s="223" customFormat="1" x14ac:dyDescent="0.35">
      <c r="D1190" s="222"/>
      <c r="E1190" s="222"/>
      <c r="F1190" s="222"/>
      <c r="G1190" s="222"/>
      <c r="H1190" s="222"/>
    </row>
    <row r="1191" spans="4:8" s="223" customFormat="1" x14ac:dyDescent="0.35">
      <c r="D1191" s="222"/>
      <c r="E1191" s="222"/>
      <c r="F1191" s="222"/>
      <c r="G1191" s="222"/>
      <c r="H1191" s="222"/>
    </row>
    <row r="1192" spans="4:8" s="223" customFormat="1" x14ac:dyDescent="0.35">
      <c r="D1192" s="222"/>
      <c r="E1192" s="222"/>
      <c r="F1192" s="222"/>
      <c r="G1192" s="222"/>
      <c r="H1192" s="222"/>
    </row>
    <row r="1193" spans="4:8" s="223" customFormat="1" x14ac:dyDescent="0.35">
      <c r="D1193" s="222"/>
      <c r="E1193" s="222"/>
      <c r="F1193" s="222"/>
      <c r="G1193" s="222"/>
      <c r="H1193" s="222"/>
    </row>
    <row r="1194" spans="4:8" s="223" customFormat="1" x14ac:dyDescent="0.35">
      <c r="D1194" s="222"/>
      <c r="E1194" s="222"/>
      <c r="F1194" s="222"/>
      <c r="G1194" s="222"/>
      <c r="H1194" s="222"/>
    </row>
    <row r="1195" spans="4:8" s="223" customFormat="1" x14ac:dyDescent="0.35">
      <c r="D1195" s="222"/>
      <c r="E1195" s="222"/>
      <c r="F1195" s="222"/>
      <c r="G1195" s="222"/>
      <c r="H1195" s="222"/>
    </row>
    <row r="1196" spans="4:8" s="223" customFormat="1" x14ac:dyDescent="0.35">
      <c r="D1196" s="222"/>
      <c r="E1196" s="222"/>
      <c r="F1196" s="222"/>
      <c r="G1196" s="222"/>
      <c r="H1196" s="222"/>
    </row>
    <row r="1197" spans="4:8" s="223" customFormat="1" x14ac:dyDescent="0.35">
      <c r="D1197" s="222"/>
      <c r="E1197" s="222"/>
      <c r="F1197" s="222"/>
      <c r="G1197" s="222"/>
      <c r="H1197" s="222"/>
    </row>
    <row r="1198" spans="4:8" s="223" customFormat="1" x14ac:dyDescent="0.35">
      <c r="D1198" s="222"/>
      <c r="E1198" s="222"/>
      <c r="F1198" s="222"/>
      <c r="G1198" s="222"/>
      <c r="H1198" s="222"/>
    </row>
    <row r="1199" spans="4:8" s="223" customFormat="1" x14ac:dyDescent="0.35">
      <c r="D1199" s="222"/>
      <c r="E1199" s="222"/>
      <c r="F1199" s="222"/>
      <c r="G1199" s="222"/>
      <c r="H1199" s="222"/>
    </row>
    <row r="1200" spans="4:8" s="223" customFormat="1" x14ac:dyDescent="0.35">
      <c r="D1200" s="222"/>
      <c r="E1200" s="222"/>
      <c r="F1200" s="222"/>
      <c r="G1200" s="222"/>
      <c r="H1200" s="222"/>
    </row>
    <row r="1201" spans="4:8" s="223" customFormat="1" x14ac:dyDescent="0.35">
      <c r="D1201" s="222"/>
      <c r="E1201" s="222"/>
      <c r="F1201" s="222"/>
      <c r="G1201" s="222"/>
      <c r="H1201" s="222"/>
    </row>
    <row r="1202" spans="4:8" s="223" customFormat="1" x14ac:dyDescent="0.35">
      <c r="D1202" s="222"/>
      <c r="E1202" s="222"/>
      <c r="F1202" s="222"/>
      <c r="G1202" s="222"/>
      <c r="H1202" s="222"/>
    </row>
    <row r="1203" spans="4:8" s="223" customFormat="1" x14ac:dyDescent="0.35">
      <c r="D1203" s="222"/>
      <c r="E1203" s="222"/>
      <c r="F1203" s="222"/>
      <c r="G1203" s="222"/>
      <c r="H1203" s="222"/>
    </row>
    <row r="1204" spans="4:8" s="223" customFormat="1" x14ac:dyDescent="0.35">
      <c r="D1204" s="222"/>
      <c r="E1204" s="222"/>
      <c r="F1204" s="222"/>
      <c r="G1204" s="222"/>
      <c r="H1204" s="222"/>
    </row>
    <row r="1205" spans="4:8" s="223" customFormat="1" x14ac:dyDescent="0.35">
      <c r="D1205" s="222"/>
      <c r="E1205" s="222"/>
      <c r="F1205" s="222"/>
      <c r="G1205" s="222"/>
      <c r="H1205" s="222"/>
    </row>
    <row r="1206" spans="4:8" s="223" customFormat="1" x14ac:dyDescent="0.35">
      <c r="D1206" s="222"/>
      <c r="E1206" s="222"/>
      <c r="F1206" s="222"/>
      <c r="G1206" s="222"/>
      <c r="H1206" s="222"/>
    </row>
    <row r="1207" spans="4:8" s="223" customFormat="1" x14ac:dyDescent="0.35">
      <c r="D1207" s="222"/>
      <c r="E1207" s="222"/>
      <c r="F1207" s="222"/>
      <c r="G1207" s="222"/>
      <c r="H1207" s="222"/>
    </row>
    <row r="1208" spans="4:8" s="223" customFormat="1" x14ac:dyDescent="0.35">
      <c r="D1208" s="222"/>
      <c r="E1208" s="222"/>
      <c r="F1208" s="222"/>
      <c r="G1208" s="222"/>
      <c r="H1208" s="222"/>
    </row>
    <row r="1209" spans="4:8" s="223" customFormat="1" x14ac:dyDescent="0.35">
      <c r="D1209" s="222"/>
      <c r="E1209" s="222"/>
      <c r="F1209" s="222"/>
      <c r="G1209" s="222"/>
      <c r="H1209" s="222"/>
    </row>
    <row r="1210" spans="4:8" s="223" customFormat="1" x14ac:dyDescent="0.35">
      <c r="D1210" s="222"/>
      <c r="E1210" s="222"/>
      <c r="F1210" s="222"/>
      <c r="G1210" s="222"/>
      <c r="H1210" s="222"/>
    </row>
    <row r="1211" spans="4:8" s="223" customFormat="1" x14ac:dyDescent="0.35">
      <c r="D1211" s="222"/>
      <c r="E1211" s="222"/>
      <c r="F1211" s="222"/>
      <c r="G1211" s="222"/>
      <c r="H1211" s="222"/>
    </row>
    <row r="1212" spans="4:8" s="223" customFormat="1" x14ac:dyDescent="0.35">
      <c r="D1212" s="222"/>
      <c r="E1212" s="222"/>
      <c r="F1212" s="222"/>
      <c r="G1212" s="222"/>
      <c r="H1212" s="222"/>
    </row>
    <row r="1213" spans="4:8" s="223" customFormat="1" x14ac:dyDescent="0.35">
      <c r="D1213" s="222"/>
      <c r="E1213" s="222"/>
      <c r="F1213" s="222"/>
      <c r="G1213" s="222"/>
      <c r="H1213" s="222"/>
    </row>
    <row r="1214" spans="4:8" s="223" customFormat="1" x14ac:dyDescent="0.35">
      <c r="D1214" s="222"/>
      <c r="E1214" s="222"/>
      <c r="F1214" s="222"/>
      <c r="G1214" s="222"/>
      <c r="H1214" s="222"/>
    </row>
    <row r="1215" spans="4:8" s="223" customFormat="1" x14ac:dyDescent="0.35">
      <c r="D1215" s="222"/>
      <c r="E1215" s="222"/>
      <c r="F1215" s="222"/>
      <c r="G1215" s="222"/>
      <c r="H1215" s="222"/>
    </row>
    <row r="1216" spans="4:8" s="223" customFormat="1" x14ac:dyDescent="0.35">
      <c r="D1216" s="222"/>
      <c r="E1216" s="222"/>
      <c r="F1216" s="222"/>
      <c r="G1216" s="222"/>
      <c r="H1216" s="222"/>
    </row>
    <row r="1217" spans="4:8" s="223" customFormat="1" x14ac:dyDescent="0.35">
      <c r="D1217" s="222"/>
      <c r="E1217" s="222"/>
      <c r="F1217" s="222"/>
      <c r="G1217" s="222"/>
      <c r="H1217" s="222"/>
    </row>
    <row r="1218" spans="4:8" s="223" customFormat="1" x14ac:dyDescent="0.35">
      <c r="D1218" s="222"/>
      <c r="E1218" s="222"/>
      <c r="F1218" s="222"/>
      <c r="G1218" s="222"/>
      <c r="H1218" s="222"/>
    </row>
    <row r="1219" spans="4:8" s="223" customFormat="1" x14ac:dyDescent="0.35">
      <c r="D1219" s="222"/>
      <c r="E1219" s="222"/>
      <c r="F1219" s="222"/>
      <c r="G1219" s="222"/>
      <c r="H1219" s="222"/>
    </row>
    <row r="1220" spans="4:8" s="223" customFormat="1" x14ac:dyDescent="0.35">
      <c r="D1220" s="222"/>
      <c r="E1220" s="222"/>
      <c r="F1220" s="222"/>
      <c r="G1220" s="222"/>
      <c r="H1220" s="222"/>
    </row>
    <row r="1221" spans="4:8" s="223" customFormat="1" x14ac:dyDescent="0.35">
      <c r="D1221" s="222"/>
      <c r="E1221" s="222"/>
      <c r="F1221" s="222"/>
      <c r="G1221" s="222"/>
      <c r="H1221" s="222"/>
    </row>
    <row r="1222" spans="4:8" s="223" customFormat="1" x14ac:dyDescent="0.35">
      <c r="D1222" s="222"/>
      <c r="E1222" s="222"/>
      <c r="F1222" s="222"/>
      <c r="G1222" s="222"/>
      <c r="H1222" s="222"/>
    </row>
    <row r="1223" spans="4:8" s="223" customFormat="1" x14ac:dyDescent="0.35">
      <c r="D1223" s="222"/>
      <c r="E1223" s="222"/>
      <c r="F1223" s="222"/>
      <c r="G1223" s="222"/>
      <c r="H1223" s="222"/>
    </row>
    <row r="1224" spans="4:8" s="223" customFormat="1" x14ac:dyDescent="0.35">
      <c r="D1224" s="222"/>
      <c r="E1224" s="222"/>
      <c r="F1224" s="222"/>
      <c r="G1224" s="222"/>
      <c r="H1224" s="222"/>
    </row>
    <row r="1225" spans="4:8" s="223" customFormat="1" x14ac:dyDescent="0.35">
      <c r="D1225" s="222"/>
      <c r="E1225" s="222"/>
      <c r="F1225" s="222"/>
      <c r="G1225" s="222"/>
      <c r="H1225" s="222"/>
    </row>
    <row r="1226" spans="4:8" s="223" customFormat="1" x14ac:dyDescent="0.35">
      <c r="D1226" s="222"/>
      <c r="E1226" s="222"/>
      <c r="F1226" s="222"/>
      <c r="G1226" s="222"/>
      <c r="H1226" s="222"/>
    </row>
    <row r="1227" spans="4:8" s="223" customFormat="1" x14ac:dyDescent="0.35">
      <c r="D1227" s="222"/>
      <c r="E1227" s="222"/>
      <c r="F1227" s="222"/>
      <c r="G1227" s="222"/>
      <c r="H1227" s="222"/>
    </row>
    <row r="1228" spans="4:8" s="223" customFormat="1" x14ac:dyDescent="0.35">
      <c r="D1228" s="222"/>
      <c r="E1228" s="222"/>
      <c r="F1228" s="222"/>
      <c r="G1228" s="222"/>
      <c r="H1228" s="222"/>
    </row>
    <row r="1229" spans="4:8" s="223" customFormat="1" x14ac:dyDescent="0.35">
      <c r="D1229" s="222"/>
      <c r="E1229" s="222"/>
      <c r="F1229" s="222"/>
      <c r="G1229" s="222"/>
      <c r="H1229" s="222"/>
    </row>
    <row r="1230" spans="4:8" s="223" customFormat="1" x14ac:dyDescent="0.35">
      <c r="D1230" s="222"/>
      <c r="E1230" s="222"/>
      <c r="F1230" s="222"/>
      <c r="G1230" s="222"/>
      <c r="H1230" s="222"/>
    </row>
    <row r="1231" spans="4:8" s="223" customFormat="1" x14ac:dyDescent="0.35">
      <c r="D1231" s="222"/>
      <c r="E1231" s="222"/>
      <c r="F1231" s="222"/>
      <c r="G1231" s="222"/>
      <c r="H1231" s="222"/>
    </row>
    <row r="1232" spans="4:8" s="223" customFormat="1" x14ac:dyDescent="0.35">
      <c r="D1232" s="222"/>
      <c r="E1232" s="222"/>
      <c r="F1232" s="222"/>
      <c r="G1232" s="222"/>
      <c r="H1232" s="222"/>
    </row>
    <row r="1233" spans="4:8" s="223" customFormat="1" x14ac:dyDescent="0.35">
      <c r="D1233" s="222"/>
      <c r="E1233" s="222"/>
      <c r="F1233" s="222"/>
      <c r="G1233" s="222"/>
      <c r="H1233" s="222"/>
    </row>
    <row r="1234" spans="4:8" s="223" customFormat="1" x14ac:dyDescent="0.35">
      <c r="D1234" s="222"/>
      <c r="E1234" s="222"/>
      <c r="F1234" s="222"/>
      <c r="G1234" s="222"/>
      <c r="H1234" s="222"/>
    </row>
    <row r="1235" spans="4:8" s="223" customFormat="1" x14ac:dyDescent="0.35">
      <c r="D1235" s="222"/>
      <c r="E1235" s="222"/>
      <c r="F1235" s="222"/>
      <c r="G1235" s="222"/>
      <c r="H1235" s="222"/>
    </row>
    <row r="1236" spans="4:8" s="223" customFormat="1" x14ac:dyDescent="0.35">
      <c r="D1236" s="222"/>
      <c r="E1236" s="222"/>
      <c r="F1236" s="222"/>
      <c r="G1236" s="222"/>
      <c r="H1236" s="222"/>
    </row>
    <row r="1237" spans="4:8" s="223" customFormat="1" x14ac:dyDescent="0.35">
      <c r="D1237" s="222"/>
      <c r="E1237" s="222"/>
      <c r="F1237" s="222"/>
      <c r="G1237" s="222"/>
      <c r="H1237" s="222"/>
    </row>
    <row r="1238" spans="4:8" s="223" customFormat="1" x14ac:dyDescent="0.35">
      <c r="D1238" s="222"/>
      <c r="E1238" s="222"/>
      <c r="F1238" s="222"/>
      <c r="G1238" s="222"/>
      <c r="H1238" s="222"/>
    </row>
    <row r="1239" spans="4:8" s="223" customFormat="1" x14ac:dyDescent="0.35">
      <c r="D1239" s="222"/>
      <c r="E1239" s="222"/>
      <c r="F1239" s="222"/>
      <c r="G1239" s="222"/>
      <c r="H1239" s="222"/>
    </row>
    <row r="1240" spans="4:8" s="223" customFormat="1" x14ac:dyDescent="0.35">
      <c r="D1240" s="222"/>
      <c r="E1240" s="222"/>
      <c r="F1240" s="222"/>
      <c r="G1240" s="222"/>
      <c r="H1240" s="222"/>
    </row>
    <row r="1241" spans="4:8" s="223" customFormat="1" x14ac:dyDescent="0.35">
      <c r="D1241" s="222"/>
      <c r="E1241" s="222"/>
      <c r="F1241" s="222"/>
      <c r="G1241" s="222"/>
      <c r="H1241" s="222"/>
    </row>
    <row r="1242" spans="4:8" s="223" customFormat="1" x14ac:dyDescent="0.35">
      <c r="D1242" s="222"/>
      <c r="E1242" s="222"/>
      <c r="F1242" s="222"/>
      <c r="G1242" s="222"/>
      <c r="H1242" s="222"/>
    </row>
    <row r="1243" spans="4:8" s="223" customFormat="1" x14ac:dyDescent="0.35">
      <c r="D1243" s="222"/>
      <c r="E1243" s="222"/>
      <c r="F1243" s="222"/>
      <c r="G1243" s="222"/>
      <c r="H1243" s="222"/>
    </row>
    <row r="1244" spans="4:8" s="223" customFormat="1" x14ac:dyDescent="0.35">
      <c r="D1244" s="222"/>
      <c r="E1244" s="222"/>
      <c r="F1244" s="222"/>
      <c r="G1244" s="222"/>
      <c r="H1244" s="222"/>
    </row>
    <row r="1245" spans="4:8" s="223" customFormat="1" x14ac:dyDescent="0.35">
      <c r="D1245" s="222"/>
      <c r="E1245" s="222"/>
      <c r="F1245" s="222"/>
      <c r="G1245" s="222"/>
      <c r="H1245" s="222"/>
    </row>
    <row r="1246" spans="4:8" s="223" customFormat="1" x14ac:dyDescent="0.35">
      <c r="D1246" s="222"/>
      <c r="E1246" s="222"/>
      <c r="F1246" s="222"/>
      <c r="G1246" s="222"/>
      <c r="H1246" s="222"/>
    </row>
    <row r="1247" spans="4:8" s="223" customFormat="1" x14ac:dyDescent="0.35">
      <c r="D1247" s="222"/>
      <c r="E1247" s="222"/>
      <c r="F1247" s="222"/>
      <c r="G1247" s="222"/>
      <c r="H1247" s="222"/>
    </row>
    <row r="1248" spans="4:8" s="223" customFormat="1" x14ac:dyDescent="0.35">
      <c r="D1248" s="222"/>
      <c r="E1248" s="222"/>
      <c r="F1248" s="222"/>
      <c r="G1248" s="222"/>
      <c r="H1248" s="222"/>
    </row>
    <row r="1249" spans="4:8" s="223" customFormat="1" x14ac:dyDescent="0.35">
      <c r="D1249" s="222"/>
      <c r="E1249" s="222"/>
      <c r="F1249" s="222"/>
      <c r="G1249" s="222"/>
      <c r="H1249" s="222"/>
    </row>
    <row r="1250" spans="4:8" s="223" customFormat="1" x14ac:dyDescent="0.35">
      <c r="D1250" s="222"/>
      <c r="E1250" s="222"/>
      <c r="F1250" s="222"/>
      <c r="G1250" s="222"/>
      <c r="H1250" s="222"/>
    </row>
    <row r="1251" spans="4:8" s="223" customFormat="1" x14ac:dyDescent="0.35">
      <c r="D1251" s="222"/>
      <c r="E1251" s="222"/>
      <c r="F1251" s="222"/>
      <c r="G1251" s="222"/>
      <c r="H1251" s="222"/>
    </row>
    <row r="1252" spans="4:8" s="223" customFormat="1" x14ac:dyDescent="0.35">
      <c r="D1252" s="222"/>
      <c r="E1252" s="222"/>
      <c r="F1252" s="222"/>
      <c r="G1252" s="222"/>
      <c r="H1252" s="222"/>
    </row>
    <row r="1253" spans="4:8" s="223" customFormat="1" x14ac:dyDescent="0.35">
      <c r="D1253" s="222"/>
      <c r="E1253" s="222"/>
      <c r="F1253" s="222"/>
      <c r="G1253" s="222"/>
      <c r="H1253" s="222"/>
    </row>
    <row r="1254" spans="4:8" s="223" customFormat="1" x14ac:dyDescent="0.35">
      <c r="D1254" s="222"/>
      <c r="E1254" s="222"/>
      <c r="F1254" s="222"/>
      <c r="G1254" s="222"/>
      <c r="H1254" s="222"/>
    </row>
    <row r="1255" spans="4:8" s="223" customFormat="1" x14ac:dyDescent="0.35">
      <c r="D1255" s="222"/>
      <c r="E1255" s="222"/>
      <c r="F1255" s="222"/>
      <c r="G1255" s="222"/>
      <c r="H1255" s="222"/>
    </row>
    <row r="1256" spans="4:8" s="223" customFormat="1" x14ac:dyDescent="0.35">
      <c r="D1256" s="222"/>
      <c r="E1256" s="222"/>
      <c r="F1256" s="222"/>
      <c r="G1256" s="222"/>
      <c r="H1256" s="222"/>
    </row>
    <row r="1257" spans="4:8" s="223" customFormat="1" x14ac:dyDescent="0.35">
      <c r="D1257" s="222"/>
      <c r="E1257" s="222"/>
      <c r="F1257" s="222"/>
      <c r="G1257" s="222"/>
      <c r="H1257" s="222"/>
    </row>
    <row r="1258" spans="4:8" s="223" customFormat="1" x14ac:dyDescent="0.35">
      <c r="D1258" s="222"/>
      <c r="E1258" s="222"/>
      <c r="F1258" s="222"/>
      <c r="G1258" s="222"/>
      <c r="H1258" s="222"/>
    </row>
    <row r="1259" spans="4:8" s="223" customFormat="1" x14ac:dyDescent="0.35">
      <c r="D1259" s="222"/>
      <c r="E1259" s="222"/>
      <c r="F1259" s="222"/>
      <c r="G1259" s="222"/>
      <c r="H1259" s="222"/>
    </row>
    <row r="1260" spans="4:8" s="223" customFormat="1" x14ac:dyDescent="0.35">
      <c r="D1260" s="222"/>
      <c r="E1260" s="222"/>
      <c r="F1260" s="222"/>
      <c r="G1260" s="222"/>
      <c r="H1260" s="222"/>
    </row>
    <row r="1261" spans="4:8" s="223" customFormat="1" x14ac:dyDescent="0.35">
      <c r="D1261" s="222"/>
      <c r="E1261" s="222"/>
      <c r="F1261" s="222"/>
      <c r="G1261" s="222"/>
      <c r="H1261" s="222"/>
    </row>
    <row r="1262" spans="4:8" s="223" customFormat="1" x14ac:dyDescent="0.35">
      <c r="D1262" s="222"/>
      <c r="E1262" s="222"/>
      <c r="F1262" s="222"/>
      <c r="G1262" s="222"/>
      <c r="H1262" s="222"/>
    </row>
    <row r="1263" spans="4:8" s="223" customFormat="1" x14ac:dyDescent="0.35">
      <c r="D1263" s="222"/>
      <c r="E1263" s="222"/>
      <c r="F1263" s="222"/>
      <c r="G1263" s="222"/>
      <c r="H1263" s="222"/>
    </row>
    <row r="1264" spans="4:8" s="223" customFormat="1" x14ac:dyDescent="0.35">
      <c r="D1264" s="222"/>
      <c r="E1264" s="222"/>
      <c r="F1264" s="222"/>
      <c r="G1264" s="222"/>
      <c r="H1264" s="222"/>
    </row>
    <row r="1265" spans="4:8" s="223" customFormat="1" x14ac:dyDescent="0.35">
      <c r="D1265" s="222"/>
      <c r="E1265" s="222"/>
      <c r="F1265" s="222"/>
      <c r="G1265" s="222"/>
      <c r="H1265" s="222"/>
    </row>
    <row r="1266" spans="4:8" s="223" customFormat="1" x14ac:dyDescent="0.35">
      <c r="D1266" s="222"/>
      <c r="E1266" s="222"/>
      <c r="F1266" s="222"/>
      <c r="G1266" s="222"/>
      <c r="H1266" s="222"/>
    </row>
    <row r="1267" spans="4:8" s="223" customFormat="1" x14ac:dyDescent="0.35">
      <c r="D1267" s="222"/>
      <c r="E1267" s="222"/>
      <c r="F1267" s="222"/>
      <c r="G1267" s="222"/>
      <c r="H1267" s="222"/>
    </row>
    <row r="1268" spans="4:8" s="223" customFormat="1" x14ac:dyDescent="0.35">
      <c r="D1268" s="222"/>
      <c r="E1268" s="222"/>
      <c r="F1268" s="222"/>
      <c r="G1268" s="222"/>
      <c r="H1268" s="222"/>
    </row>
    <row r="1269" spans="4:8" s="223" customFormat="1" x14ac:dyDescent="0.35">
      <c r="D1269" s="222"/>
      <c r="E1269" s="222"/>
      <c r="F1269" s="222"/>
      <c r="G1269" s="222"/>
      <c r="H1269" s="222"/>
    </row>
    <row r="1270" spans="4:8" s="223" customFormat="1" x14ac:dyDescent="0.35">
      <c r="D1270" s="222"/>
      <c r="E1270" s="222"/>
      <c r="F1270" s="222"/>
      <c r="G1270" s="222"/>
      <c r="H1270" s="222"/>
    </row>
    <row r="1271" spans="4:8" s="223" customFormat="1" x14ac:dyDescent="0.35">
      <c r="D1271" s="222"/>
      <c r="E1271" s="222"/>
      <c r="F1271" s="222"/>
      <c r="G1271" s="222"/>
      <c r="H1271" s="222"/>
    </row>
    <row r="1272" spans="4:8" s="223" customFormat="1" x14ac:dyDescent="0.35">
      <c r="D1272" s="222"/>
      <c r="E1272" s="222"/>
      <c r="F1272" s="222"/>
      <c r="G1272" s="222"/>
      <c r="H1272" s="222"/>
    </row>
    <row r="1273" spans="4:8" s="223" customFormat="1" x14ac:dyDescent="0.35">
      <c r="D1273" s="222"/>
      <c r="E1273" s="222"/>
      <c r="F1273" s="222"/>
      <c r="G1273" s="222"/>
      <c r="H1273" s="222"/>
    </row>
    <row r="1274" spans="4:8" s="223" customFormat="1" x14ac:dyDescent="0.35">
      <c r="D1274" s="222"/>
      <c r="E1274" s="222"/>
      <c r="F1274" s="222"/>
      <c r="G1274" s="222"/>
      <c r="H1274" s="222"/>
    </row>
    <row r="1275" spans="4:8" s="223" customFormat="1" x14ac:dyDescent="0.35">
      <c r="D1275" s="222"/>
      <c r="E1275" s="222"/>
      <c r="F1275" s="222"/>
      <c r="G1275" s="222"/>
      <c r="H1275" s="222"/>
    </row>
    <row r="1276" spans="4:8" s="223" customFormat="1" x14ac:dyDescent="0.35">
      <c r="D1276" s="222"/>
      <c r="E1276" s="222"/>
      <c r="F1276" s="222"/>
      <c r="G1276" s="222"/>
      <c r="H1276" s="222"/>
    </row>
    <row r="1277" spans="4:8" s="223" customFormat="1" x14ac:dyDescent="0.35">
      <c r="D1277" s="222"/>
      <c r="E1277" s="222"/>
      <c r="F1277" s="222"/>
      <c r="G1277" s="222"/>
      <c r="H1277" s="222"/>
    </row>
    <row r="1278" spans="4:8" s="223" customFormat="1" x14ac:dyDescent="0.35">
      <c r="D1278" s="222"/>
      <c r="E1278" s="222"/>
      <c r="F1278" s="222"/>
      <c r="G1278" s="222"/>
      <c r="H1278" s="222"/>
    </row>
    <row r="1279" spans="4:8" s="223" customFormat="1" x14ac:dyDescent="0.35">
      <c r="D1279" s="222"/>
      <c r="E1279" s="222"/>
      <c r="F1279" s="222"/>
      <c r="G1279" s="222"/>
      <c r="H1279" s="222"/>
    </row>
    <row r="1280" spans="4:8" s="223" customFormat="1" x14ac:dyDescent="0.35">
      <c r="D1280" s="222"/>
      <c r="E1280" s="222"/>
      <c r="F1280" s="222"/>
      <c r="G1280" s="222"/>
      <c r="H1280" s="222"/>
    </row>
    <row r="1281" spans="4:8" s="223" customFormat="1" x14ac:dyDescent="0.35">
      <c r="D1281" s="222"/>
      <c r="E1281" s="222"/>
      <c r="F1281" s="222"/>
      <c r="G1281" s="222"/>
      <c r="H1281" s="222"/>
    </row>
    <row r="1282" spans="4:8" s="223" customFormat="1" x14ac:dyDescent="0.35">
      <c r="D1282" s="222"/>
      <c r="E1282" s="222"/>
      <c r="F1282" s="222"/>
      <c r="G1282" s="222"/>
      <c r="H1282" s="222"/>
    </row>
    <row r="1283" spans="4:8" s="223" customFormat="1" x14ac:dyDescent="0.35">
      <c r="D1283" s="222"/>
      <c r="E1283" s="222"/>
      <c r="F1283" s="222"/>
      <c r="G1283" s="222"/>
      <c r="H1283" s="222"/>
    </row>
    <row r="1284" spans="4:8" s="223" customFormat="1" x14ac:dyDescent="0.35">
      <c r="D1284" s="222"/>
      <c r="E1284" s="222"/>
      <c r="F1284" s="222"/>
      <c r="G1284" s="222"/>
      <c r="H1284" s="222"/>
    </row>
    <row r="1285" spans="4:8" s="223" customFormat="1" x14ac:dyDescent="0.35">
      <c r="D1285" s="222"/>
      <c r="E1285" s="222"/>
      <c r="F1285" s="222"/>
      <c r="G1285" s="222"/>
      <c r="H1285" s="222"/>
    </row>
    <row r="1286" spans="4:8" s="223" customFormat="1" x14ac:dyDescent="0.35">
      <c r="D1286" s="222"/>
      <c r="E1286" s="222"/>
      <c r="F1286" s="222"/>
      <c r="G1286" s="222"/>
      <c r="H1286" s="222"/>
    </row>
    <row r="1287" spans="4:8" s="223" customFormat="1" x14ac:dyDescent="0.35">
      <c r="D1287" s="222"/>
      <c r="E1287" s="222"/>
      <c r="F1287" s="222"/>
      <c r="G1287" s="222"/>
      <c r="H1287" s="222"/>
    </row>
    <row r="1288" spans="4:8" s="223" customFormat="1" x14ac:dyDescent="0.35">
      <c r="D1288" s="222"/>
      <c r="E1288" s="222"/>
      <c r="F1288" s="222"/>
      <c r="G1288" s="222"/>
      <c r="H1288" s="222"/>
    </row>
    <row r="1289" spans="4:8" s="223" customFormat="1" x14ac:dyDescent="0.35">
      <c r="D1289" s="222"/>
      <c r="E1289" s="222"/>
      <c r="F1289" s="222"/>
      <c r="G1289" s="222"/>
      <c r="H1289" s="222"/>
    </row>
    <row r="1290" spans="4:8" s="223" customFormat="1" x14ac:dyDescent="0.35">
      <c r="D1290" s="222"/>
      <c r="E1290" s="222"/>
      <c r="F1290" s="222"/>
      <c r="G1290" s="222"/>
      <c r="H1290" s="222"/>
    </row>
    <row r="1291" spans="4:8" s="223" customFormat="1" x14ac:dyDescent="0.35">
      <c r="D1291" s="222"/>
      <c r="E1291" s="222"/>
      <c r="F1291" s="222"/>
      <c r="G1291" s="222"/>
      <c r="H1291" s="222"/>
    </row>
    <row r="1292" spans="4:8" s="223" customFormat="1" x14ac:dyDescent="0.35">
      <c r="D1292" s="222"/>
      <c r="E1292" s="222"/>
      <c r="F1292" s="222"/>
      <c r="G1292" s="222"/>
      <c r="H1292" s="222"/>
    </row>
    <row r="1293" spans="4:8" s="223" customFormat="1" x14ac:dyDescent="0.35">
      <c r="D1293" s="222"/>
      <c r="E1293" s="222"/>
      <c r="F1293" s="222"/>
      <c r="G1293" s="222"/>
      <c r="H1293" s="222"/>
    </row>
    <row r="1294" spans="4:8" s="223" customFormat="1" x14ac:dyDescent="0.35">
      <c r="D1294" s="222"/>
      <c r="E1294" s="222"/>
      <c r="F1294" s="222"/>
      <c r="G1294" s="222"/>
      <c r="H1294" s="222"/>
    </row>
    <row r="1295" spans="4:8" s="223" customFormat="1" x14ac:dyDescent="0.35">
      <c r="D1295" s="222"/>
      <c r="E1295" s="222"/>
      <c r="F1295" s="222"/>
      <c r="G1295" s="222"/>
      <c r="H1295" s="222"/>
    </row>
    <row r="1296" spans="4:8" s="223" customFormat="1" x14ac:dyDescent="0.35">
      <c r="D1296" s="222"/>
      <c r="E1296" s="222"/>
      <c r="F1296" s="222"/>
      <c r="G1296" s="222"/>
      <c r="H1296" s="222"/>
    </row>
    <row r="1297" spans="4:8" s="223" customFormat="1" x14ac:dyDescent="0.35">
      <c r="D1297" s="222"/>
      <c r="E1297" s="222"/>
      <c r="F1297" s="222"/>
      <c r="G1297" s="222"/>
      <c r="H1297" s="222"/>
    </row>
    <row r="1298" spans="4:8" s="223" customFormat="1" x14ac:dyDescent="0.35">
      <c r="D1298" s="222"/>
      <c r="E1298" s="222"/>
      <c r="F1298" s="222"/>
      <c r="G1298" s="222"/>
      <c r="H1298" s="222"/>
    </row>
    <row r="1299" spans="4:8" s="223" customFormat="1" x14ac:dyDescent="0.35">
      <c r="D1299" s="222"/>
      <c r="E1299" s="222"/>
      <c r="F1299" s="222"/>
      <c r="G1299" s="222"/>
      <c r="H1299" s="222"/>
    </row>
    <row r="1300" spans="4:8" s="223" customFormat="1" x14ac:dyDescent="0.35">
      <c r="D1300" s="222"/>
      <c r="E1300" s="222"/>
      <c r="F1300" s="222"/>
      <c r="G1300" s="222"/>
      <c r="H1300" s="222"/>
    </row>
    <row r="1301" spans="4:8" s="223" customFormat="1" x14ac:dyDescent="0.35">
      <c r="D1301" s="222"/>
      <c r="E1301" s="222"/>
      <c r="F1301" s="222"/>
      <c r="G1301" s="222"/>
      <c r="H1301" s="222"/>
    </row>
    <row r="1302" spans="4:8" s="223" customFormat="1" x14ac:dyDescent="0.35">
      <c r="D1302" s="222"/>
      <c r="E1302" s="222"/>
      <c r="F1302" s="222"/>
      <c r="G1302" s="222"/>
      <c r="H1302" s="222"/>
    </row>
    <row r="1303" spans="4:8" s="223" customFormat="1" x14ac:dyDescent="0.35">
      <c r="D1303" s="222"/>
      <c r="E1303" s="222"/>
      <c r="F1303" s="222"/>
      <c r="G1303" s="222"/>
      <c r="H1303" s="222"/>
    </row>
    <row r="1304" spans="4:8" s="223" customFormat="1" x14ac:dyDescent="0.35">
      <c r="D1304" s="222"/>
      <c r="E1304" s="222"/>
      <c r="F1304" s="222"/>
      <c r="G1304" s="222"/>
      <c r="H1304" s="222"/>
    </row>
    <row r="1305" spans="4:8" s="223" customFormat="1" x14ac:dyDescent="0.35">
      <c r="D1305" s="222"/>
      <c r="E1305" s="222"/>
      <c r="F1305" s="222"/>
      <c r="G1305" s="222"/>
      <c r="H1305" s="222"/>
    </row>
    <row r="1306" spans="4:8" s="223" customFormat="1" x14ac:dyDescent="0.35">
      <c r="D1306" s="222"/>
      <c r="E1306" s="222"/>
      <c r="F1306" s="222"/>
      <c r="G1306" s="222"/>
      <c r="H1306" s="222"/>
    </row>
    <row r="1307" spans="4:8" s="223" customFormat="1" x14ac:dyDescent="0.35">
      <c r="D1307" s="222"/>
      <c r="E1307" s="222"/>
      <c r="F1307" s="222"/>
      <c r="G1307" s="222"/>
      <c r="H1307" s="222"/>
    </row>
    <row r="1308" spans="4:8" s="223" customFormat="1" x14ac:dyDescent="0.35">
      <c r="D1308" s="222"/>
      <c r="E1308" s="222"/>
      <c r="F1308" s="222"/>
      <c r="G1308" s="222"/>
      <c r="H1308" s="222"/>
    </row>
    <row r="1309" spans="4:8" s="223" customFormat="1" x14ac:dyDescent="0.35">
      <c r="D1309" s="222"/>
      <c r="E1309" s="222"/>
      <c r="F1309" s="222"/>
      <c r="G1309" s="222"/>
      <c r="H1309" s="222"/>
    </row>
    <row r="1310" spans="4:8" s="223" customFormat="1" x14ac:dyDescent="0.35">
      <c r="D1310" s="222"/>
      <c r="E1310" s="222"/>
      <c r="F1310" s="222"/>
      <c r="G1310" s="222"/>
      <c r="H1310" s="222"/>
    </row>
    <row r="1311" spans="4:8" s="223" customFormat="1" x14ac:dyDescent="0.35">
      <c r="D1311" s="222"/>
      <c r="E1311" s="222"/>
      <c r="F1311" s="222"/>
      <c r="G1311" s="222"/>
      <c r="H1311" s="222"/>
    </row>
    <row r="1312" spans="4:8" s="223" customFormat="1" x14ac:dyDescent="0.35">
      <c r="D1312" s="222"/>
      <c r="E1312" s="222"/>
      <c r="F1312" s="222"/>
      <c r="G1312" s="222"/>
      <c r="H1312" s="222"/>
    </row>
    <row r="1313" spans="4:8" s="223" customFormat="1" x14ac:dyDescent="0.35">
      <c r="D1313" s="222"/>
      <c r="E1313" s="222"/>
      <c r="F1313" s="222"/>
      <c r="G1313" s="222"/>
      <c r="H1313" s="222"/>
    </row>
    <row r="1314" spans="4:8" s="223" customFormat="1" x14ac:dyDescent="0.35">
      <c r="D1314" s="222"/>
      <c r="E1314" s="222"/>
      <c r="F1314" s="222"/>
      <c r="G1314" s="222"/>
      <c r="H1314" s="222"/>
    </row>
    <row r="1315" spans="4:8" s="223" customFormat="1" x14ac:dyDescent="0.35">
      <c r="D1315" s="222"/>
      <c r="E1315" s="222"/>
      <c r="F1315" s="222"/>
      <c r="G1315" s="222"/>
      <c r="H1315" s="222"/>
    </row>
    <row r="1316" spans="4:8" s="223" customFormat="1" x14ac:dyDescent="0.35">
      <c r="D1316" s="222"/>
      <c r="E1316" s="222"/>
      <c r="F1316" s="222"/>
      <c r="G1316" s="222"/>
      <c r="H1316" s="222"/>
    </row>
    <row r="1317" spans="4:8" s="223" customFormat="1" x14ac:dyDescent="0.35">
      <c r="D1317" s="222"/>
      <c r="E1317" s="222"/>
      <c r="F1317" s="222"/>
      <c r="G1317" s="222"/>
      <c r="H1317" s="222"/>
    </row>
    <row r="1318" spans="4:8" s="223" customFormat="1" x14ac:dyDescent="0.35">
      <c r="D1318" s="222"/>
      <c r="E1318" s="222"/>
      <c r="F1318" s="222"/>
      <c r="G1318" s="222"/>
      <c r="H1318" s="222"/>
    </row>
    <row r="1319" spans="4:8" s="223" customFormat="1" x14ac:dyDescent="0.35">
      <c r="D1319" s="222"/>
      <c r="E1319" s="222"/>
      <c r="F1319" s="222"/>
      <c r="G1319" s="222"/>
      <c r="H1319" s="222"/>
    </row>
    <row r="1320" spans="4:8" s="223" customFormat="1" x14ac:dyDescent="0.35">
      <c r="D1320" s="222"/>
      <c r="E1320" s="222"/>
      <c r="F1320" s="222"/>
      <c r="G1320" s="222"/>
      <c r="H1320" s="222"/>
    </row>
    <row r="1321" spans="4:8" s="223" customFormat="1" x14ac:dyDescent="0.35">
      <c r="D1321" s="222"/>
      <c r="E1321" s="222"/>
      <c r="F1321" s="222"/>
      <c r="G1321" s="222"/>
      <c r="H1321" s="222"/>
    </row>
    <row r="1322" spans="4:8" s="223" customFormat="1" x14ac:dyDescent="0.35">
      <c r="D1322" s="222"/>
      <c r="E1322" s="222"/>
      <c r="F1322" s="222"/>
      <c r="G1322" s="222"/>
      <c r="H1322" s="222"/>
    </row>
    <row r="1323" spans="4:8" s="223" customFormat="1" x14ac:dyDescent="0.35">
      <c r="D1323" s="222"/>
      <c r="E1323" s="222"/>
      <c r="F1323" s="222"/>
      <c r="G1323" s="222"/>
      <c r="H1323" s="222"/>
    </row>
    <row r="1324" spans="4:8" s="223" customFormat="1" x14ac:dyDescent="0.35">
      <c r="D1324" s="222"/>
      <c r="E1324" s="222"/>
      <c r="F1324" s="222"/>
      <c r="G1324" s="222"/>
      <c r="H1324" s="222"/>
    </row>
    <row r="1325" spans="4:8" s="223" customFormat="1" x14ac:dyDescent="0.35">
      <c r="D1325" s="222"/>
      <c r="E1325" s="222"/>
      <c r="F1325" s="222"/>
      <c r="G1325" s="222"/>
      <c r="H1325" s="222"/>
    </row>
    <row r="1326" spans="4:8" s="223" customFormat="1" x14ac:dyDescent="0.35">
      <c r="D1326" s="222"/>
      <c r="E1326" s="222"/>
      <c r="F1326" s="222"/>
      <c r="G1326" s="222"/>
      <c r="H1326" s="222"/>
    </row>
    <row r="1327" spans="4:8" s="223" customFormat="1" x14ac:dyDescent="0.35">
      <c r="D1327" s="222"/>
      <c r="E1327" s="222"/>
      <c r="F1327" s="222"/>
      <c r="G1327" s="222"/>
      <c r="H1327" s="222"/>
    </row>
    <row r="1328" spans="4:8" s="223" customFormat="1" x14ac:dyDescent="0.35">
      <c r="D1328" s="222"/>
      <c r="E1328" s="222"/>
      <c r="F1328" s="222"/>
      <c r="G1328" s="222"/>
      <c r="H1328" s="222"/>
    </row>
    <row r="1329" spans="4:8" s="223" customFormat="1" x14ac:dyDescent="0.35">
      <c r="D1329" s="222"/>
      <c r="E1329" s="222"/>
      <c r="F1329" s="222"/>
      <c r="G1329" s="222"/>
      <c r="H1329" s="222"/>
    </row>
    <row r="1330" spans="4:8" s="223" customFormat="1" x14ac:dyDescent="0.35">
      <c r="D1330" s="222"/>
      <c r="E1330" s="222"/>
      <c r="F1330" s="222"/>
      <c r="G1330" s="222"/>
      <c r="H1330" s="222"/>
    </row>
    <row r="1331" spans="4:8" s="223" customFormat="1" x14ac:dyDescent="0.35">
      <c r="D1331" s="222"/>
      <c r="E1331" s="222"/>
      <c r="F1331" s="222"/>
      <c r="G1331" s="222"/>
      <c r="H1331" s="222"/>
    </row>
    <row r="1332" spans="4:8" s="223" customFormat="1" x14ac:dyDescent="0.35">
      <c r="D1332" s="222"/>
      <c r="E1332" s="222"/>
      <c r="F1332" s="222"/>
      <c r="G1332" s="222"/>
      <c r="H1332" s="222"/>
    </row>
    <row r="1333" spans="4:8" s="223" customFormat="1" x14ac:dyDescent="0.35">
      <c r="D1333" s="222"/>
      <c r="E1333" s="222"/>
      <c r="F1333" s="222"/>
      <c r="G1333" s="222"/>
      <c r="H1333" s="222"/>
    </row>
    <row r="1334" spans="4:8" s="223" customFormat="1" x14ac:dyDescent="0.35">
      <c r="D1334" s="222"/>
      <c r="E1334" s="222"/>
      <c r="F1334" s="222"/>
      <c r="G1334" s="222"/>
      <c r="H1334" s="222"/>
    </row>
    <row r="1335" spans="4:8" s="223" customFormat="1" x14ac:dyDescent="0.35">
      <c r="D1335" s="222"/>
      <c r="E1335" s="222"/>
      <c r="F1335" s="222"/>
      <c r="G1335" s="222"/>
      <c r="H1335" s="222"/>
    </row>
    <row r="1336" spans="4:8" s="223" customFormat="1" x14ac:dyDescent="0.35">
      <c r="D1336" s="222"/>
      <c r="E1336" s="222"/>
      <c r="F1336" s="222"/>
      <c r="G1336" s="222"/>
      <c r="H1336" s="222"/>
    </row>
    <row r="1337" spans="4:8" s="223" customFormat="1" x14ac:dyDescent="0.35">
      <c r="D1337" s="222"/>
      <c r="E1337" s="222"/>
      <c r="F1337" s="222"/>
      <c r="G1337" s="222"/>
      <c r="H1337" s="222"/>
    </row>
    <row r="1338" spans="4:8" s="223" customFormat="1" x14ac:dyDescent="0.35">
      <c r="D1338" s="222"/>
      <c r="E1338" s="222"/>
      <c r="F1338" s="222"/>
      <c r="G1338" s="222"/>
      <c r="H1338" s="222"/>
    </row>
    <row r="1339" spans="4:8" s="223" customFormat="1" x14ac:dyDescent="0.35">
      <c r="D1339" s="222"/>
      <c r="E1339" s="222"/>
      <c r="F1339" s="222"/>
      <c r="G1339" s="222"/>
      <c r="H1339" s="222"/>
    </row>
    <row r="1340" spans="4:8" s="223" customFormat="1" x14ac:dyDescent="0.35">
      <c r="D1340" s="222"/>
      <c r="E1340" s="222"/>
      <c r="F1340" s="222"/>
      <c r="G1340" s="222"/>
      <c r="H1340" s="222"/>
    </row>
    <row r="1341" spans="4:8" s="223" customFormat="1" x14ac:dyDescent="0.35">
      <c r="D1341" s="222"/>
      <c r="E1341" s="222"/>
      <c r="F1341" s="222"/>
      <c r="G1341" s="222"/>
      <c r="H1341" s="222"/>
    </row>
    <row r="1342" spans="4:8" s="223" customFormat="1" x14ac:dyDescent="0.35">
      <c r="D1342" s="222"/>
      <c r="E1342" s="222"/>
      <c r="F1342" s="222"/>
      <c r="G1342" s="222"/>
      <c r="H1342" s="222"/>
    </row>
    <row r="1343" spans="4:8" s="223" customFormat="1" x14ac:dyDescent="0.35">
      <c r="D1343" s="222"/>
      <c r="E1343" s="222"/>
      <c r="F1343" s="222"/>
      <c r="G1343" s="222"/>
      <c r="H1343" s="222"/>
    </row>
    <row r="1344" spans="4:8" s="223" customFormat="1" x14ac:dyDescent="0.35">
      <c r="D1344" s="222"/>
      <c r="E1344" s="222"/>
      <c r="F1344" s="222"/>
      <c r="G1344" s="222"/>
      <c r="H1344" s="222"/>
    </row>
    <row r="1345" spans="4:8" s="223" customFormat="1" x14ac:dyDescent="0.35">
      <c r="D1345" s="222"/>
      <c r="E1345" s="222"/>
      <c r="F1345" s="222"/>
      <c r="G1345" s="222"/>
      <c r="H1345" s="222"/>
    </row>
    <row r="1346" spans="4:8" s="223" customFormat="1" x14ac:dyDescent="0.35">
      <c r="D1346" s="222"/>
      <c r="E1346" s="222"/>
      <c r="F1346" s="222"/>
      <c r="G1346" s="222"/>
      <c r="H1346" s="222"/>
    </row>
    <row r="1347" spans="4:8" s="223" customFormat="1" x14ac:dyDescent="0.35">
      <c r="D1347" s="222"/>
      <c r="E1347" s="222"/>
      <c r="F1347" s="222"/>
      <c r="G1347" s="222"/>
      <c r="H1347" s="222"/>
    </row>
    <row r="1348" spans="4:8" s="223" customFormat="1" x14ac:dyDescent="0.35">
      <c r="D1348" s="222"/>
      <c r="E1348" s="222"/>
      <c r="F1348" s="222"/>
      <c r="G1348" s="222"/>
      <c r="H1348" s="222"/>
    </row>
    <row r="1349" spans="4:8" s="223" customFormat="1" x14ac:dyDescent="0.35">
      <c r="D1349" s="222"/>
      <c r="E1349" s="222"/>
      <c r="F1349" s="222"/>
      <c r="G1349" s="222"/>
      <c r="H1349" s="222"/>
    </row>
    <row r="1350" spans="4:8" s="223" customFormat="1" x14ac:dyDescent="0.35">
      <c r="D1350" s="222"/>
      <c r="E1350" s="222"/>
      <c r="F1350" s="222"/>
      <c r="G1350" s="222"/>
      <c r="H1350" s="222"/>
    </row>
    <row r="1351" spans="4:8" s="223" customFormat="1" x14ac:dyDescent="0.35">
      <c r="D1351" s="222"/>
      <c r="E1351" s="222"/>
      <c r="F1351" s="222"/>
      <c r="G1351" s="222"/>
      <c r="H1351" s="222"/>
    </row>
    <row r="1352" spans="4:8" s="223" customFormat="1" x14ac:dyDescent="0.35">
      <c r="D1352" s="222"/>
      <c r="E1352" s="222"/>
      <c r="F1352" s="222"/>
      <c r="G1352" s="222"/>
      <c r="H1352" s="222"/>
    </row>
    <row r="1353" spans="4:8" s="223" customFormat="1" x14ac:dyDescent="0.35">
      <c r="D1353" s="222"/>
      <c r="E1353" s="222"/>
      <c r="F1353" s="222"/>
      <c r="G1353" s="222"/>
      <c r="H1353" s="222"/>
    </row>
    <row r="1354" spans="4:8" s="223" customFormat="1" x14ac:dyDescent="0.35">
      <c r="D1354" s="222"/>
      <c r="E1354" s="222"/>
      <c r="F1354" s="222"/>
      <c r="G1354" s="222"/>
      <c r="H1354" s="222"/>
    </row>
    <row r="1355" spans="4:8" s="223" customFormat="1" x14ac:dyDescent="0.35">
      <c r="D1355" s="222"/>
      <c r="E1355" s="222"/>
      <c r="F1355" s="222"/>
      <c r="G1355" s="222"/>
      <c r="H1355" s="222"/>
    </row>
    <row r="1356" spans="4:8" s="223" customFormat="1" x14ac:dyDescent="0.35">
      <c r="D1356" s="222"/>
      <c r="E1356" s="222"/>
      <c r="F1356" s="222"/>
      <c r="G1356" s="222"/>
      <c r="H1356" s="222"/>
    </row>
    <row r="1357" spans="4:8" s="223" customFormat="1" x14ac:dyDescent="0.35">
      <c r="D1357" s="222"/>
      <c r="E1357" s="222"/>
      <c r="F1357" s="222"/>
      <c r="G1357" s="222"/>
      <c r="H1357" s="222"/>
    </row>
    <row r="1358" spans="4:8" s="223" customFormat="1" x14ac:dyDescent="0.35">
      <c r="D1358" s="222"/>
      <c r="E1358" s="222"/>
      <c r="F1358" s="222"/>
      <c r="G1358" s="222"/>
      <c r="H1358" s="222"/>
    </row>
    <row r="1359" spans="4:8" s="223" customFormat="1" x14ac:dyDescent="0.35">
      <c r="D1359" s="222"/>
      <c r="E1359" s="222"/>
      <c r="F1359" s="222"/>
      <c r="G1359" s="222"/>
      <c r="H1359" s="222"/>
    </row>
    <row r="1360" spans="4:8" s="223" customFormat="1" x14ac:dyDescent="0.35">
      <c r="D1360" s="222"/>
      <c r="E1360" s="222"/>
      <c r="F1360" s="222"/>
      <c r="G1360" s="222"/>
      <c r="H1360" s="222"/>
    </row>
    <row r="1361" spans="4:8" s="223" customFormat="1" x14ac:dyDescent="0.35">
      <c r="D1361" s="222"/>
      <c r="E1361" s="222"/>
      <c r="F1361" s="222"/>
      <c r="G1361" s="222"/>
      <c r="H1361" s="222"/>
    </row>
    <row r="1362" spans="4:8" s="223" customFormat="1" x14ac:dyDescent="0.35">
      <c r="D1362" s="222"/>
      <c r="E1362" s="222"/>
      <c r="F1362" s="222"/>
      <c r="G1362" s="222"/>
      <c r="H1362" s="222"/>
    </row>
    <row r="1363" spans="4:8" s="223" customFormat="1" x14ac:dyDescent="0.35">
      <c r="D1363" s="222"/>
      <c r="E1363" s="222"/>
      <c r="F1363" s="222"/>
      <c r="G1363" s="222"/>
      <c r="H1363" s="222"/>
    </row>
    <row r="1364" spans="4:8" s="223" customFormat="1" x14ac:dyDescent="0.35">
      <c r="D1364" s="222"/>
      <c r="E1364" s="222"/>
      <c r="F1364" s="222"/>
      <c r="G1364" s="222"/>
      <c r="H1364" s="222"/>
    </row>
    <row r="1365" spans="4:8" s="223" customFormat="1" x14ac:dyDescent="0.35">
      <c r="D1365" s="222"/>
      <c r="E1365" s="222"/>
      <c r="F1365" s="222"/>
      <c r="G1365" s="222"/>
      <c r="H1365" s="222"/>
    </row>
    <row r="1366" spans="4:8" s="223" customFormat="1" x14ac:dyDescent="0.35">
      <c r="D1366" s="222"/>
      <c r="E1366" s="222"/>
      <c r="F1366" s="222"/>
      <c r="G1366" s="222"/>
      <c r="H1366" s="222"/>
    </row>
    <row r="1367" spans="4:8" s="223" customFormat="1" x14ac:dyDescent="0.35">
      <c r="D1367" s="222"/>
      <c r="E1367" s="222"/>
      <c r="F1367" s="222"/>
      <c r="G1367" s="222"/>
      <c r="H1367" s="222"/>
    </row>
    <row r="1368" spans="4:8" s="223" customFormat="1" x14ac:dyDescent="0.35">
      <c r="D1368" s="222"/>
      <c r="E1368" s="222"/>
      <c r="F1368" s="222"/>
      <c r="G1368" s="222"/>
      <c r="H1368" s="222"/>
    </row>
    <row r="1369" spans="4:8" s="223" customFormat="1" x14ac:dyDescent="0.35">
      <c r="D1369" s="222"/>
      <c r="E1369" s="222"/>
      <c r="F1369" s="222"/>
      <c r="G1369" s="222"/>
      <c r="H1369" s="222"/>
    </row>
    <row r="1370" spans="4:8" s="223" customFormat="1" x14ac:dyDescent="0.35">
      <c r="D1370" s="222"/>
      <c r="E1370" s="222"/>
      <c r="F1370" s="222"/>
      <c r="G1370" s="222"/>
      <c r="H1370" s="222"/>
    </row>
    <row r="1371" spans="4:8" s="223" customFormat="1" x14ac:dyDescent="0.35">
      <c r="D1371" s="222"/>
      <c r="E1371" s="222"/>
      <c r="F1371" s="222"/>
      <c r="G1371" s="222"/>
      <c r="H1371" s="222"/>
    </row>
    <row r="1372" spans="4:8" s="223" customFormat="1" x14ac:dyDescent="0.35">
      <c r="D1372" s="222"/>
      <c r="E1372" s="222"/>
      <c r="F1372" s="222"/>
      <c r="G1372" s="222"/>
      <c r="H1372" s="222"/>
    </row>
    <row r="1373" spans="4:8" s="223" customFormat="1" x14ac:dyDescent="0.35">
      <c r="D1373" s="222"/>
      <c r="E1373" s="222"/>
      <c r="F1373" s="222"/>
      <c r="G1373" s="222"/>
      <c r="H1373" s="222"/>
    </row>
    <row r="1374" spans="4:8" s="223" customFormat="1" x14ac:dyDescent="0.35">
      <c r="D1374" s="222"/>
      <c r="E1374" s="222"/>
      <c r="F1374" s="222"/>
      <c r="G1374" s="222"/>
      <c r="H1374" s="222"/>
    </row>
    <row r="1375" spans="4:8" s="223" customFormat="1" x14ac:dyDescent="0.35">
      <c r="D1375" s="222"/>
      <c r="E1375" s="222"/>
      <c r="F1375" s="222"/>
      <c r="G1375" s="222"/>
      <c r="H1375" s="222"/>
    </row>
    <row r="1376" spans="4:8" s="223" customFormat="1" x14ac:dyDescent="0.35">
      <c r="D1376" s="222"/>
      <c r="E1376" s="222"/>
      <c r="F1376" s="222"/>
      <c r="G1376" s="222"/>
      <c r="H1376" s="222"/>
    </row>
    <row r="1377" spans="4:8" s="223" customFormat="1" x14ac:dyDescent="0.35">
      <c r="D1377" s="222"/>
      <c r="E1377" s="222"/>
      <c r="F1377" s="222"/>
      <c r="G1377" s="222"/>
      <c r="H1377" s="222"/>
    </row>
    <row r="1378" spans="4:8" s="223" customFormat="1" x14ac:dyDescent="0.35">
      <c r="D1378" s="222"/>
      <c r="E1378" s="222"/>
      <c r="F1378" s="222"/>
      <c r="G1378" s="222"/>
      <c r="H1378" s="222"/>
    </row>
    <row r="1379" spans="4:8" s="223" customFormat="1" x14ac:dyDescent="0.35">
      <c r="D1379" s="222"/>
      <c r="E1379" s="222"/>
      <c r="F1379" s="222"/>
      <c r="G1379" s="222"/>
      <c r="H1379" s="222"/>
    </row>
    <row r="1380" spans="4:8" s="223" customFormat="1" x14ac:dyDescent="0.35">
      <c r="D1380" s="222"/>
      <c r="E1380" s="222"/>
      <c r="F1380" s="222"/>
      <c r="G1380" s="222"/>
      <c r="H1380" s="222"/>
    </row>
    <row r="1381" spans="4:8" s="223" customFormat="1" x14ac:dyDescent="0.35">
      <c r="D1381" s="222"/>
      <c r="E1381" s="222"/>
      <c r="F1381" s="222"/>
      <c r="G1381" s="222"/>
      <c r="H1381" s="222"/>
    </row>
    <row r="1382" spans="4:8" s="223" customFormat="1" x14ac:dyDescent="0.35">
      <c r="D1382" s="222"/>
      <c r="E1382" s="222"/>
      <c r="F1382" s="222"/>
      <c r="G1382" s="222"/>
      <c r="H1382" s="222"/>
    </row>
    <row r="1383" spans="4:8" s="223" customFormat="1" x14ac:dyDescent="0.35">
      <c r="D1383" s="222"/>
      <c r="E1383" s="222"/>
      <c r="F1383" s="222"/>
      <c r="G1383" s="222"/>
      <c r="H1383" s="222"/>
    </row>
    <row r="1384" spans="4:8" s="223" customFormat="1" x14ac:dyDescent="0.35">
      <c r="D1384" s="222"/>
      <c r="E1384" s="222"/>
      <c r="F1384" s="222"/>
      <c r="G1384" s="222"/>
      <c r="H1384" s="222"/>
    </row>
    <row r="1385" spans="4:8" s="223" customFormat="1" x14ac:dyDescent="0.35">
      <c r="D1385" s="222"/>
      <c r="E1385" s="222"/>
      <c r="F1385" s="222"/>
      <c r="G1385" s="222"/>
      <c r="H1385" s="222"/>
    </row>
    <row r="1386" spans="4:8" s="223" customFormat="1" x14ac:dyDescent="0.35">
      <c r="D1386" s="222"/>
      <c r="E1386" s="222"/>
      <c r="F1386" s="222"/>
      <c r="G1386" s="222"/>
      <c r="H1386" s="222"/>
    </row>
    <row r="1387" spans="4:8" s="223" customFormat="1" x14ac:dyDescent="0.35">
      <c r="D1387" s="222"/>
      <c r="E1387" s="222"/>
      <c r="F1387" s="222"/>
      <c r="G1387" s="222"/>
      <c r="H1387" s="222"/>
    </row>
    <row r="1388" spans="4:8" s="223" customFormat="1" x14ac:dyDescent="0.35">
      <c r="D1388" s="222"/>
      <c r="E1388" s="222"/>
      <c r="F1388" s="222"/>
      <c r="G1388" s="222"/>
      <c r="H1388" s="222"/>
    </row>
    <row r="1389" spans="4:8" s="223" customFormat="1" x14ac:dyDescent="0.35">
      <c r="D1389" s="222"/>
      <c r="E1389" s="222"/>
      <c r="F1389" s="222"/>
      <c r="G1389" s="222"/>
      <c r="H1389" s="222"/>
    </row>
    <row r="1390" spans="4:8" s="223" customFormat="1" x14ac:dyDescent="0.35">
      <c r="D1390" s="222"/>
      <c r="E1390" s="222"/>
      <c r="F1390" s="222"/>
      <c r="G1390" s="222"/>
      <c r="H1390" s="222"/>
    </row>
    <row r="1391" spans="4:8" s="223" customFormat="1" x14ac:dyDescent="0.35">
      <c r="D1391" s="222"/>
      <c r="E1391" s="222"/>
      <c r="F1391" s="222"/>
      <c r="G1391" s="222"/>
      <c r="H1391" s="222"/>
    </row>
    <row r="1392" spans="4:8" s="223" customFormat="1" x14ac:dyDescent="0.35">
      <c r="D1392" s="222"/>
      <c r="E1392" s="222"/>
      <c r="F1392" s="222"/>
      <c r="G1392" s="222"/>
      <c r="H1392" s="222"/>
    </row>
    <row r="1393" spans="4:8" s="223" customFormat="1" x14ac:dyDescent="0.35">
      <c r="D1393" s="222"/>
      <c r="E1393" s="222"/>
      <c r="F1393" s="222"/>
      <c r="G1393" s="222"/>
      <c r="H1393" s="222"/>
    </row>
    <row r="1394" spans="4:8" s="223" customFormat="1" x14ac:dyDescent="0.35">
      <c r="D1394" s="222"/>
      <c r="E1394" s="222"/>
      <c r="F1394" s="222"/>
      <c r="G1394" s="222"/>
      <c r="H1394" s="222"/>
    </row>
    <row r="1395" spans="4:8" s="223" customFormat="1" x14ac:dyDescent="0.35">
      <c r="D1395" s="222"/>
      <c r="E1395" s="222"/>
      <c r="F1395" s="222"/>
      <c r="G1395" s="222"/>
      <c r="H1395" s="222"/>
    </row>
    <row r="1396" spans="4:8" s="223" customFormat="1" x14ac:dyDescent="0.35">
      <c r="D1396" s="222"/>
      <c r="E1396" s="222"/>
      <c r="F1396" s="222"/>
      <c r="G1396" s="222"/>
      <c r="H1396" s="222"/>
    </row>
    <row r="1397" spans="4:8" s="223" customFormat="1" x14ac:dyDescent="0.35">
      <c r="D1397" s="222"/>
      <c r="E1397" s="222"/>
      <c r="F1397" s="222"/>
      <c r="G1397" s="222"/>
      <c r="H1397" s="222"/>
    </row>
    <row r="1398" spans="4:8" s="223" customFormat="1" x14ac:dyDescent="0.35">
      <c r="D1398" s="222"/>
      <c r="E1398" s="222"/>
      <c r="F1398" s="222"/>
      <c r="G1398" s="222"/>
      <c r="H1398" s="222"/>
    </row>
    <row r="1399" spans="4:8" s="223" customFormat="1" x14ac:dyDescent="0.35">
      <c r="D1399" s="222"/>
      <c r="E1399" s="222"/>
      <c r="F1399" s="222"/>
      <c r="G1399" s="222"/>
      <c r="H1399" s="222"/>
    </row>
    <row r="1400" spans="4:8" s="223" customFormat="1" x14ac:dyDescent="0.35">
      <c r="D1400" s="222"/>
      <c r="E1400" s="222"/>
      <c r="F1400" s="222"/>
      <c r="G1400" s="222"/>
      <c r="H1400" s="222"/>
    </row>
    <row r="1401" spans="4:8" s="223" customFormat="1" x14ac:dyDescent="0.35">
      <c r="D1401" s="222"/>
      <c r="E1401" s="222"/>
      <c r="F1401" s="222"/>
      <c r="G1401" s="222"/>
      <c r="H1401" s="222"/>
    </row>
    <row r="1402" spans="4:8" s="223" customFormat="1" x14ac:dyDescent="0.35">
      <c r="D1402" s="222"/>
      <c r="E1402" s="222"/>
      <c r="F1402" s="222"/>
      <c r="G1402" s="222"/>
      <c r="H1402" s="222"/>
    </row>
    <row r="1403" spans="4:8" s="223" customFormat="1" x14ac:dyDescent="0.35">
      <c r="D1403" s="222"/>
      <c r="E1403" s="222"/>
      <c r="F1403" s="222"/>
      <c r="G1403" s="222"/>
      <c r="H1403" s="222"/>
    </row>
    <row r="1404" spans="4:8" s="223" customFormat="1" x14ac:dyDescent="0.35">
      <c r="D1404" s="222"/>
      <c r="E1404" s="222"/>
      <c r="F1404" s="222"/>
      <c r="G1404" s="222"/>
      <c r="H1404" s="222"/>
    </row>
    <row r="1405" spans="4:8" s="223" customFormat="1" x14ac:dyDescent="0.35">
      <c r="D1405" s="222"/>
      <c r="E1405" s="222"/>
      <c r="F1405" s="222"/>
      <c r="G1405" s="222"/>
      <c r="H1405" s="222"/>
    </row>
    <row r="1406" spans="4:8" s="223" customFormat="1" x14ac:dyDescent="0.35">
      <c r="D1406" s="222"/>
      <c r="E1406" s="222"/>
      <c r="F1406" s="222"/>
      <c r="G1406" s="222"/>
      <c r="H1406" s="222"/>
    </row>
    <row r="1407" spans="4:8" s="223" customFormat="1" x14ac:dyDescent="0.35">
      <c r="D1407" s="222"/>
      <c r="E1407" s="222"/>
      <c r="F1407" s="222"/>
      <c r="G1407" s="222"/>
      <c r="H1407" s="222"/>
    </row>
    <row r="1408" spans="4:8" s="223" customFormat="1" x14ac:dyDescent="0.35">
      <c r="D1408" s="222"/>
      <c r="E1408" s="222"/>
      <c r="F1408" s="222"/>
      <c r="G1408" s="222"/>
      <c r="H1408" s="222"/>
    </row>
    <row r="1409" spans="4:8" s="223" customFormat="1" x14ac:dyDescent="0.35">
      <c r="D1409" s="222"/>
      <c r="E1409" s="222"/>
      <c r="F1409" s="222"/>
      <c r="G1409" s="222"/>
      <c r="H1409" s="222"/>
    </row>
    <row r="1410" spans="4:8" s="223" customFormat="1" x14ac:dyDescent="0.35">
      <c r="D1410" s="222"/>
      <c r="E1410" s="222"/>
      <c r="F1410" s="222"/>
      <c r="G1410" s="222"/>
      <c r="H1410" s="222"/>
    </row>
    <row r="1411" spans="4:8" s="223" customFormat="1" x14ac:dyDescent="0.35">
      <c r="D1411" s="222"/>
      <c r="E1411" s="222"/>
      <c r="F1411" s="222"/>
      <c r="G1411" s="222"/>
      <c r="H1411" s="222"/>
    </row>
    <row r="1412" spans="4:8" s="223" customFormat="1" x14ac:dyDescent="0.35">
      <c r="D1412" s="222"/>
      <c r="E1412" s="222"/>
      <c r="F1412" s="222"/>
      <c r="G1412" s="222"/>
      <c r="H1412" s="222"/>
    </row>
    <row r="1413" spans="4:8" s="223" customFormat="1" x14ac:dyDescent="0.35">
      <c r="D1413" s="222"/>
      <c r="E1413" s="222"/>
      <c r="F1413" s="222"/>
      <c r="G1413" s="222"/>
      <c r="H1413" s="222"/>
    </row>
    <row r="1414" spans="4:8" s="223" customFormat="1" x14ac:dyDescent="0.35">
      <c r="D1414" s="222"/>
      <c r="E1414" s="222"/>
      <c r="F1414" s="222"/>
      <c r="G1414" s="222"/>
      <c r="H1414" s="222"/>
    </row>
    <row r="1415" spans="4:8" s="223" customFormat="1" x14ac:dyDescent="0.35">
      <c r="D1415" s="222"/>
      <c r="E1415" s="222"/>
      <c r="F1415" s="222"/>
      <c r="G1415" s="222"/>
      <c r="H1415" s="222"/>
    </row>
    <row r="1416" spans="4:8" s="223" customFormat="1" x14ac:dyDescent="0.35">
      <c r="D1416" s="222"/>
      <c r="E1416" s="222"/>
      <c r="F1416" s="222"/>
      <c r="G1416" s="222"/>
      <c r="H1416" s="222"/>
    </row>
    <row r="1417" spans="4:8" s="223" customFormat="1" x14ac:dyDescent="0.35">
      <c r="D1417" s="222"/>
      <c r="E1417" s="222"/>
      <c r="F1417" s="222"/>
      <c r="G1417" s="222"/>
      <c r="H1417" s="222"/>
    </row>
    <row r="1418" spans="4:8" s="223" customFormat="1" x14ac:dyDescent="0.35">
      <c r="D1418" s="222"/>
      <c r="E1418" s="222"/>
      <c r="F1418" s="222"/>
      <c r="G1418" s="222"/>
      <c r="H1418" s="222"/>
    </row>
    <row r="1419" spans="4:8" s="223" customFormat="1" x14ac:dyDescent="0.35">
      <c r="D1419" s="222"/>
      <c r="E1419" s="222"/>
      <c r="F1419" s="222"/>
      <c r="G1419" s="222"/>
      <c r="H1419" s="222"/>
    </row>
    <row r="1420" spans="4:8" s="223" customFormat="1" x14ac:dyDescent="0.35">
      <c r="D1420" s="222"/>
      <c r="E1420" s="222"/>
      <c r="F1420" s="222"/>
      <c r="G1420" s="222"/>
      <c r="H1420" s="222"/>
    </row>
    <row r="1421" spans="4:8" s="223" customFormat="1" x14ac:dyDescent="0.35">
      <c r="D1421" s="222"/>
      <c r="E1421" s="222"/>
      <c r="F1421" s="222"/>
      <c r="G1421" s="222"/>
      <c r="H1421" s="222"/>
    </row>
    <row r="1422" spans="4:8" s="223" customFormat="1" x14ac:dyDescent="0.35">
      <c r="D1422" s="222"/>
      <c r="E1422" s="222"/>
      <c r="F1422" s="222"/>
      <c r="G1422" s="222"/>
      <c r="H1422" s="222"/>
    </row>
    <row r="1423" spans="4:8" s="223" customFormat="1" x14ac:dyDescent="0.35">
      <c r="D1423" s="222"/>
      <c r="E1423" s="222"/>
      <c r="F1423" s="222"/>
      <c r="G1423" s="222"/>
      <c r="H1423" s="222"/>
    </row>
    <row r="1424" spans="4:8" s="223" customFormat="1" x14ac:dyDescent="0.35">
      <c r="D1424" s="222"/>
      <c r="E1424" s="222"/>
      <c r="F1424" s="222"/>
      <c r="G1424" s="222"/>
      <c r="H1424" s="222"/>
    </row>
    <row r="1425" spans="4:8" s="223" customFormat="1" x14ac:dyDescent="0.35">
      <c r="D1425" s="222"/>
      <c r="E1425" s="222"/>
      <c r="F1425" s="222"/>
      <c r="G1425" s="222"/>
      <c r="H1425" s="222"/>
    </row>
    <row r="1426" spans="4:8" s="223" customFormat="1" x14ac:dyDescent="0.35">
      <c r="D1426" s="222"/>
      <c r="E1426" s="222"/>
      <c r="F1426" s="222"/>
      <c r="G1426" s="222"/>
      <c r="H1426" s="222"/>
    </row>
    <row r="1427" spans="4:8" s="223" customFormat="1" x14ac:dyDescent="0.35">
      <c r="D1427" s="222"/>
      <c r="E1427" s="222"/>
      <c r="F1427" s="222"/>
      <c r="G1427" s="222"/>
      <c r="H1427" s="222"/>
    </row>
    <row r="1428" spans="4:8" s="223" customFormat="1" x14ac:dyDescent="0.35">
      <c r="D1428" s="222"/>
      <c r="E1428" s="222"/>
      <c r="F1428" s="222"/>
      <c r="G1428" s="222"/>
      <c r="H1428" s="222"/>
    </row>
    <row r="1429" spans="4:8" s="223" customFormat="1" x14ac:dyDescent="0.35">
      <c r="D1429" s="222"/>
      <c r="E1429" s="222"/>
      <c r="F1429" s="222"/>
      <c r="G1429" s="222"/>
      <c r="H1429" s="222"/>
    </row>
    <row r="1430" spans="4:8" s="223" customFormat="1" x14ac:dyDescent="0.35">
      <c r="D1430" s="222"/>
      <c r="E1430" s="222"/>
      <c r="F1430" s="222"/>
      <c r="G1430" s="222"/>
      <c r="H1430" s="222"/>
    </row>
    <row r="1431" spans="4:8" s="223" customFormat="1" x14ac:dyDescent="0.35">
      <c r="D1431" s="222"/>
      <c r="E1431" s="222"/>
      <c r="F1431" s="222"/>
      <c r="G1431" s="222"/>
      <c r="H1431" s="222"/>
    </row>
    <row r="1432" spans="4:8" s="223" customFormat="1" x14ac:dyDescent="0.35">
      <c r="D1432" s="222"/>
      <c r="E1432" s="222"/>
      <c r="F1432" s="222"/>
      <c r="G1432" s="222"/>
      <c r="H1432" s="222"/>
    </row>
    <row r="1433" spans="4:8" s="223" customFormat="1" x14ac:dyDescent="0.35">
      <c r="D1433" s="222"/>
      <c r="E1433" s="222"/>
      <c r="F1433" s="222"/>
      <c r="G1433" s="222"/>
      <c r="H1433" s="222"/>
    </row>
    <row r="1434" spans="4:8" s="223" customFormat="1" x14ac:dyDescent="0.35">
      <c r="D1434" s="222"/>
      <c r="E1434" s="222"/>
      <c r="F1434" s="222"/>
      <c r="G1434" s="222"/>
      <c r="H1434" s="222"/>
    </row>
    <row r="1435" spans="4:8" s="223" customFormat="1" x14ac:dyDescent="0.35">
      <c r="D1435" s="222"/>
      <c r="E1435" s="222"/>
      <c r="F1435" s="222"/>
      <c r="G1435" s="222"/>
      <c r="H1435" s="222"/>
    </row>
    <row r="1436" spans="4:8" s="223" customFormat="1" x14ac:dyDescent="0.35">
      <c r="D1436" s="222"/>
      <c r="E1436" s="222"/>
      <c r="F1436" s="222"/>
      <c r="G1436" s="222"/>
      <c r="H1436" s="222"/>
    </row>
    <row r="1437" spans="4:8" s="223" customFormat="1" x14ac:dyDescent="0.35">
      <c r="D1437" s="222"/>
      <c r="E1437" s="222"/>
      <c r="F1437" s="222"/>
      <c r="G1437" s="222"/>
      <c r="H1437" s="222"/>
    </row>
    <row r="1438" spans="4:8" s="223" customFormat="1" x14ac:dyDescent="0.35">
      <c r="D1438" s="222"/>
      <c r="E1438" s="222"/>
      <c r="F1438" s="222"/>
      <c r="G1438" s="222"/>
      <c r="H1438" s="222"/>
    </row>
    <row r="1439" spans="4:8" s="223" customFormat="1" x14ac:dyDescent="0.35">
      <c r="D1439" s="222"/>
      <c r="E1439" s="222"/>
      <c r="F1439" s="222"/>
      <c r="G1439" s="222"/>
      <c r="H1439" s="222"/>
    </row>
    <row r="1440" spans="4:8" s="223" customFormat="1" x14ac:dyDescent="0.35">
      <c r="D1440" s="222"/>
      <c r="E1440" s="222"/>
      <c r="F1440" s="222"/>
      <c r="G1440" s="222"/>
      <c r="H1440" s="222"/>
    </row>
    <row r="1441" spans="4:8" s="223" customFormat="1" x14ac:dyDescent="0.35">
      <c r="D1441" s="222"/>
      <c r="E1441" s="222"/>
      <c r="F1441" s="222"/>
      <c r="G1441" s="222"/>
      <c r="H1441" s="222"/>
    </row>
    <row r="1442" spans="4:8" s="223" customFormat="1" x14ac:dyDescent="0.35">
      <c r="D1442" s="222"/>
      <c r="E1442" s="222"/>
      <c r="F1442" s="222"/>
      <c r="G1442" s="222"/>
      <c r="H1442" s="222"/>
    </row>
    <row r="1443" spans="4:8" s="223" customFormat="1" x14ac:dyDescent="0.35">
      <c r="D1443" s="222"/>
      <c r="E1443" s="222"/>
      <c r="F1443" s="222"/>
      <c r="G1443" s="222"/>
      <c r="H1443" s="222"/>
    </row>
    <row r="1444" spans="4:8" s="223" customFormat="1" x14ac:dyDescent="0.35">
      <c r="D1444" s="222"/>
      <c r="E1444" s="222"/>
      <c r="F1444" s="222"/>
      <c r="G1444" s="222"/>
      <c r="H1444" s="222"/>
    </row>
    <row r="1445" spans="4:8" s="223" customFormat="1" x14ac:dyDescent="0.35">
      <c r="D1445" s="222"/>
      <c r="E1445" s="222"/>
      <c r="F1445" s="222"/>
      <c r="G1445" s="222"/>
      <c r="H1445" s="222"/>
    </row>
    <row r="1446" spans="4:8" s="223" customFormat="1" x14ac:dyDescent="0.35">
      <c r="D1446" s="222"/>
      <c r="E1446" s="222"/>
      <c r="F1446" s="222"/>
      <c r="G1446" s="222"/>
      <c r="H1446" s="222"/>
    </row>
    <row r="1447" spans="4:8" s="223" customFormat="1" x14ac:dyDescent="0.35">
      <c r="D1447" s="222"/>
      <c r="E1447" s="222"/>
      <c r="F1447" s="222"/>
      <c r="G1447" s="222"/>
      <c r="H1447" s="222"/>
    </row>
    <row r="1448" spans="4:8" s="223" customFormat="1" x14ac:dyDescent="0.35">
      <c r="D1448" s="222"/>
      <c r="E1448" s="222"/>
      <c r="F1448" s="222"/>
      <c r="G1448" s="222"/>
      <c r="H1448" s="222"/>
    </row>
    <row r="1449" spans="4:8" s="223" customFormat="1" x14ac:dyDescent="0.35">
      <c r="D1449" s="222"/>
      <c r="E1449" s="222"/>
      <c r="F1449" s="222"/>
      <c r="G1449" s="222"/>
      <c r="H1449" s="222"/>
    </row>
    <row r="1450" spans="4:8" s="223" customFormat="1" x14ac:dyDescent="0.35">
      <c r="D1450" s="222"/>
      <c r="E1450" s="222"/>
      <c r="F1450" s="222"/>
      <c r="G1450" s="222"/>
      <c r="H1450" s="222"/>
    </row>
    <row r="1451" spans="4:8" s="223" customFormat="1" x14ac:dyDescent="0.35">
      <c r="D1451" s="222"/>
      <c r="E1451" s="222"/>
      <c r="F1451" s="222"/>
      <c r="G1451" s="222"/>
      <c r="H1451" s="222"/>
    </row>
    <row r="1452" spans="4:8" s="223" customFormat="1" x14ac:dyDescent="0.35">
      <c r="D1452" s="222"/>
      <c r="E1452" s="222"/>
      <c r="F1452" s="222"/>
      <c r="G1452" s="222"/>
      <c r="H1452" s="222"/>
    </row>
    <row r="1453" spans="4:8" s="223" customFormat="1" x14ac:dyDescent="0.35">
      <c r="D1453" s="222"/>
      <c r="E1453" s="222"/>
      <c r="F1453" s="222"/>
      <c r="G1453" s="222"/>
      <c r="H1453" s="222"/>
    </row>
    <row r="1454" spans="4:8" s="223" customFormat="1" x14ac:dyDescent="0.35">
      <c r="D1454" s="222"/>
      <c r="E1454" s="222"/>
      <c r="F1454" s="222"/>
      <c r="G1454" s="222"/>
      <c r="H1454" s="222"/>
    </row>
    <row r="1455" spans="4:8" s="223" customFormat="1" x14ac:dyDescent="0.35">
      <c r="D1455" s="222"/>
      <c r="E1455" s="222"/>
      <c r="F1455" s="222"/>
      <c r="G1455" s="222"/>
      <c r="H1455" s="222"/>
    </row>
    <row r="1456" spans="4:8" s="223" customFormat="1" x14ac:dyDescent="0.35">
      <c r="D1456" s="222"/>
      <c r="E1456" s="222"/>
      <c r="F1456" s="222"/>
      <c r="G1456" s="222"/>
      <c r="H1456" s="222"/>
    </row>
    <row r="1457" spans="4:8" s="223" customFormat="1" x14ac:dyDescent="0.35">
      <c r="D1457" s="222"/>
      <c r="E1457" s="222"/>
      <c r="F1457" s="222"/>
      <c r="G1457" s="222"/>
      <c r="H1457" s="222"/>
    </row>
    <row r="1458" spans="4:8" s="223" customFormat="1" x14ac:dyDescent="0.35">
      <c r="D1458" s="222"/>
      <c r="E1458" s="222"/>
      <c r="F1458" s="222"/>
      <c r="G1458" s="222"/>
      <c r="H1458" s="222"/>
    </row>
    <row r="1459" spans="4:8" s="223" customFormat="1" x14ac:dyDescent="0.35">
      <c r="D1459" s="222"/>
      <c r="E1459" s="222"/>
      <c r="F1459" s="222"/>
      <c r="G1459" s="222"/>
      <c r="H1459" s="222"/>
    </row>
    <row r="1460" spans="4:8" s="223" customFormat="1" x14ac:dyDescent="0.35">
      <c r="D1460" s="222"/>
      <c r="E1460" s="222"/>
      <c r="F1460" s="222"/>
      <c r="G1460" s="222"/>
      <c r="H1460" s="222"/>
    </row>
    <row r="1461" spans="4:8" s="223" customFormat="1" x14ac:dyDescent="0.35">
      <c r="D1461" s="222"/>
      <c r="E1461" s="222"/>
      <c r="F1461" s="222"/>
      <c r="G1461" s="222"/>
      <c r="H1461" s="222"/>
    </row>
    <row r="1462" spans="4:8" s="223" customFormat="1" x14ac:dyDescent="0.35">
      <c r="D1462" s="222"/>
      <c r="E1462" s="222"/>
      <c r="F1462" s="222"/>
      <c r="G1462" s="222"/>
      <c r="H1462" s="222"/>
    </row>
    <row r="1463" spans="4:8" s="223" customFormat="1" x14ac:dyDescent="0.35">
      <c r="D1463" s="222"/>
      <c r="E1463" s="222"/>
      <c r="F1463" s="222"/>
      <c r="G1463" s="222"/>
      <c r="H1463" s="222"/>
    </row>
    <row r="1464" spans="4:8" s="223" customFormat="1" x14ac:dyDescent="0.35">
      <c r="D1464" s="222"/>
      <c r="E1464" s="222"/>
      <c r="F1464" s="222"/>
      <c r="G1464" s="222"/>
      <c r="H1464" s="222"/>
    </row>
    <row r="1465" spans="4:8" s="223" customFormat="1" x14ac:dyDescent="0.35">
      <c r="D1465" s="222"/>
      <c r="E1465" s="222"/>
      <c r="F1465" s="222"/>
      <c r="G1465" s="222"/>
      <c r="H1465" s="222"/>
    </row>
    <row r="1466" spans="4:8" s="223" customFormat="1" x14ac:dyDescent="0.35">
      <c r="D1466" s="222"/>
      <c r="E1466" s="222"/>
      <c r="F1466" s="222"/>
      <c r="G1466" s="222"/>
      <c r="H1466" s="222"/>
    </row>
    <row r="1467" spans="4:8" s="223" customFormat="1" x14ac:dyDescent="0.35">
      <c r="D1467" s="222"/>
      <c r="E1467" s="222"/>
      <c r="F1467" s="222"/>
      <c r="G1467" s="222"/>
      <c r="H1467" s="222"/>
    </row>
    <row r="1468" spans="4:8" s="223" customFormat="1" x14ac:dyDescent="0.35">
      <c r="D1468" s="222"/>
      <c r="E1468" s="222"/>
      <c r="F1468" s="222"/>
      <c r="G1468" s="222"/>
      <c r="H1468" s="222"/>
    </row>
    <row r="1469" spans="4:8" s="223" customFormat="1" x14ac:dyDescent="0.35">
      <c r="D1469" s="222"/>
      <c r="E1469" s="222"/>
      <c r="F1469" s="222"/>
      <c r="G1469" s="222"/>
      <c r="H1469" s="222"/>
    </row>
    <row r="1470" spans="4:8" s="223" customFormat="1" x14ac:dyDescent="0.35">
      <c r="D1470" s="222"/>
      <c r="E1470" s="222"/>
      <c r="F1470" s="222"/>
      <c r="G1470" s="222"/>
      <c r="H1470" s="222"/>
    </row>
    <row r="1471" spans="4:8" s="223" customFormat="1" x14ac:dyDescent="0.35">
      <c r="D1471" s="222"/>
      <c r="E1471" s="222"/>
      <c r="F1471" s="222"/>
      <c r="G1471" s="222"/>
      <c r="H1471" s="222"/>
    </row>
    <row r="1472" spans="4:8" s="223" customFormat="1" x14ac:dyDescent="0.35">
      <c r="D1472" s="222"/>
      <c r="E1472" s="222"/>
      <c r="F1472" s="222"/>
      <c r="G1472" s="222"/>
      <c r="H1472" s="222"/>
    </row>
    <row r="1473" spans="4:8" s="223" customFormat="1" x14ac:dyDescent="0.35">
      <c r="D1473" s="222"/>
      <c r="E1473" s="222"/>
      <c r="F1473" s="222"/>
      <c r="G1473" s="222"/>
      <c r="H1473" s="222"/>
    </row>
    <row r="1474" spans="4:8" s="223" customFormat="1" x14ac:dyDescent="0.35">
      <c r="D1474" s="222"/>
      <c r="E1474" s="222"/>
      <c r="F1474" s="222"/>
      <c r="G1474" s="222"/>
      <c r="H1474" s="222"/>
    </row>
    <row r="1475" spans="4:8" s="223" customFormat="1" x14ac:dyDescent="0.35">
      <c r="D1475" s="222"/>
      <c r="E1475" s="222"/>
      <c r="F1475" s="222"/>
      <c r="G1475" s="222"/>
      <c r="H1475" s="222"/>
    </row>
    <row r="1476" spans="4:8" s="223" customFormat="1" x14ac:dyDescent="0.35">
      <c r="D1476" s="222"/>
      <c r="E1476" s="222"/>
      <c r="F1476" s="222"/>
      <c r="G1476" s="222"/>
      <c r="H1476" s="222"/>
    </row>
    <row r="1477" spans="4:8" s="223" customFormat="1" x14ac:dyDescent="0.35">
      <c r="D1477" s="222"/>
      <c r="E1477" s="222"/>
      <c r="F1477" s="222"/>
      <c r="G1477" s="222"/>
      <c r="H1477" s="222"/>
    </row>
    <row r="1478" spans="4:8" s="223" customFormat="1" x14ac:dyDescent="0.35">
      <c r="D1478" s="222"/>
      <c r="E1478" s="222"/>
      <c r="F1478" s="222"/>
      <c r="G1478" s="222"/>
      <c r="H1478" s="222"/>
    </row>
    <row r="1479" spans="4:8" s="223" customFormat="1" x14ac:dyDescent="0.35">
      <c r="D1479" s="222"/>
      <c r="E1479" s="222"/>
      <c r="F1479" s="222"/>
      <c r="G1479" s="222"/>
      <c r="H1479" s="222"/>
    </row>
    <row r="1480" spans="4:8" s="223" customFormat="1" x14ac:dyDescent="0.35">
      <c r="D1480" s="222"/>
      <c r="E1480" s="222"/>
      <c r="F1480" s="222"/>
      <c r="G1480" s="222"/>
      <c r="H1480" s="222"/>
    </row>
    <row r="1481" spans="4:8" s="223" customFormat="1" x14ac:dyDescent="0.35">
      <c r="D1481" s="222"/>
      <c r="E1481" s="222"/>
      <c r="F1481" s="222"/>
      <c r="G1481" s="222"/>
      <c r="H1481" s="222"/>
    </row>
    <row r="1482" spans="4:8" s="223" customFormat="1" x14ac:dyDescent="0.35">
      <c r="D1482" s="222"/>
      <c r="E1482" s="222"/>
      <c r="F1482" s="222"/>
      <c r="G1482" s="222"/>
      <c r="H1482" s="222"/>
    </row>
    <row r="1483" spans="4:8" s="223" customFormat="1" x14ac:dyDescent="0.35">
      <c r="D1483" s="222"/>
      <c r="E1483" s="222"/>
      <c r="F1483" s="222"/>
      <c r="G1483" s="222"/>
      <c r="H1483" s="222"/>
    </row>
    <row r="1484" spans="4:8" s="223" customFormat="1" x14ac:dyDescent="0.35">
      <c r="D1484" s="222"/>
      <c r="E1484" s="222"/>
      <c r="F1484" s="222"/>
      <c r="G1484" s="222"/>
      <c r="H1484" s="222"/>
    </row>
    <row r="1485" spans="4:8" s="223" customFormat="1" x14ac:dyDescent="0.35">
      <c r="D1485" s="222"/>
      <c r="E1485" s="222"/>
      <c r="F1485" s="222"/>
      <c r="G1485" s="222"/>
      <c r="H1485" s="222"/>
    </row>
    <row r="1486" spans="4:8" s="223" customFormat="1" x14ac:dyDescent="0.35">
      <c r="D1486" s="222"/>
      <c r="E1486" s="222"/>
      <c r="F1486" s="222"/>
      <c r="G1486" s="222"/>
      <c r="H1486" s="222"/>
    </row>
    <row r="1487" spans="4:8" s="223" customFormat="1" x14ac:dyDescent="0.35">
      <c r="D1487" s="222"/>
      <c r="E1487" s="222"/>
      <c r="F1487" s="222"/>
      <c r="G1487" s="222"/>
      <c r="H1487" s="222"/>
    </row>
    <row r="1488" spans="4:8" s="223" customFormat="1" x14ac:dyDescent="0.35">
      <c r="D1488" s="222"/>
      <c r="E1488" s="222"/>
      <c r="F1488" s="222"/>
      <c r="G1488" s="222"/>
      <c r="H1488" s="222"/>
    </row>
    <row r="1489" spans="4:8" s="223" customFormat="1" x14ac:dyDescent="0.35">
      <c r="D1489" s="222"/>
      <c r="E1489" s="222"/>
      <c r="F1489" s="222"/>
      <c r="G1489" s="222"/>
      <c r="H1489" s="222"/>
    </row>
    <row r="1490" spans="4:8" s="223" customFormat="1" x14ac:dyDescent="0.35">
      <c r="D1490" s="222"/>
      <c r="E1490" s="222"/>
      <c r="F1490" s="222"/>
      <c r="G1490" s="222"/>
      <c r="H1490" s="222"/>
    </row>
    <row r="1491" spans="4:8" s="223" customFormat="1" x14ac:dyDescent="0.35">
      <c r="D1491" s="222"/>
      <c r="E1491" s="222"/>
      <c r="F1491" s="222"/>
      <c r="G1491" s="222"/>
      <c r="H1491" s="222"/>
    </row>
    <row r="1492" spans="4:8" s="223" customFormat="1" x14ac:dyDescent="0.35">
      <c r="D1492" s="222"/>
      <c r="E1492" s="222"/>
      <c r="F1492" s="222"/>
      <c r="G1492" s="222"/>
      <c r="H1492" s="222"/>
    </row>
    <row r="1493" spans="4:8" s="223" customFormat="1" x14ac:dyDescent="0.35">
      <c r="D1493" s="222"/>
      <c r="E1493" s="222"/>
      <c r="F1493" s="222"/>
      <c r="G1493" s="222"/>
      <c r="H1493" s="222"/>
    </row>
    <row r="1494" spans="4:8" s="223" customFormat="1" x14ac:dyDescent="0.35">
      <c r="D1494" s="222"/>
      <c r="E1494" s="222"/>
      <c r="F1494" s="222"/>
      <c r="G1494" s="222"/>
      <c r="H1494" s="222"/>
    </row>
    <row r="1495" spans="4:8" s="223" customFormat="1" x14ac:dyDescent="0.35">
      <c r="D1495" s="222"/>
      <c r="E1495" s="222"/>
      <c r="F1495" s="222"/>
      <c r="G1495" s="222"/>
      <c r="H1495" s="222"/>
    </row>
    <row r="1496" spans="4:8" s="223" customFormat="1" x14ac:dyDescent="0.35">
      <c r="D1496" s="222"/>
      <c r="E1496" s="222"/>
      <c r="F1496" s="222"/>
      <c r="G1496" s="222"/>
      <c r="H1496" s="222"/>
    </row>
    <row r="1497" spans="4:8" s="223" customFormat="1" x14ac:dyDescent="0.35">
      <c r="D1497" s="222"/>
      <c r="E1497" s="222"/>
      <c r="F1497" s="222"/>
      <c r="G1497" s="222"/>
      <c r="H1497" s="222"/>
    </row>
    <row r="1498" spans="4:8" s="223" customFormat="1" x14ac:dyDescent="0.35">
      <c r="D1498" s="222"/>
      <c r="E1498" s="222"/>
      <c r="F1498" s="222"/>
      <c r="G1498" s="222"/>
      <c r="H1498" s="222"/>
    </row>
    <row r="1499" spans="4:8" s="223" customFormat="1" x14ac:dyDescent="0.35">
      <c r="D1499" s="222"/>
      <c r="E1499" s="222"/>
      <c r="F1499" s="222"/>
      <c r="G1499" s="222"/>
      <c r="H1499" s="222"/>
    </row>
    <row r="1500" spans="4:8" s="223" customFormat="1" x14ac:dyDescent="0.35">
      <c r="D1500" s="222"/>
      <c r="E1500" s="222"/>
      <c r="F1500" s="222"/>
      <c r="G1500" s="222"/>
      <c r="H1500" s="222"/>
    </row>
    <row r="1501" spans="4:8" s="223" customFormat="1" x14ac:dyDescent="0.35">
      <c r="D1501" s="222"/>
      <c r="E1501" s="222"/>
      <c r="F1501" s="222"/>
      <c r="G1501" s="222"/>
      <c r="H1501" s="222"/>
    </row>
    <row r="1502" spans="4:8" s="223" customFormat="1" x14ac:dyDescent="0.35">
      <c r="D1502" s="222"/>
      <c r="E1502" s="222"/>
      <c r="F1502" s="222"/>
      <c r="G1502" s="222"/>
      <c r="H1502" s="222"/>
    </row>
    <row r="1503" spans="4:8" s="223" customFormat="1" x14ac:dyDescent="0.35">
      <c r="D1503" s="222"/>
      <c r="E1503" s="222"/>
      <c r="F1503" s="222"/>
      <c r="G1503" s="222"/>
      <c r="H1503" s="222"/>
    </row>
    <row r="1504" spans="4:8" s="223" customFormat="1" x14ac:dyDescent="0.35">
      <c r="D1504" s="222"/>
      <c r="E1504" s="222"/>
      <c r="F1504" s="222"/>
      <c r="G1504" s="222"/>
      <c r="H1504" s="222"/>
    </row>
    <row r="1505" spans="4:8" s="223" customFormat="1" x14ac:dyDescent="0.35">
      <c r="D1505" s="222"/>
      <c r="E1505" s="222"/>
      <c r="F1505" s="222"/>
      <c r="G1505" s="222"/>
      <c r="H1505" s="222"/>
    </row>
    <row r="1506" spans="4:8" s="223" customFormat="1" x14ac:dyDescent="0.35">
      <c r="D1506" s="222"/>
      <c r="E1506" s="222"/>
      <c r="F1506" s="222"/>
      <c r="G1506" s="222"/>
      <c r="H1506" s="222"/>
    </row>
    <row r="1507" spans="4:8" s="223" customFormat="1" x14ac:dyDescent="0.35">
      <c r="D1507" s="222"/>
      <c r="E1507" s="222"/>
      <c r="F1507" s="222"/>
      <c r="G1507" s="222"/>
      <c r="H1507" s="222"/>
    </row>
    <row r="1508" spans="4:8" s="223" customFormat="1" x14ac:dyDescent="0.35">
      <c r="D1508" s="222"/>
      <c r="E1508" s="222"/>
      <c r="F1508" s="222"/>
      <c r="G1508" s="222"/>
      <c r="H1508" s="222"/>
    </row>
    <row r="1509" spans="4:8" s="223" customFormat="1" x14ac:dyDescent="0.35">
      <c r="D1509" s="222"/>
      <c r="E1509" s="222"/>
      <c r="F1509" s="222"/>
      <c r="G1509" s="222"/>
      <c r="H1509" s="222"/>
    </row>
    <row r="1510" spans="4:8" s="223" customFormat="1" x14ac:dyDescent="0.35">
      <c r="D1510" s="222"/>
      <c r="E1510" s="222"/>
      <c r="F1510" s="222"/>
      <c r="G1510" s="222"/>
      <c r="H1510" s="222"/>
    </row>
    <row r="1511" spans="4:8" s="223" customFormat="1" x14ac:dyDescent="0.35">
      <c r="D1511" s="222"/>
      <c r="E1511" s="222"/>
      <c r="F1511" s="222"/>
      <c r="G1511" s="222"/>
      <c r="H1511" s="222"/>
    </row>
    <row r="1512" spans="4:8" s="223" customFormat="1" x14ac:dyDescent="0.35">
      <c r="D1512" s="222"/>
      <c r="E1512" s="222"/>
      <c r="F1512" s="222"/>
      <c r="G1512" s="222"/>
      <c r="H1512" s="222"/>
    </row>
    <row r="1513" spans="4:8" s="223" customFormat="1" x14ac:dyDescent="0.35">
      <c r="D1513" s="222"/>
      <c r="E1513" s="222"/>
      <c r="F1513" s="222"/>
      <c r="G1513" s="222"/>
      <c r="H1513" s="222"/>
    </row>
    <row r="1514" spans="4:8" s="223" customFormat="1" x14ac:dyDescent="0.35">
      <c r="D1514" s="222"/>
      <c r="E1514" s="222"/>
      <c r="F1514" s="222"/>
      <c r="G1514" s="222"/>
      <c r="H1514" s="222"/>
    </row>
    <row r="1515" spans="4:8" s="223" customFormat="1" x14ac:dyDescent="0.35">
      <c r="D1515" s="222"/>
      <c r="E1515" s="222"/>
      <c r="F1515" s="222"/>
      <c r="G1515" s="222"/>
      <c r="H1515" s="222"/>
    </row>
    <row r="1516" spans="4:8" s="223" customFormat="1" x14ac:dyDescent="0.35">
      <c r="D1516" s="222"/>
      <c r="E1516" s="222"/>
      <c r="F1516" s="222"/>
      <c r="G1516" s="222"/>
      <c r="H1516" s="222"/>
    </row>
    <row r="1517" spans="4:8" s="223" customFormat="1" x14ac:dyDescent="0.35">
      <c r="D1517" s="222"/>
      <c r="E1517" s="222"/>
      <c r="F1517" s="222"/>
      <c r="G1517" s="222"/>
      <c r="H1517" s="222"/>
    </row>
    <row r="1518" spans="4:8" s="223" customFormat="1" x14ac:dyDescent="0.35">
      <c r="D1518" s="222"/>
      <c r="E1518" s="222"/>
      <c r="F1518" s="222"/>
      <c r="G1518" s="222"/>
      <c r="H1518" s="222"/>
    </row>
    <row r="1519" spans="4:8" s="223" customFormat="1" x14ac:dyDescent="0.35">
      <c r="D1519" s="222"/>
      <c r="E1519" s="222"/>
      <c r="F1519" s="222"/>
      <c r="G1519" s="222"/>
      <c r="H1519" s="222"/>
    </row>
    <row r="1520" spans="4:8" s="223" customFormat="1" x14ac:dyDescent="0.35">
      <c r="D1520" s="222"/>
      <c r="E1520" s="222"/>
      <c r="F1520" s="222"/>
      <c r="G1520" s="222"/>
      <c r="H1520" s="222"/>
    </row>
    <row r="1521" spans="4:8" s="223" customFormat="1" x14ac:dyDescent="0.35">
      <c r="D1521" s="222"/>
      <c r="E1521" s="222"/>
      <c r="F1521" s="222"/>
      <c r="G1521" s="222"/>
      <c r="H1521" s="222"/>
    </row>
    <row r="1522" spans="4:8" s="223" customFormat="1" x14ac:dyDescent="0.35">
      <c r="D1522" s="222"/>
      <c r="E1522" s="222"/>
      <c r="F1522" s="222"/>
      <c r="G1522" s="222"/>
      <c r="H1522" s="222"/>
    </row>
    <row r="1523" spans="4:8" s="223" customFormat="1" x14ac:dyDescent="0.35">
      <c r="D1523" s="222"/>
      <c r="E1523" s="222"/>
      <c r="F1523" s="222"/>
      <c r="G1523" s="222"/>
      <c r="H1523" s="222"/>
    </row>
    <row r="1524" spans="4:8" s="223" customFormat="1" x14ac:dyDescent="0.35">
      <c r="D1524" s="222"/>
      <c r="E1524" s="222"/>
      <c r="F1524" s="222"/>
      <c r="G1524" s="222"/>
      <c r="H1524" s="222"/>
    </row>
    <row r="1525" spans="4:8" s="223" customFormat="1" x14ac:dyDescent="0.35">
      <c r="D1525" s="222"/>
      <c r="E1525" s="222"/>
      <c r="F1525" s="222"/>
      <c r="G1525" s="222"/>
      <c r="H1525" s="222"/>
    </row>
    <row r="1526" spans="4:8" s="223" customFormat="1" x14ac:dyDescent="0.35">
      <c r="D1526" s="222"/>
      <c r="E1526" s="222"/>
      <c r="F1526" s="222"/>
      <c r="G1526" s="222"/>
      <c r="H1526" s="222"/>
    </row>
    <row r="1527" spans="4:8" s="223" customFormat="1" x14ac:dyDescent="0.35">
      <c r="D1527" s="222"/>
      <c r="E1527" s="222"/>
      <c r="F1527" s="222"/>
      <c r="G1527" s="222"/>
      <c r="H1527" s="222"/>
    </row>
    <row r="1528" spans="4:8" s="223" customFormat="1" x14ac:dyDescent="0.35">
      <c r="D1528" s="222"/>
      <c r="E1528" s="222"/>
      <c r="F1528" s="222"/>
      <c r="G1528" s="222"/>
      <c r="H1528" s="222"/>
    </row>
    <row r="1529" spans="4:8" s="223" customFormat="1" x14ac:dyDescent="0.35">
      <c r="D1529" s="222"/>
      <c r="E1529" s="222"/>
      <c r="F1529" s="222"/>
      <c r="G1529" s="222"/>
      <c r="H1529" s="222"/>
    </row>
    <row r="1530" spans="4:8" s="223" customFormat="1" x14ac:dyDescent="0.35">
      <c r="D1530" s="222"/>
      <c r="E1530" s="222"/>
      <c r="F1530" s="222"/>
      <c r="G1530" s="222"/>
      <c r="H1530" s="222"/>
    </row>
    <row r="1531" spans="4:8" s="223" customFormat="1" x14ac:dyDescent="0.35">
      <c r="D1531" s="222"/>
      <c r="E1531" s="222"/>
      <c r="F1531" s="222"/>
      <c r="G1531" s="222"/>
      <c r="H1531" s="222"/>
    </row>
    <row r="1532" spans="4:8" s="223" customFormat="1" x14ac:dyDescent="0.35">
      <c r="D1532" s="222"/>
      <c r="E1532" s="222"/>
      <c r="F1532" s="222"/>
      <c r="G1532" s="222"/>
      <c r="H1532" s="222"/>
    </row>
    <row r="1533" spans="4:8" s="223" customFormat="1" x14ac:dyDescent="0.35">
      <c r="D1533" s="222"/>
      <c r="E1533" s="222"/>
      <c r="F1533" s="222"/>
      <c r="G1533" s="222"/>
      <c r="H1533" s="222"/>
    </row>
    <row r="1534" spans="4:8" s="223" customFormat="1" x14ac:dyDescent="0.35">
      <c r="D1534" s="222"/>
      <c r="E1534" s="222"/>
      <c r="F1534" s="222"/>
      <c r="G1534" s="222"/>
      <c r="H1534" s="222"/>
    </row>
    <row r="1535" spans="4:8" s="223" customFormat="1" x14ac:dyDescent="0.35">
      <c r="D1535" s="222"/>
      <c r="E1535" s="222"/>
      <c r="F1535" s="222"/>
      <c r="G1535" s="222"/>
      <c r="H1535" s="222"/>
    </row>
    <row r="1536" spans="4:8" s="223" customFormat="1" x14ac:dyDescent="0.35">
      <c r="D1536" s="222"/>
      <c r="E1536" s="222"/>
      <c r="F1536" s="222"/>
      <c r="G1536" s="222"/>
      <c r="H1536" s="222"/>
    </row>
    <row r="1537" spans="4:8" s="223" customFormat="1" x14ac:dyDescent="0.35">
      <c r="D1537" s="222"/>
      <c r="E1537" s="222"/>
      <c r="F1537" s="222"/>
      <c r="G1537" s="222"/>
      <c r="H1537" s="222"/>
    </row>
    <row r="1538" spans="4:8" s="223" customFormat="1" x14ac:dyDescent="0.35">
      <c r="D1538" s="222"/>
      <c r="E1538" s="222"/>
      <c r="F1538" s="222"/>
      <c r="G1538" s="222"/>
      <c r="H1538" s="222"/>
    </row>
    <row r="1539" spans="4:8" s="223" customFormat="1" x14ac:dyDescent="0.35">
      <c r="D1539" s="222"/>
      <c r="E1539" s="222"/>
      <c r="F1539" s="222"/>
      <c r="G1539" s="222"/>
      <c r="H1539" s="222"/>
    </row>
    <row r="1540" spans="4:8" s="223" customFormat="1" x14ac:dyDescent="0.35">
      <c r="D1540" s="222"/>
      <c r="E1540" s="222"/>
      <c r="F1540" s="222"/>
      <c r="G1540" s="222"/>
      <c r="H1540" s="222"/>
    </row>
    <row r="1541" spans="4:8" s="223" customFormat="1" x14ac:dyDescent="0.35">
      <c r="D1541" s="222"/>
      <c r="E1541" s="222"/>
      <c r="F1541" s="222"/>
      <c r="G1541" s="222"/>
      <c r="H1541" s="222"/>
    </row>
    <row r="1542" spans="4:8" s="223" customFormat="1" x14ac:dyDescent="0.35">
      <c r="D1542" s="222"/>
      <c r="E1542" s="222"/>
      <c r="F1542" s="222"/>
      <c r="G1542" s="222"/>
      <c r="H1542" s="222"/>
    </row>
    <row r="1543" spans="4:8" s="223" customFormat="1" x14ac:dyDescent="0.35">
      <c r="D1543" s="222"/>
      <c r="E1543" s="222"/>
      <c r="F1543" s="222"/>
      <c r="G1543" s="222"/>
      <c r="H1543" s="222"/>
    </row>
    <row r="1544" spans="4:8" s="223" customFormat="1" x14ac:dyDescent="0.35">
      <c r="D1544" s="222"/>
      <c r="E1544" s="222"/>
      <c r="F1544" s="222"/>
      <c r="G1544" s="222"/>
      <c r="H1544" s="222"/>
    </row>
    <row r="1545" spans="4:8" s="223" customFormat="1" x14ac:dyDescent="0.35">
      <c r="D1545" s="222"/>
      <c r="E1545" s="222"/>
      <c r="F1545" s="222"/>
      <c r="G1545" s="222"/>
      <c r="H1545" s="222"/>
    </row>
    <row r="1546" spans="4:8" s="223" customFormat="1" x14ac:dyDescent="0.35">
      <c r="D1546" s="222"/>
      <c r="E1546" s="222"/>
      <c r="F1546" s="222"/>
      <c r="G1546" s="222"/>
      <c r="H1546" s="222"/>
    </row>
    <row r="1547" spans="4:8" s="223" customFormat="1" x14ac:dyDescent="0.35">
      <c r="D1547" s="222"/>
      <c r="E1547" s="222"/>
      <c r="F1547" s="222"/>
      <c r="G1547" s="222"/>
      <c r="H1547" s="222"/>
    </row>
    <row r="1548" spans="4:8" s="223" customFormat="1" x14ac:dyDescent="0.35">
      <c r="D1548" s="222"/>
      <c r="E1548" s="222"/>
      <c r="F1548" s="222"/>
      <c r="G1548" s="222"/>
      <c r="H1548" s="222"/>
    </row>
    <row r="1549" spans="4:8" s="223" customFormat="1" x14ac:dyDescent="0.35">
      <c r="D1549" s="222"/>
      <c r="E1549" s="222"/>
      <c r="F1549" s="222"/>
      <c r="G1549" s="222"/>
      <c r="H1549" s="222"/>
    </row>
    <row r="1550" spans="4:8" s="223" customFormat="1" x14ac:dyDescent="0.35">
      <c r="D1550" s="222"/>
      <c r="E1550" s="222"/>
      <c r="F1550" s="222"/>
      <c r="G1550" s="222"/>
      <c r="H1550" s="222"/>
    </row>
    <row r="1551" spans="4:8" s="223" customFormat="1" x14ac:dyDescent="0.35">
      <c r="D1551" s="222"/>
      <c r="E1551" s="222"/>
      <c r="F1551" s="222"/>
      <c r="G1551" s="222"/>
      <c r="H1551" s="222"/>
    </row>
    <row r="1552" spans="4:8" s="223" customFormat="1" x14ac:dyDescent="0.35">
      <c r="D1552" s="222"/>
      <c r="E1552" s="222"/>
      <c r="F1552" s="222"/>
      <c r="G1552" s="222"/>
      <c r="H1552" s="222"/>
    </row>
    <row r="1553" spans="4:8" s="223" customFormat="1" x14ac:dyDescent="0.35">
      <c r="D1553" s="222"/>
      <c r="E1553" s="222"/>
      <c r="F1553" s="222"/>
      <c r="G1553" s="222"/>
      <c r="H1553" s="222"/>
    </row>
    <row r="1554" spans="4:8" s="223" customFormat="1" x14ac:dyDescent="0.35">
      <c r="D1554" s="222"/>
      <c r="E1554" s="222"/>
      <c r="F1554" s="222"/>
      <c r="G1554" s="222"/>
      <c r="H1554" s="222"/>
    </row>
    <row r="1555" spans="4:8" s="223" customFormat="1" x14ac:dyDescent="0.35">
      <c r="D1555" s="222"/>
      <c r="E1555" s="222"/>
      <c r="F1555" s="222"/>
      <c r="G1555" s="222"/>
      <c r="H1555" s="222"/>
    </row>
    <row r="1556" spans="4:8" s="223" customFormat="1" x14ac:dyDescent="0.35">
      <c r="D1556" s="222"/>
      <c r="E1556" s="222"/>
      <c r="F1556" s="222"/>
      <c r="G1556" s="222"/>
      <c r="H1556" s="222"/>
    </row>
    <row r="1557" spans="4:8" s="223" customFormat="1" x14ac:dyDescent="0.35">
      <c r="D1557" s="222"/>
      <c r="E1557" s="222"/>
      <c r="F1557" s="222"/>
      <c r="G1557" s="222"/>
      <c r="H1557" s="222"/>
    </row>
    <row r="1558" spans="4:8" s="223" customFormat="1" x14ac:dyDescent="0.35">
      <c r="D1558" s="222"/>
      <c r="E1558" s="222"/>
      <c r="F1558" s="222"/>
      <c r="G1558" s="222"/>
      <c r="H1558" s="222"/>
    </row>
    <row r="1559" spans="4:8" s="223" customFormat="1" x14ac:dyDescent="0.35">
      <c r="D1559" s="222"/>
      <c r="E1559" s="222"/>
      <c r="F1559" s="222"/>
      <c r="G1559" s="222"/>
      <c r="H1559" s="222"/>
    </row>
    <row r="1560" spans="4:8" s="223" customFormat="1" x14ac:dyDescent="0.35">
      <c r="D1560" s="222"/>
      <c r="E1560" s="222"/>
      <c r="F1560" s="222"/>
      <c r="G1560" s="222"/>
      <c r="H1560" s="222"/>
    </row>
    <row r="1561" spans="4:8" s="223" customFormat="1" x14ac:dyDescent="0.35">
      <c r="D1561" s="222"/>
      <c r="E1561" s="222"/>
      <c r="F1561" s="222"/>
      <c r="G1561" s="222"/>
      <c r="H1561" s="222"/>
    </row>
    <row r="1562" spans="4:8" s="223" customFormat="1" x14ac:dyDescent="0.35">
      <c r="D1562" s="222"/>
      <c r="E1562" s="222"/>
      <c r="F1562" s="222"/>
      <c r="G1562" s="222"/>
      <c r="H1562" s="222"/>
    </row>
    <row r="1563" spans="4:8" s="223" customFormat="1" x14ac:dyDescent="0.35">
      <c r="D1563" s="222"/>
      <c r="E1563" s="222"/>
      <c r="F1563" s="222"/>
      <c r="G1563" s="222"/>
      <c r="H1563" s="222"/>
    </row>
    <row r="1564" spans="4:8" s="223" customFormat="1" x14ac:dyDescent="0.35">
      <c r="D1564" s="222"/>
      <c r="E1564" s="222"/>
      <c r="F1564" s="222"/>
      <c r="G1564" s="222"/>
      <c r="H1564" s="222"/>
    </row>
    <row r="1565" spans="4:8" s="223" customFormat="1" x14ac:dyDescent="0.35">
      <c r="D1565" s="222"/>
      <c r="E1565" s="222"/>
      <c r="F1565" s="222"/>
      <c r="G1565" s="222"/>
      <c r="H1565" s="222"/>
    </row>
    <row r="1566" spans="4:8" s="223" customFormat="1" x14ac:dyDescent="0.35">
      <c r="D1566" s="222"/>
      <c r="E1566" s="222"/>
      <c r="F1566" s="222"/>
      <c r="G1566" s="222"/>
      <c r="H1566" s="222"/>
    </row>
    <row r="1567" spans="4:8" s="223" customFormat="1" x14ac:dyDescent="0.35">
      <c r="D1567" s="222"/>
      <c r="E1567" s="222"/>
      <c r="F1567" s="222"/>
      <c r="G1567" s="222"/>
      <c r="H1567" s="222"/>
    </row>
    <row r="1568" spans="4:8" s="223" customFormat="1" x14ac:dyDescent="0.35">
      <c r="D1568" s="222"/>
      <c r="E1568" s="222"/>
      <c r="F1568" s="222"/>
      <c r="G1568" s="222"/>
      <c r="H1568" s="222"/>
    </row>
    <row r="1569" spans="4:8" s="223" customFormat="1" x14ac:dyDescent="0.35">
      <c r="D1569" s="222"/>
      <c r="E1569" s="222"/>
      <c r="F1569" s="222"/>
      <c r="G1569" s="222"/>
      <c r="H1569" s="222"/>
    </row>
    <row r="1570" spans="4:8" s="223" customFormat="1" x14ac:dyDescent="0.35">
      <c r="D1570" s="222"/>
      <c r="E1570" s="222"/>
      <c r="F1570" s="222"/>
      <c r="G1570" s="222"/>
      <c r="H1570" s="222"/>
    </row>
    <row r="1571" spans="4:8" s="223" customFormat="1" x14ac:dyDescent="0.35">
      <c r="D1571" s="222"/>
      <c r="E1571" s="222"/>
      <c r="F1571" s="222"/>
      <c r="G1571" s="222"/>
      <c r="H1571" s="222"/>
    </row>
    <row r="1572" spans="4:8" s="223" customFormat="1" x14ac:dyDescent="0.35">
      <c r="D1572" s="222"/>
      <c r="E1572" s="222"/>
      <c r="F1572" s="222"/>
      <c r="G1572" s="222"/>
      <c r="H1572" s="222"/>
    </row>
    <row r="1573" spans="4:8" s="223" customFormat="1" x14ac:dyDescent="0.35">
      <c r="D1573" s="222"/>
      <c r="E1573" s="222"/>
      <c r="F1573" s="222"/>
      <c r="G1573" s="222"/>
      <c r="H1573" s="222"/>
    </row>
    <row r="1574" spans="4:8" s="223" customFormat="1" x14ac:dyDescent="0.35">
      <c r="D1574" s="222"/>
      <c r="E1574" s="222"/>
      <c r="F1574" s="222"/>
      <c r="G1574" s="222"/>
      <c r="H1574" s="222"/>
    </row>
    <row r="1575" spans="4:8" s="223" customFormat="1" x14ac:dyDescent="0.35">
      <c r="D1575" s="222"/>
      <c r="E1575" s="222"/>
      <c r="F1575" s="222"/>
      <c r="G1575" s="222"/>
      <c r="H1575" s="222"/>
    </row>
    <row r="1576" spans="4:8" s="223" customFormat="1" x14ac:dyDescent="0.35">
      <c r="D1576" s="222"/>
      <c r="E1576" s="222"/>
      <c r="F1576" s="222"/>
      <c r="G1576" s="222"/>
      <c r="H1576" s="222"/>
    </row>
    <row r="1577" spans="4:8" s="223" customFormat="1" x14ac:dyDescent="0.35">
      <c r="D1577" s="222"/>
      <c r="E1577" s="222"/>
      <c r="F1577" s="222"/>
      <c r="G1577" s="222"/>
      <c r="H1577" s="222"/>
    </row>
    <row r="1578" spans="4:8" s="223" customFormat="1" x14ac:dyDescent="0.35">
      <c r="D1578" s="222"/>
      <c r="E1578" s="222"/>
      <c r="F1578" s="222"/>
      <c r="G1578" s="222"/>
      <c r="H1578" s="222"/>
    </row>
    <row r="1579" spans="4:8" s="223" customFormat="1" x14ac:dyDescent="0.35">
      <c r="D1579" s="222"/>
      <c r="E1579" s="222"/>
      <c r="F1579" s="222"/>
      <c r="G1579" s="222"/>
      <c r="H1579" s="222"/>
    </row>
    <row r="1580" spans="4:8" s="223" customFormat="1" x14ac:dyDescent="0.35">
      <c r="D1580" s="222"/>
      <c r="E1580" s="222"/>
      <c r="F1580" s="222"/>
      <c r="G1580" s="222"/>
      <c r="H1580" s="222"/>
    </row>
    <row r="1581" spans="4:8" s="223" customFormat="1" x14ac:dyDescent="0.35">
      <c r="D1581" s="222"/>
      <c r="E1581" s="222"/>
      <c r="F1581" s="222"/>
      <c r="G1581" s="222"/>
      <c r="H1581" s="222"/>
    </row>
    <row r="1582" spans="4:8" s="223" customFormat="1" x14ac:dyDescent="0.35">
      <c r="D1582" s="222"/>
      <c r="E1582" s="222"/>
      <c r="F1582" s="222"/>
      <c r="G1582" s="222"/>
      <c r="H1582" s="222"/>
    </row>
    <row r="1583" spans="4:8" s="223" customFormat="1" x14ac:dyDescent="0.35">
      <c r="D1583" s="222"/>
      <c r="E1583" s="222"/>
      <c r="F1583" s="222"/>
      <c r="G1583" s="222"/>
      <c r="H1583" s="222"/>
    </row>
    <row r="1584" spans="4:8" s="223" customFormat="1" x14ac:dyDescent="0.35">
      <c r="D1584" s="222"/>
      <c r="E1584" s="222"/>
      <c r="F1584" s="222"/>
      <c r="G1584" s="222"/>
      <c r="H1584" s="222"/>
    </row>
    <row r="1585" spans="4:8" s="223" customFormat="1" x14ac:dyDescent="0.35">
      <c r="D1585" s="222"/>
      <c r="E1585" s="222"/>
      <c r="F1585" s="222"/>
      <c r="G1585" s="222"/>
      <c r="H1585" s="222"/>
    </row>
    <row r="1586" spans="4:8" s="223" customFormat="1" x14ac:dyDescent="0.35">
      <c r="D1586" s="222"/>
      <c r="E1586" s="222"/>
      <c r="F1586" s="222"/>
      <c r="G1586" s="222"/>
      <c r="H1586" s="222"/>
    </row>
    <row r="1587" spans="4:8" s="223" customFormat="1" x14ac:dyDescent="0.35">
      <c r="D1587" s="222"/>
      <c r="E1587" s="222"/>
      <c r="F1587" s="222"/>
      <c r="G1587" s="222"/>
      <c r="H1587" s="222"/>
    </row>
    <row r="1588" spans="4:8" s="223" customFormat="1" x14ac:dyDescent="0.35">
      <c r="D1588" s="222"/>
      <c r="E1588" s="222"/>
      <c r="F1588" s="222"/>
      <c r="G1588" s="222"/>
      <c r="H1588" s="222"/>
    </row>
    <row r="1589" spans="4:8" s="223" customFormat="1" x14ac:dyDescent="0.35">
      <c r="D1589" s="222"/>
      <c r="E1589" s="222"/>
      <c r="F1589" s="222"/>
      <c r="G1589" s="222"/>
      <c r="H1589" s="222"/>
    </row>
    <row r="1590" spans="4:8" s="223" customFormat="1" x14ac:dyDescent="0.35">
      <c r="D1590" s="222"/>
      <c r="E1590" s="222"/>
      <c r="F1590" s="222"/>
      <c r="G1590" s="222"/>
      <c r="H1590" s="222"/>
    </row>
    <row r="1591" spans="4:8" s="223" customFormat="1" x14ac:dyDescent="0.35">
      <c r="D1591" s="222"/>
      <c r="E1591" s="222"/>
      <c r="F1591" s="222"/>
      <c r="G1591" s="222"/>
      <c r="H1591" s="222"/>
    </row>
    <row r="1592" spans="4:8" s="223" customFormat="1" x14ac:dyDescent="0.35">
      <c r="D1592" s="222"/>
      <c r="E1592" s="222"/>
      <c r="F1592" s="222"/>
      <c r="G1592" s="222"/>
      <c r="H1592" s="222"/>
    </row>
    <row r="1593" spans="4:8" s="223" customFormat="1" x14ac:dyDescent="0.35">
      <c r="D1593" s="222"/>
      <c r="E1593" s="222"/>
      <c r="F1593" s="222"/>
      <c r="G1593" s="222"/>
      <c r="H1593" s="222"/>
    </row>
    <row r="1594" spans="4:8" s="223" customFormat="1" x14ac:dyDescent="0.35">
      <c r="D1594" s="222"/>
      <c r="E1594" s="222"/>
      <c r="F1594" s="222"/>
      <c r="G1594" s="222"/>
      <c r="H1594" s="222"/>
    </row>
    <row r="1595" spans="4:8" s="223" customFormat="1" x14ac:dyDescent="0.35">
      <c r="D1595" s="222"/>
      <c r="E1595" s="222"/>
      <c r="F1595" s="222"/>
      <c r="G1595" s="222"/>
      <c r="H1595" s="222"/>
    </row>
    <row r="1596" spans="4:8" s="223" customFormat="1" x14ac:dyDescent="0.35">
      <c r="D1596" s="222"/>
      <c r="E1596" s="222"/>
      <c r="F1596" s="222"/>
      <c r="G1596" s="222"/>
      <c r="H1596" s="222"/>
    </row>
    <row r="1597" spans="4:8" s="223" customFormat="1" x14ac:dyDescent="0.35">
      <c r="D1597" s="222"/>
      <c r="E1597" s="222"/>
      <c r="F1597" s="222"/>
      <c r="G1597" s="222"/>
      <c r="H1597" s="222"/>
    </row>
    <row r="1598" spans="4:8" s="223" customFormat="1" x14ac:dyDescent="0.35">
      <c r="D1598" s="222"/>
      <c r="E1598" s="222"/>
      <c r="F1598" s="222"/>
      <c r="G1598" s="222"/>
      <c r="H1598" s="222"/>
    </row>
    <row r="1599" spans="4:8" s="223" customFormat="1" x14ac:dyDescent="0.35">
      <c r="D1599" s="222"/>
      <c r="E1599" s="222"/>
      <c r="F1599" s="222"/>
      <c r="G1599" s="222"/>
      <c r="H1599" s="222"/>
    </row>
    <row r="1600" spans="4:8" s="223" customFormat="1" x14ac:dyDescent="0.35">
      <c r="D1600" s="222"/>
      <c r="E1600" s="222"/>
      <c r="F1600" s="222"/>
      <c r="G1600" s="222"/>
      <c r="H1600" s="222"/>
    </row>
    <row r="1601" spans="4:8" s="223" customFormat="1" x14ac:dyDescent="0.35">
      <c r="D1601" s="222"/>
      <c r="E1601" s="222"/>
      <c r="F1601" s="222"/>
      <c r="G1601" s="222"/>
      <c r="H1601" s="222"/>
    </row>
    <row r="1602" spans="4:8" s="223" customFormat="1" x14ac:dyDescent="0.35">
      <c r="D1602" s="222"/>
      <c r="E1602" s="222"/>
      <c r="F1602" s="222"/>
      <c r="G1602" s="222"/>
      <c r="H1602" s="222"/>
    </row>
    <row r="1603" spans="4:8" s="223" customFormat="1" x14ac:dyDescent="0.35">
      <c r="D1603" s="222"/>
      <c r="E1603" s="222"/>
      <c r="F1603" s="222"/>
      <c r="G1603" s="222"/>
      <c r="H1603" s="222"/>
    </row>
    <row r="1604" spans="4:8" s="223" customFormat="1" x14ac:dyDescent="0.35">
      <c r="D1604" s="222"/>
      <c r="E1604" s="222"/>
      <c r="F1604" s="222"/>
      <c r="G1604" s="222"/>
      <c r="H1604" s="222"/>
    </row>
    <row r="1605" spans="4:8" s="223" customFormat="1" x14ac:dyDescent="0.35">
      <c r="D1605" s="222"/>
      <c r="E1605" s="222"/>
      <c r="F1605" s="222"/>
      <c r="G1605" s="222"/>
      <c r="H1605" s="222"/>
    </row>
    <row r="1606" spans="4:8" s="223" customFormat="1" x14ac:dyDescent="0.35">
      <c r="D1606" s="222"/>
      <c r="E1606" s="222"/>
      <c r="F1606" s="222"/>
      <c r="G1606" s="222"/>
      <c r="H1606" s="222"/>
    </row>
    <row r="1607" spans="4:8" s="223" customFormat="1" x14ac:dyDescent="0.35">
      <c r="D1607" s="222"/>
      <c r="E1607" s="222"/>
      <c r="F1607" s="222"/>
      <c r="G1607" s="222"/>
      <c r="H1607" s="222"/>
    </row>
    <row r="1608" spans="4:8" s="223" customFormat="1" x14ac:dyDescent="0.35">
      <c r="D1608" s="222"/>
      <c r="E1608" s="222"/>
      <c r="F1608" s="222"/>
      <c r="G1608" s="222"/>
      <c r="H1608" s="222"/>
    </row>
    <row r="1609" spans="4:8" s="223" customFormat="1" x14ac:dyDescent="0.35">
      <c r="D1609" s="222"/>
      <c r="E1609" s="222"/>
      <c r="F1609" s="222"/>
      <c r="G1609" s="222"/>
      <c r="H1609" s="222"/>
    </row>
    <row r="1610" spans="4:8" s="223" customFormat="1" x14ac:dyDescent="0.35">
      <c r="D1610" s="222"/>
      <c r="E1610" s="222"/>
      <c r="F1610" s="222"/>
      <c r="G1610" s="222"/>
      <c r="H1610" s="222"/>
    </row>
    <row r="1611" spans="4:8" s="223" customFormat="1" x14ac:dyDescent="0.35">
      <c r="D1611" s="222"/>
      <c r="E1611" s="222"/>
      <c r="F1611" s="222"/>
      <c r="G1611" s="222"/>
      <c r="H1611" s="222"/>
    </row>
    <row r="1612" spans="4:8" s="223" customFormat="1" x14ac:dyDescent="0.35">
      <c r="D1612" s="222"/>
      <c r="E1612" s="222"/>
      <c r="F1612" s="222"/>
      <c r="G1612" s="222"/>
      <c r="H1612" s="222"/>
    </row>
    <row r="1613" spans="4:8" s="223" customFormat="1" x14ac:dyDescent="0.35">
      <c r="D1613" s="222"/>
      <c r="E1613" s="222"/>
      <c r="F1613" s="222"/>
      <c r="G1613" s="222"/>
      <c r="H1613" s="222"/>
    </row>
    <row r="1614" spans="4:8" s="223" customFormat="1" x14ac:dyDescent="0.35">
      <c r="D1614" s="222"/>
      <c r="E1614" s="222"/>
      <c r="F1614" s="222"/>
      <c r="G1614" s="222"/>
      <c r="H1614" s="222"/>
    </row>
    <row r="1615" spans="4:8" s="223" customFormat="1" x14ac:dyDescent="0.35">
      <c r="D1615" s="222"/>
      <c r="E1615" s="222"/>
      <c r="F1615" s="222"/>
      <c r="G1615" s="222"/>
      <c r="H1615" s="222"/>
    </row>
    <row r="1616" spans="4:8" s="223" customFormat="1" x14ac:dyDescent="0.35">
      <c r="D1616" s="222"/>
      <c r="E1616" s="222"/>
      <c r="F1616" s="222"/>
      <c r="G1616" s="222"/>
      <c r="H1616" s="222"/>
    </row>
    <row r="1617" spans="4:8" s="223" customFormat="1" x14ac:dyDescent="0.35">
      <c r="D1617" s="222"/>
      <c r="E1617" s="222"/>
      <c r="F1617" s="222"/>
      <c r="G1617" s="222"/>
      <c r="H1617" s="222"/>
    </row>
    <row r="1618" spans="4:8" s="223" customFormat="1" x14ac:dyDescent="0.35">
      <c r="D1618" s="222"/>
      <c r="E1618" s="222"/>
      <c r="F1618" s="222"/>
      <c r="G1618" s="222"/>
      <c r="H1618" s="222"/>
    </row>
    <row r="1619" spans="4:8" s="223" customFormat="1" x14ac:dyDescent="0.35">
      <c r="D1619" s="222"/>
      <c r="E1619" s="222"/>
      <c r="F1619" s="222"/>
      <c r="G1619" s="222"/>
      <c r="H1619" s="222"/>
    </row>
    <row r="1620" spans="4:8" s="223" customFormat="1" x14ac:dyDescent="0.35">
      <c r="D1620" s="222"/>
      <c r="E1620" s="222"/>
      <c r="F1620" s="222"/>
      <c r="G1620" s="222"/>
      <c r="H1620" s="222"/>
    </row>
    <row r="1621" spans="4:8" s="223" customFormat="1" x14ac:dyDescent="0.35">
      <c r="D1621" s="222"/>
      <c r="E1621" s="222"/>
      <c r="F1621" s="222"/>
      <c r="G1621" s="222"/>
      <c r="H1621" s="222"/>
    </row>
    <row r="1622" spans="4:8" s="223" customFormat="1" x14ac:dyDescent="0.35">
      <c r="D1622" s="222"/>
      <c r="E1622" s="222"/>
      <c r="F1622" s="222"/>
      <c r="G1622" s="222"/>
      <c r="H1622" s="222"/>
    </row>
    <row r="1623" spans="4:8" s="223" customFormat="1" x14ac:dyDescent="0.35">
      <c r="D1623" s="222"/>
      <c r="E1623" s="222"/>
      <c r="F1623" s="222"/>
      <c r="G1623" s="222"/>
      <c r="H1623" s="222"/>
    </row>
    <row r="1624" spans="4:8" s="223" customFormat="1" x14ac:dyDescent="0.35">
      <c r="D1624" s="222"/>
      <c r="E1624" s="222"/>
      <c r="F1624" s="222"/>
      <c r="G1624" s="222"/>
      <c r="H1624" s="222"/>
    </row>
    <row r="1625" spans="4:8" s="223" customFormat="1" x14ac:dyDescent="0.35">
      <c r="D1625" s="222"/>
      <c r="E1625" s="222"/>
      <c r="F1625" s="222"/>
      <c r="G1625" s="222"/>
      <c r="H1625" s="222"/>
    </row>
    <row r="1626" spans="4:8" s="223" customFormat="1" x14ac:dyDescent="0.35">
      <c r="D1626" s="222"/>
      <c r="E1626" s="222"/>
      <c r="F1626" s="222"/>
      <c r="G1626" s="222"/>
      <c r="H1626" s="222"/>
    </row>
    <row r="1627" spans="4:8" s="223" customFormat="1" x14ac:dyDescent="0.35">
      <c r="D1627" s="222"/>
      <c r="E1627" s="222"/>
      <c r="F1627" s="222"/>
      <c r="G1627" s="222"/>
      <c r="H1627" s="222"/>
    </row>
    <row r="1628" spans="4:8" s="223" customFormat="1" x14ac:dyDescent="0.35">
      <c r="D1628" s="222"/>
      <c r="E1628" s="222"/>
      <c r="F1628" s="222"/>
      <c r="G1628" s="222"/>
      <c r="H1628" s="222"/>
    </row>
    <row r="1629" spans="4:8" s="223" customFormat="1" x14ac:dyDescent="0.35">
      <c r="D1629" s="222"/>
      <c r="E1629" s="222"/>
      <c r="F1629" s="222"/>
      <c r="G1629" s="222"/>
      <c r="H1629" s="222"/>
    </row>
    <row r="1630" spans="4:8" s="223" customFormat="1" x14ac:dyDescent="0.35">
      <c r="D1630" s="222"/>
      <c r="E1630" s="222"/>
      <c r="F1630" s="222"/>
      <c r="G1630" s="222"/>
      <c r="H1630" s="222"/>
    </row>
    <row r="1631" spans="4:8" s="223" customFormat="1" x14ac:dyDescent="0.35">
      <c r="D1631" s="222"/>
      <c r="E1631" s="222"/>
      <c r="F1631" s="222"/>
      <c r="G1631" s="222"/>
      <c r="H1631" s="222"/>
    </row>
    <row r="1632" spans="4:8" s="223" customFormat="1" x14ac:dyDescent="0.35">
      <c r="D1632" s="222"/>
      <c r="E1632" s="222"/>
      <c r="F1632" s="222"/>
      <c r="G1632" s="222"/>
      <c r="H1632" s="222"/>
    </row>
    <row r="1633" spans="4:8" s="223" customFormat="1" x14ac:dyDescent="0.35">
      <c r="D1633" s="222"/>
      <c r="E1633" s="222"/>
      <c r="F1633" s="222"/>
      <c r="G1633" s="222"/>
      <c r="H1633" s="222"/>
    </row>
    <row r="1634" spans="4:8" s="223" customFormat="1" x14ac:dyDescent="0.35">
      <c r="D1634" s="222"/>
      <c r="E1634" s="222"/>
      <c r="F1634" s="222"/>
      <c r="G1634" s="222"/>
      <c r="H1634" s="222"/>
    </row>
    <row r="1635" spans="4:8" s="223" customFormat="1" x14ac:dyDescent="0.35">
      <c r="D1635" s="222"/>
      <c r="E1635" s="222"/>
      <c r="F1635" s="222"/>
      <c r="G1635" s="222"/>
      <c r="H1635" s="222"/>
    </row>
    <row r="1636" spans="4:8" s="223" customFormat="1" x14ac:dyDescent="0.35">
      <c r="D1636" s="222"/>
      <c r="E1636" s="222"/>
      <c r="F1636" s="222"/>
      <c r="G1636" s="222"/>
      <c r="H1636" s="222"/>
    </row>
    <row r="1637" spans="4:8" s="223" customFormat="1" x14ac:dyDescent="0.35">
      <c r="D1637" s="222"/>
      <c r="E1637" s="222"/>
      <c r="F1637" s="222"/>
      <c r="G1637" s="222"/>
      <c r="H1637" s="222"/>
    </row>
    <row r="1638" spans="4:8" s="223" customFormat="1" x14ac:dyDescent="0.35">
      <c r="D1638" s="222"/>
      <c r="E1638" s="222"/>
      <c r="F1638" s="222"/>
      <c r="G1638" s="222"/>
      <c r="H1638" s="222"/>
    </row>
    <row r="1639" spans="4:8" s="223" customFormat="1" x14ac:dyDescent="0.35">
      <c r="D1639" s="222"/>
      <c r="E1639" s="222"/>
      <c r="F1639" s="222"/>
      <c r="G1639" s="222"/>
      <c r="H1639" s="222"/>
    </row>
    <row r="1640" spans="4:8" s="223" customFormat="1" x14ac:dyDescent="0.35">
      <c r="D1640" s="222"/>
      <c r="E1640" s="222"/>
      <c r="F1640" s="222"/>
      <c r="G1640" s="222"/>
      <c r="H1640" s="222"/>
    </row>
    <row r="1641" spans="4:8" s="223" customFormat="1" x14ac:dyDescent="0.35">
      <c r="D1641" s="222"/>
      <c r="E1641" s="222"/>
      <c r="F1641" s="222"/>
      <c r="G1641" s="222"/>
      <c r="H1641" s="222"/>
    </row>
    <row r="1642" spans="4:8" s="223" customFormat="1" x14ac:dyDescent="0.35">
      <c r="D1642" s="222"/>
      <c r="E1642" s="222"/>
      <c r="F1642" s="222"/>
      <c r="G1642" s="222"/>
      <c r="H1642" s="222"/>
    </row>
    <row r="1643" spans="4:8" s="223" customFormat="1" x14ac:dyDescent="0.35">
      <c r="D1643" s="222"/>
      <c r="E1643" s="222"/>
      <c r="F1643" s="222"/>
      <c r="G1643" s="222"/>
      <c r="H1643" s="222"/>
    </row>
    <row r="1644" spans="4:8" s="223" customFormat="1" x14ac:dyDescent="0.35">
      <c r="D1644" s="222"/>
      <c r="E1644" s="222"/>
      <c r="F1644" s="222"/>
      <c r="G1644" s="222"/>
      <c r="H1644" s="222"/>
    </row>
    <row r="1645" spans="4:8" s="223" customFormat="1" x14ac:dyDescent="0.35">
      <c r="D1645" s="222"/>
      <c r="E1645" s="222"/>
      <c r="F1645" s="222"/>
      <c r="G1645" s="222"/>
      <c r="H1645" s="222"/>
    </row>
    <row r="1646" spans="4:8" s="223" customFormat="1" x14ac:dyDescent="0.35">
      <c r="D1646" s="222"/>
      <c r="E1646" s="222"/>
      <c r="F1646" s="222"/>
      <c r="G1646" s="222"/>
      <c r="H1646" s="222"/>
    </row>
    <row r="1647" spans="4:8" s="223" customFormat="1" x14ac:dyDescent="0.35">
      <c r="D1647" s="222"/>
      <c r="E1647" s="222"/>
      <c r="F1647" s="222"/>
      <c r="G1647" s="222"/>
      <c r="H1647" s="222"/>
    </row>
    <row r="1648" spans="4:8" s="223" customFormat="1" x14ac:dyDescent="0.35">
      <c r="D1648" s="222"/>
      <c r="E1648" s="222"/>
      <c r="F1648" s="222"/>
      <c r="G1648" s="222"/>
      <c r="H1648" s="222"/>
    </row>
    <row r="1649" spans="4:8" s="223" customFormat="1" x14ac:dyDescent="0.35">
      <c r="D1649" s="222"/>
      <c r="E1649" s="222"/>
      <c r="F1649" s="222"/>
      <c r="G1649" s="222"/>
      <c r="H1649" s="222"/>
    </row>
    <row r="1650" spans="4:8" s="223" customFormat="1" x14ac:dyDescent="0.35">
      <c r="D1650" s="222"/>
      <c r="E1650" s="222"/>
      <c r="F1650" s="222"/>
      <c r="G1650" s="222"/>
      <c r="H1650" s="222"/>
    </row>
    <row r="1651" spans="4:8" s="223" customFormat="1" x14ac:dyDescent="0.35">
      <c r="D1651" s="222"/>
      <c r="E1651" s="222"/>
      <c r="F1651" s="222"/>
      <c r="G1651" s="222"/>
      <c r="H1651" s="222"/>
    </row>
    <row r="1652" spans="4:8" s="223" customFormat="1" x14ac:dyDescent="0.35">
      <c r="D1652" s="222"/>
      <c r="E1652" s="222"/>
      <c r="F1652" s="222"/>
      <c r="G1652" s="222"/>
      <c r="H1652" s="222"/>
    </row>
    <row r="1653" spans="4:8" s="223" customFormat="1" x14ac:dyDescent="0.35">
      <c r="D1653" s="222"/>
      <c r="E1653" s="222"/>
      <c r="F1653" s="222"/>
      <c r="G1653" s="222"/>
      <c r="H1653" s="222"/>
    </row>
    <row r="1654" spans="4:8" s="223" customFormat="1" x14ac:dyDescent="0.35">
      <c r="D1654" s="222"/>
      <c r="E1654" s="222"/>
      <c r="F1654" s="222"/>
      <c r="G1654" s="222"/>
      <c r="H1654" s="222"/>
    </row>
    <row r="1655" spans="4:8" s="223" customFormat="1" x14ac:dyDescent="0.35">
      <c r="D1655" s="222"/>
      <c r="E1655" s="222"/>
      <c r="F1655" s="222"/>
      <c r="G1655" s="222"/>
      <c r="H1655" s="222"/>
    </row>
    <row r="1656" spans="4:8" s="223" customFormat="1" x14ac:dyDescent="0.35">
      <c r="D1656" s="222"/>
      <c r="E1656" s="222"/>
      <c r="F1656" s="222"/>
      <c r="G1656" s="222"/>
      <c r="H1656" s="222"/>
    </row>
    <row r="1657" spans="4:8" s="223" customFormat="1" x14ac:dyDescent="0.35">
      <c r="D1657" s="222"/>
      <c r="E1657" s="222"/>
      <c r="F1657" s="222"/>
      <c r="G1657" s="222"/>
      <c r="H1657" s="222"/>
    </row>
    <row r="1658" spans="4:8" s="223" customFormat="1" x14ac:dyDescent="0.35">
      <c r="D1658" s="222"/>
      <c r="E1658" s="222"/>
      <c r="F1658" s="222"/>
      <c r="G1658" s="222"/>
      <c r="H1658" s="222"/>
    </row>
    <row r="1659" spans="4:8" s="223" customFormat="1" x14ac:dyDescent="0.35">
      <c r="D1659" s="222"/>
      <c r="E1659" s="222"/>
      <c r="F1659" s="222"/>
      <c r="G1659" s="222"/>
      <c r="H1659" s="222"/>
    </row>
    <row r="1660" spans="4:8" s="223" customFormat="1" x14ac:dyDescent="0.35">
      <c r="D1660" s="222"/>
      <c r="E1660" s="222"/>
      <c r="F1660" s="222"/>
      <c r="G1660" s="222"/>
      <c r="H1660" s="222"/>
    </row>
    <row r="1661" spans="4:8" s="223" customFormat="1" x14ac:dyDescent="0.35">
      <c r="D1661" s="222"/>
      <c r="E1661" s="222"/>
      <c r="F1661" s="222"/>
      <c r="G1661" s="222"/>
      <c r="H1661" s="222"/>
    </row>
    <row r="1662" spans="4:8" s="223" customFormat="1" x14ac:dyDescent="0.35">
      <c r="D1662" s="222"/>
      <c r="E1662" s="222"/>
      <c r="F1662" s="222"/>
      <c r="G1662" s="222"/>
      <c r="H1662" s="222"/>
    </row>
    <row r="1663" spans="4:8" s="223" customFormat="1" x14ac:dyDescent="0.35">
      <c r="D1663" s="222"/>
      <c r="E1663" s="222"/>
      <c r="F1663" s="222"/>
      <c r="G1663" s="222"/>
      <c r="H1663" s="222"/>
    </row>
    <row r="1664" spans="4:8" s="223" customFormat="1" x14ac:dyDescent="0.35">
      <c r="D1664" s="222"/>
      <c r="E1664" s="222"/>
      <c r="F1664" s="222"/>
      <c r="G1664" s="222"/>
      <c r="H1664" s="222"/>
    </row>
    <row r="1665" spans="4:8" s="223" customFormat="1" x14ac:dyDescent="0.35">
      <c r="D1665" s="222"/>
      <c r="E1665" s="222"/>
      <c r="F1665" s="222"/>
      <c r="G1665" s="222"/>
      <c r="H1665" s="222"/>
    </row>
    <row r="1666" spans="4:8" s="223" customFormat="1" x14ac:dyDescent="0.35">
      <c r="D1666" s="222"/>
      <c r="E1666" s="222"/>
      <c r="F1666" s="222"/>
      <c r="G1666" s="222"/>
      <c r="H1666" s="222"/>
    </row>
    <row r="1667" spans="4:8" s="223" customFormat="1" x14ac:dyDescent="0.35">
      <c r="D1667" s="222"/>
      <c r="E1667" s="222"/>
      <c r="F1667" s="222"/>
      <c r="G1667" s="222"/>
      <c r="H1667" s="222"/>
    </row>
    <row r="1668" spans="4:8" s="223" customFormat="1" x14ac:dyDescent="0.35">
      <c r="D1668" s="222"/>
      <c r="E1668" s="222"/>
      <c r="F1668" s="222"/>
      <c r="G1668" s="222"/>
      <c r="H1668" s="222"/>
    </row>
    <row r="1669" spans="4:8" s="223" customFormat="1" x14ac:dyDescent="0.35">
      <c r="D1669" s="222"/>
      <c r="E1669" s="222"/>
      <c r="F1669" s="222"/>
      <c r="G1669" s="222"/>
      <c r="H1669" s="222"/>
    </row>
    <row r="1670" spans="4:8" s="223" customFormat="1" x14ac:dyDescent="0.35">
      <c r="D1670" s="222"/>
      <c r="E1670" s="222"/>
      <c r="F1670" s="222"/>
      <c r="G1670" s="222"/>
      <c r="H1670" s="222"/>
    </row>
    <row r="1671" spans="4:8" s="223" customFormat="1" x14ac:dyDescent="0.35">
      <c r="D1671" s="222"/>
      <c r="E1671" s="222"/>
      <c r="F1671" s="222"/>
      <c r="G1671" s="222"/>
      <c r="H1671" s="222"/>
    </row>
    <row r="1672" spans="4:8" s="223" customFormat="1" x14ac:dyDescent="0.35">
      <c r="D1672" s="222"/>
      <c r="E1672" s="222"/>
      <c r="F1672" s="222"/>
      <c r="G1672" s="222"/>
      <c r="H1672" s="222"/>
    </row>
    <row r="1673" spans="4:8" s="223" customFormat="1" x14ac:dyDescent="0.35">
      <c r="D1673" s="222"/>
      <c r="E1673" s="222"/>
      <c r="F1673" s="222"/>
      <c r="G1673" s="222"/>
      <c r="H1673" s="222"/>
    </row>
    <row r="1674" spans="4:8" s="223" customFormat="1" x14ac:dyDescent="0.35">
      <c r="D1674" s="222"/>
      <c r="E1674" s="222"/>
      <c r="F1674" s="222"/>
      <c r="G1674" s="222"/>
      <c r="H1674" s="222"/>
    </row>
    <row r="1675" spans="4:8" s="223" customFormat="1" x14ac:dyDescent="0.35">
      <c r="D1675" s="222"/>
      <c r="E1675" s="222"/>
      <c r="F1675" s="222"/>
      <c r="G1675" s="222"/>
      <c r="H1675" s="222"/>
    </row>
    <row r="1676" spans="4:8" s="223" customFormat="1" x14ac:dyDescent="0.35">
      <c r="D1676" s="222"/>
      <c r="E1676" s="222"/>
      <c r="F1676" s="222"/>
      <c r="G1676" s="222"/>
      <c r="H1676" s="222"/>
    </row>
    <row r="1677" spans="4:8" s="223" customFormat="1" x14ac:dyDescent="0.35">
      <c r="D1677" s="222"/>
      <c r="E1677" s="222"/>
      <c r="F1677" s="222"/>
      <c r="G1677" s="222"/>
      <c r="H1677" s="222"/>
    </row>
    <row r="1678" spans="4:8" s="223" customFormat="1" x14ac:dyDescent="0.35">
      <c r="D1678" s="222"/>
      <c r="E1678" s="222"/>
      <c r="F1678" s="222"/>
      <c r="G1678" s="222"/>
      <c r="H1678" s="222"/>
    </row>
    <row r="1679" spans="4:8" s="223" customFormat="1" x14ac:dyDescent="0.35">
      <c r="D1679" s="222"/>
      <c r="E1679" s="222"/>
      <c r="F1679" s="222"/>
      <c r="G1679" s="222"/>
      <c r="H1679" s="222"/>
    </row>
    <row r="1680" spans="4:8" s="223" customFormat="1" x14ac:dyDescent="0.35">
      <c r="D1680" s="222"/>
      <c r="E1680" s="222"/>
      <c r="F1680" s="222"/>
      <c r="G1680" s="222"/>
      <c r="H1680" s="222"/>
    </row>
    <row r="1681" spans="4:8" s="223" customFormat="1" x14ac:dyDescent="0.35">
      <c r="D1681" s="222"/>
      <c r="E1681" s="222"/>
      <c r="F1681" s="222"/>
      <c r="G1681" s="222"/>
      <c r="H1681" s="222"/>
    </row>
    <row r="1682" spans="4:8" s="223" customFormat="1" x14ac:dyDescent="0.35">
      <c r="D1682" s="222"/>
      <c r="E1682" s="222"/>
      <c r="F1682" s="222"/>
      <c r="G1682" s="222"/>
      <c r="H1682" s="222"/>
    </row>
    <row r="1683" spans="4:8" s="223" customFormat="1" x14ac:dyDescent="0.35">
      <c r="D1683" s="222"/>
      <c r="E1683" s="222"/>
      <c r="F1683" s="222"/>
      <c r="G1683" s="222"/>
      <c r="H1683" s="222"/>
    </row>
    <row r="1684" spans="4:8" s="223" customFormat="1" x14ac:dyDescent="0.35">
      <c r="D1684" s="222"/>
      <c r="E1684" s="222"/>
      <c r="F1684" s="222"/>
      <c r="G1684" s="222"/>
      <c r="H1684" s="222"/>
    </row>
    <row r="1685" spans="4:8" s="223" customFormat="1" x14ac:dyDescent="0.35">
      <c r="D1685" s="222"/>
      <c r="E1685" s="222"/>
      <c r="F1685" s="222"/>
      <c r="G1685" s="222"/>
      <c r="H1685" s="222"/>
    </row>
    <row r="1686" spans="4:8" s="223" customFormat="1" x14ac:dyDescent="0.35">
      <c r="D1686" s="222"/>
      <c r="E1686" s="222"/>
      <c r="F1686" s="222"/>
      <c r="G1686" s="222"/>
      <c r="H1686" s="222"/>
    </row>
    <row r="1687" spans="4:8" s="223" customFormat="1" x14ac:dyDescent="0.35">
      <c r="D1687" s="222"/>
      <c r="E1687" s="222"/>
      <c r="F1687" s="222"/>
      <c r="G1687" s="222"/>
      <c r="H1687" s="222"/>
    </row>
    <row r="1688" spans="4:8" s="223" customFormat="1" x14ac:dyDescent="0.35">
      <c r="D1688" s="222"/>
      <c r="E1688" s="222"/>
      <c r="F1688" s="222"/>
      <c r="G1688" s="222"/>
      <c r="H1688" s="222"/>
    </row>
    <row r="1689" spans="4:8" s="223" customFormat="1" x14ac:dyDescent="0.35">
      <c r="D1689" s="222"/>
      <c r="E1689" s="222"/>
      <c r="F1689" s="222"/>
      <c r="G1689" s="222"/>
      <c r="H1689" s="222"/>
    </row>
    <row r="1690" spans="4:8" s="223" customFormat="1" x14ac:dyDescent="0.35">
      <c r="D1690" s="222"/>
      <c r="E1690" s="222"/>
      <c r="F1690" s="222"/>
      <c r="G1690" s="222"/>
      <c r="H1690" s="222"/>
    </row>
    <row r="1691" spans="4:8" s="223" customFormat="1" x14ac:dyDescent="0.35">
      <c r="D1691" s="222"/>
      <c r="E1691" s="222"/>
      <c r="F1691" s="222"/>
      <c r="G1691" s="222"/>
      <c r="H1691" s="222"/>
    </row>
    <row r="1692" spans="4:8" s="223" customFormat="1" x14ac:dyDescent="0.35">
      <c r="D1692" s="222"/>
      <c r="E1692" s="222"/>
      <c r="F1692" s="222"/>
      <c r="G1692" s="222"/>
      <c r="H1692" s="222"/>
    </row>
    <row r="1693" spans="4:8" s="223" customFormat="1" x14ac:dyDescent="0.35">
      <c r="D1693" s="222"/>
      <c r="E1693" s="222"/>
      <c r="F1693" s="222"/>
      <c r="G1693" s="222"/>
      <c r="H1693" s="222"/>
    </row>
    <row r="1694" spans="4:8" s="223" customFormat="1" x14ac:dyDescent="0.35">
      <c r="D1694" s="222"/>
      <c r="E1694" s="222"/>
      <c r="F1694" s="222"/>
      <c r="G1694" s="222"/>
      <c r="H1694" s="222"/>
    </row>
    <row r="1695" spans="4:8" s="223" customFormat="1" x14ac:dyDescent="0.35">
      <c r="D1695" s="222"/>
      <c r="E1695" s="222"/>
      <c r="F1695" s="222"/>
      <c r="G1695" s="222"/>
      <c r="H1695" s="222"/>
    </row>
    <row r="1696" spans="4:8" s="223" customFormat="1" x14ac:dyDescent="0.35">
      <c r="D1696" s="222"/>
      <c r="E1696" s="222"/>
      <c r="F1696" s="222"/>
      <c r="G1696" s="222"/>
      <c r="H1696" s="222"/>
    </row>
    <row r="1697" spans="4:8" s="223" customFormat="1" x14ac:dyDescent="0.35">
      <c r="D1697" s="222"/>
      <c r="E1697" s="222"/>
      <c r="F1697" s="222"/>
      <c r="G1697" s="222"/>
      <c r="H1697" s="222"/>
    </row>
    <row r="1698" spans="4:8" s="223" customFormat="1" x14ac:dyDescent="0.35">
      <c r="D1698" s="222"/>
      <c r="E1698" s="222"/>
      <c r="F1698" s="222"/>
      <c r="G1698" s="222"/>
      <c r="H1698" s="222"/>
    </row>
    <row r="1699" spans="4:8" s="223" customFormat="1" x14ac:dyDescent="0.35">
      <c r="D1699" s="222"/>
      <c r="E1699" s="222"/>
      <c r="F1699" s="222"/>
      <c r="G1699" s="222"/>
      <c r="H1699" s="222"/>
    </row>
    <row r="1700" spans="4:8" s="223" customFormat="1" x14ac:dyDescent="0.35">
      <c r="D1700" s="222"/>
      <c r="E1700" s="222"/>
      <c r="F1700" s="222"/>
      <c r="G1700" s="222"/>
      <c r="H1700" s="222"/>
    </row>
    <row r="1701" spans="4:8" s="223" customFormat="1" x14ac:dyDescent="0.35">
      <c r="D1701" s="222"/>
      <c r="E1701" s="222"/>
      <c r="F1701" s="222"/>
      <c r="G1701" s="222"/>
      <c r="H1701" s="222"/>
    </row>
    <row r="1702" spans="4:8" s="223" customFormat="1" x14ac:dyDescent="0.35">
      <c r="D1702" s="222"/>
      <c r="E1702" s="222"/>
      <c r="F1702" s="222"/>
      <c r="G1702" s="222"/>
      <c r="H1702" s="222"/>
    </row>
    <row r="1703" spans="4:8" s="223" customFormat="1" x14ac:dyDescent="0.35">
      <c r="D1703" s="222"/>
      <c r="E1703" s="222"/>
      <c r="F1703" s="222"/>
      <c r="G1703" s="222"/>
      <c r="H1703" s="222"/>
    </row>
    <row r="1704" spans="4:8" s="223" customFormat="1" x14ac:dyDescent="0.35">
      <c r="D1704" s="222"/>
      <c r="E1704" s="222"/>
      <c r="F1704" s="222"/>
      <c r="G1704" s="222"/>
      <c r="H1704" s="222"/>
    </row>
    <row r="1705" spans="4:8" s="223" customFormat="1" x14ac:dyDescent="0.35">
      <c r="D1705" s="222"/>
      <c r="E1705" s="222"/>
      <c r="F1705" s="222"/>
      <c r="G1705" s="222"/>
      <c r="H1705" s="222"/>
    </row>
    <row r="1706" spans="4:8" s="223" customFormat="1" x14ac:dyDescent="0.35">
      <c r="D1706" s="222"/>
      <c r="E1706" s="222"/>
      <c r="F1706" s="222"/>
      <c r="G1706" s="222"/>
      <c r="H1706" s="222"/>
    </row>
    <row r="1707" spans="4:8" s="223" customFormat="1" x14ac:dyDescent="0.35">
      <c r="D1707" s="222"/>
      <c r="E1707" s="222"/>
      <c r="F1707" s="222"/>
      <c r="G1707" s="222"/>
      <c r="H1707" s="222"/>
    </row>
    <row r="1708" spans="4:8" s="223" customFormat="1" x14ac:dyDescent="0.35">
      <c r="D1708" s="222"/>
      <c r="E1708" s="222"/>
      <c r="F1708" s="222"/>
      <c r="G1708" s="222"/>
      <c r="H1708" s="222"/>
    </row>
    <row r="1709" spans="4:8" s="223" customFormat="1" x14ac:dyDescent="0.35">
      <c r="D1709" s="222"/>
      <c r="E1709" s="222"/>
      <c r="F1709" s="222"/>
      <c r="G1709" s="222"/>
      <c r="H1709" s="222"/>
    </row>
    <row r="1710" spans="4:8" s="223" customFormat="1" x14ac:dyDescent="0.35">
      <c r="D1710" s="222"/>
      <c r="E1710" s="222"/>
      <c r="F1710" s="222"/>
      <c r="G1710" s="222"/>
      <c r="H1710" s="222"/>
    </row>
    <row r="1711" spans="4:8" s="223" customFormat="1" x14ac:dyDescent="0.35">
      <c r="D1711" s="222"/>
      <c r="E1711" s="222"/>
      <c r="F1711" s="222"/>
      <c r="G1711" s="222"/>
      <c r="H1711" s="222"/>
    </row>
    <row r="1712" spans="4:8" s="223" customFormat="1" x14ac:dyDescent="0.35">
      <c r="D1712" s="222"/>
      <c r="E1712" s="222"/>
      <c r="F1712" s="222"/>
      <c r="G1712" s="222"/>
      <c r="H1712" s="222"/>
    </row>
    <row r="1713" spans="4:8" s="223" customFormat="1" x14ac:dyDescent="0.35">
      <c r="D1713" s="222"/>
      <c r="E1713" s="222"/>
      <c r="F1713" s="222"/>
      <c r="G1713" s="222"/>
      <c r="H1713" s="222"/>
    </row>
    <row r="1714" spans="4:8" s="223" customFormat="1" x14ac:dyDescent="0.35">
      <c r="D1714" s="222"/>
      <c r="E1714" s="222"/>
      <c r="F1714" s="222"/>
      <c r="G1714" s="222"/>
      <c r="H1714" s="222"/>
    </row>
    <row r="1715" spans="4:8" s="223" customFormat="1" x14ac:dyDescent="0.35">
      <c r="D1715" s="222"/>
      <c r="E1715" s="222"/>
      <c r="F1715" s="222"/>
      <c r="G1715" s="222"/>
      <c r="H1715" s="222"/>
    </row>
    <row r="1716" spans="4:8" s="223" customFormat="1" x14ac:dyDescent="0.35">
      <c r="D1716" s="222"/>
      <c r="E1716" s="222"/>
      <c r="F1716" s="222"/>
      <c r="G1716" s="222"/>
      <c r="H1716" s="222"/>
    </row>
    <row r="1717" spans="4:8" s="223" customFormat="1" x14ac:dyDescent="0.35">
      <c r="D1717" s="222"/>
      <c r="E1717" s="222"/>
      <c r="F1717" s="222"/>
      <c r="G1717" s="222"/>
      <c r="H1717" s="222"/>
    </row>
    <row r="1718" spans="4:8" s="223" customFormat="1" x14ac:dyDescent="0.35">
      <c r="D1718" s="222"/>
      <c r="E1718" s="222"/>
      <c r="F1718" s="222"/>
      <c r="G1718" s="222"/>
      <c r="H1718" s="222"/>
    </row>
    <row r="1719" spans="4:8" s="223" customFormat="1" x14ac:dyDescent="0.35">
      <c r="D1719" s="222"/>
      <c r="E1719" s="222"/>
      <c r="F1719" s="222"/>
      <c r="G1719" s="222"/>
      <c r="H1719" s="222"/>
    </row>
    <row r="1720" spans="4:8" s="223" customFormat="1" x14ac:dyDescent="0.35">
      <c r="D1720" s="222"/>
      <c r="E1720" s="222"/>
      <c r="F1720" s="222"/>
      <c r="G1720" s="222"/>
      <c r="H1720" s="222"/>
    </row>
    <row r="1721" spans="4:8" s="223" customFormat="1" x14ac:dyDescent="0.35">
      <c r="D1721" s="222"/>
      <c r="E1721" s="222"/>
      <c r="F1721" s="222"/>
      <c r="G1721" s="222"/>
      <c r="H1721" s="222"/>
    </row>
    <row r="1722" spans="4:8" s="223" customFormat="1" x14ac:dyDescent="0.35">
      <c r="D1722" s="222"/>
      <c r="E1722" s="222"/>
      <c r="F1722" s="222"/>
      <c r="G1722" s="222"/>
      <c r="H1722" s="222"/>
    </row>
    <row r="1723" spans="4:8" s="223" customFormat="1" x14ac:dyDescent="0.35">
      <c r="D1723" s="222"/>
      <c r="E1723" s="222"/>
      <c r="F1723" s="222"/>
      <c r="G1723" s="222"/>
      <c r="H1723" s="222"/>
    </row>
    <row r="1724" spans="4:8" s="223" customFormat="1" x14ac:dyDescent="0.35">
      <c r="D1724" s="222"/>
      <c r="E1724" s="222"/>
      <c r="F1724" s="222"/>
      <c r="G1724" s="222"/>
      <c r="H1724" s="222"/>
    </row>
    <row r="1725" spans="4:8" s="223" customFormat="1" x14ac:dyDescent="0.35">
      <c r="D1725" s="222"/>
      <c r="E1725" s="222"/>
      <c r="F1725" s="222"/>
      <c r="G1725" s="222"/>
      <c r="H1725" s="222"/>
    </row>
    <row r="1726" spans="4:8" s="223" customFormat="1" x14ac:dyDescent="0.35">
      <c r="D1726" s="222"/>
      <c r="E1726" s="222"/>
      <c r="F1726" s="222"/>
      <c r="G1726" s="222"/>
      <c r="H1726" s="222"/>
    </row>
    <row r="1727" spans="4:8" s="223" customFormat="1" x14ac:dyDescent="0.35">
      <c r="D1727" s="222"/>
      <c r="E1727" s="222"/>
      <c r="F1727" s="222"/>
      <c r="G1727" s="222"/>
      <c r="H1727" s="222"/>
    </row>
    <row r="1728" spans="4:8" s="223" customFormat="1" x14ac:dyDescent="0.35">
      <c r="D1728" s="222"/>
      <c r="E1728" s="222"/>
      <c r="F1728" s="222"/>
      <c r="G1728" s="222"/>
      <c r="H1728" s="222"/>
    </row>
    <row r="1729" spans="4:8" s="223" customFormat="1" x14ac:dyDescent="0.35">
      <c r="D1729" s="222"/>
      <c r="E1729" s="222"/>
      <c r="F1729" s="222"/>
      <c r="G1729" s="222"/>
      <c r="H1729" s="222"/>
    </row>
    <row r="1730" spans="4:8" s="223" customFormat="1" x14ac:dyDescent="0.35">
      <c r="D1730" s="222"/>
      <c r="E1730" s="222"/>
      <c r="F1730" s="222"/>
      <c r="G1730" s="222"/>
      <c r="H1730" s="222"/>
    </row>
    <row r="1731" spans="4:8" s="223" customFormat="1" x14ac:dyDescent="0.35">
      <c r="D1731" s="222"/>
      <c r="E1731" s="222"/>
      <c r="F1731" s="222"/>
      <c r="G1731" s="222"/>
      <c r="H1731" s="222"/>
    </row>
    <row r="1732" spans="4:8" s="223" customFormat="1" x14ac:dyDescent="0.35">
      <c r="D1732" s="222"/>
      <c r="E1732" s="222"/>
      <c r="F1732" s="222"/>
      <c r="G1732" s="222"/>
      <c r="H1732" s="222"/>
    </row>
    <row r="1733" spans="4:8" s="223" customFormat="1" x14ac:dyDescent="0.35">
      <c r="D1733" s="222"/>
      <c r="E1733" s="222"/>
      <c r="F1733" s="222"/>
      <c r="G1733" s="222"/>
      <c r="H1733" s="222"/>
    </row>
    <row r="1734" spans="4:8" s="223" customFormat="1" x14ac:dyDescent="0.35">
      <c r="D1734" s="222"/>
      <c r="E1734" s="222"/>
      <c r="F1734" s="222"/>
      <c r="G1734" s="222"/>
      <c r="H1734" s="222"/>
    </row>
    <row r="1735" spans="4:8" s="223" customFormat="1" x14ac:dyDescent="0.35">
      <c r="D1735" s="222"/>
      <c r="E1735" s="222"/>
      <c r="F1735" s="222"/>
      <c r="G1735" s="222"/>
      <c r="H1735" s="222"/>
    </row>
    <row r="1736" spans="4:8" s="223" customFormat="1" x14ac:dyDescent="0.35">
      <c r="D1736" s="222"/>
      <c r="E1736" s="222"/>
      <c r="F1736" s="222"/>
      <c r="G1736" s="222"/>
      <c r="H1736" s="222"/>
    </row>
    <row r="1737" spans="4:8" s="223" customFormat="1" x14ac:dyDescent="0.35">
      <c r="D1737" s="222"/>
      <c r="E1737" s="222"/>
      <c r="F1737" s="222"/>
      <c r="G1737" s="222"/>
      <c r="H1737" s="222"/>
    </row>
    <row r="1738" spans="4:8" s="223" customFormat="1" x14ac:dyDescent="0.35">
      <c r="D1738" s="222"/>
      <c r="E1738" s="222"/>
      <c r="F1738" s="222"/>
      <c r="G1738" s="222"/>
      <c r="H1738" s="222"/>
    </row>
    <row r="1739" spans="4:8" s="223" customFormat="1" x14ac:dyDescent="0.35">
      <c r="D1739" s="222"/>
      <c r="E1739" s="222"/>
      <c r="F1739" s="222"/>
      <c r="G1739" s="222"/>
      <c r="H1739" s="222"/>
    </row>
    <row r="1740" spans="4:8" s="223" customFormat="1" x14ac:dyDescent="0.35">
      <c r="D1740" s="222"/>
      <c r="E1740" s="222"/>
      <c r="F1740" s="222"/>
      <c r="G1740" s="222"/>
      <c r="H1740" s="222"/>
    </row>
    <row r="1741" spans="4:8" s="223" customFormat="1" x14ac:dyDescent="0.35">
      <c r="D1741" s="222"/>
      <c r="E1741" s="222"/>
      <c r="F1741" s="222"/>
      <c r="G1741" s="222"/>
      <c r="H1741" s="222"/>
    </row>
    <row r="1742" spans="4:8" s="223" customFormat="1" x14ac:dyDescent="0.35">
      <c r="D1742" s="222"/>
      <c r="E1742" s="222"/>
      <c r="F1742" s="222"/>
      <c r="G1742" s="222"/>
      <c r="H1742" s="222"/>
    </row>
    <row r="1743" spans="4:8" s="223" customFormat="1" x14ac:dyDescent="0.35">
      <c r="D1743" s="222"/>
      <c r="E1743" s="222"/>
      <c r="F1743" s="222"/>
      <c r="G1743" s="222"/>
      <c r="H1743" s="222"/>
    </row>
    <row r="1744" spans="4:8" s="223" customFormat="1" x14ac:dyDescent="0.35">
      <c r="D1744" s="222"/>
      <c r="E1744" s="222"/>
      <c r="F1744" s="222"/>
      <c r="G1744" s="222"/>
      <c r="H1744" s="222"/>
    </row>
    <row r="1745" spans="4:8" s="223" customFormat="1" x14ac:dyDescent="0.35">
      <c r="D1745" s="222"/>
      <c r="E1745" s="222"/>
      <c r="F1745" s="222"/>
      <c r="G1745" s="222"/>
      <c r="H1745" s="222"/>
    </row>
    <row r="1746" spans="4:8" s="223" customFormat="1" x14ac:dyDescent="0.35">
      <c r="D1746" s="222"/>
      <c r="E1746" s="222"/>
      <c r="F1746" s="222"/>
      <c r="G1746" s="222"/>
      <c r="H1746" s="222"/>
    </row>
    <row r="1747" spans="4:8" s="223" customFormat="1" x14ac:dyDescent="0.35">
      <c r="D1747" s="222"/>
      <c r="E1747" s="222"/>
      <c r="F1747" s="222"/>
      <c r="G1747" s="222"/>
      <c r="H1747" s="222"/>
    </row>
    <row r="1748" spans="4:8" s="223" customFormat="1" x14ac:dyDescent="0.35">
      <c r="D1748" s="222"/>
      <c r="E1748" s="222"/>
      <c r="F1748" s="222"/>
      <c r="G1748" s="222"/>
      <c r="H1748" s="222"/>
    </row>
    <row r="1749" spans="4:8" s="223" customFormat="1" x14ac:dyDescent="0.35">
      <c r="D1749" s="222"/>
      <c r="E1749" s="222"/>
      <c r="F1749" s="222"/>
      <c r="G1749" s="222"/>
      <c r="H1749" s="222"/>
    </row>
    <row r="1750" spans="4:8" s="223" customFormat="1" x14ac:dyDescent="0.35">
      <c r="D1750" s="222"/>
      <c r="E1750" s="222"/>
      <c r="F1750" s="222"/>
      <c r="G1750" s="222"/>
      <c r="H1750" s="222"/>
    </row>
    <row r="1751" spans="4:8" s="223" customFormat="1" x14ac:dyDescent="0.35">
      <c r="D1751" s="222"/>
      <c r="E1751" s="222"/>
      <c r="F1751" s="222"/>
      <c r="G1751" s="222"/>
      <c r="H1751" s="222"/>
    </row>
    <row r="1752" spans="4:8" s="223" customFormat="1" x14ac:dyDescent="0.35">
      <c r="D1752" s="222"/>
      <c r="E1752" s="222"/>
      <c r="F1752" s="222"/>
      <c r="G1752" s="222"/>
      <c r="H1752" s="222"/>
    </row>
    <row r="1753" spans="4:8" s="223" customFormat="1" x14ac:dyDescent="0.35">
      <c r="D1753" s="222"/>
      <c r="E1753" s="222"/>
      <c r="F1753" s="222"/>
      <c r="G1753" s="222"/>
      <c r="H1753" s="222"/>
    </row>
    <row r="1754" spans="4:8" s="223" customFormat="1" x14ac:dyDescent="0.35">
      <c r="D1754" s="222"/>
      <c r="E1754" s="222"/>
      <c r="F1754" s="222"/>
      <c r="G1754" s="222"/>
      <c r="H1754" s="222"/>
    </row>
    <row r="1755" spans="4:8" s="223" customFormat="1" x14ac:dyDescent="0.35">
      <c r="D1755" s="222"/>
      <c r="E1755" s="222"/>
      <c r="F1755" s="222"/>
      <c r="G1755" s="222"/>
      <c r="H1755" s="222"/>
    </row>
    <row r="1756" spans="4:8" s="223" customFormat="1" x14ac:dyDescent="0.35">
      <c r="D1756" s="222"/>
      <c r="E1756" s="222"/>
      <c r="F1756" s="222"/>
      <c r="G1756" s="222"/>
      <c r="H1756" s="222"/>
    </row>
    <row r="1757" spans="4:8" s="223" customFormat="1" x14ac:dyDescent="0.35">
      <c r="D1757" s="222"/>
      <c r="E1757" s="222"/>
      <c r="F1757" s="222"/>
      <c r="G1757" s="222"/>
      <c r="H1757" s="222"/>
    </row>
    <row r="1758" spans="4:8" s="223" customFormat="1" x14ac:dyDescent="0.35">
      <c r="D1758" s="222"/>
      <c r="E1758" s="222"/>
      <c r="F1758" s="222"/>
      <c r="G1758" s="222"/>
      <c r="H1758" s="222"/>
    </row>
    <row r="1759" spans="4:8" s="223" customFormat="1" x14ac:dyDescent="0.35">
      <c r="D1759" s="222"/>
      <c r="E1759" s="222"/>
      <c r="F1759" s="222"/>
      <c r="G1759" s="222"/>
      <c r="H1759" s="222"/>
    </row>
    <row r="1760" spans="4:8" s="223" customFormat="1" x14ac:dyDescent="0.35">
      <c r="D1760" s="222"/>
      <c r="E1760" s="222"/>
      <c r="F1760" s="222"/>
      <c r="G1760" s="222"/>
      <c r="H1760" s="222"/>
    </row>
    <row r="1761" spans="4:8" s="223" customFormat="1" x14ac:dyDescent="0.35">
      <c r="D1761" s="222"/>
      <c r="E1761" s="222"/>
      <c r="F1761" s="222"/>
      <c r="G1761" s="222"/>
      <c r="H1761" s="222"/>
    </row>
    <row r="1762" spans="4:8" s="223" customFormat="1" x14ac:dyDescent="0.35">
      <c r="D1762" s="222"/>
      <c r="E1762" s="222"/>
      <c r="F1762" s="222"/>
      <c r="G1762" s="222"/>
      <c r="H1762" s="222"/>
    </row>
    <row r="1763" spans="4:8" s="223" customFormat="1" x14ac:dyDescent="0.35">
      <c r="D1763" s="222"/>
      <c r="E1763" s="222"/>
      <c r="F1763" s="222"/>
      <c r="G1763" s="222"/>
      <c r="H1763" s="222"/>
    </row>
    <row r="1764" spans="4:8" s="223" customFormat="1" x14ac:dyDescent="0.35">
      <c r="D1764" s="222"/>
      <c r="E1764" s="222"/>
      <c r="F1764" s="222"/>
      <c r="G1764" s="222"/>
      <c r="H1764" s="222"/>
    </row>
    <row r="1765" spans="4:8" s="223" customFormat="1" x14ac:dyDescent="0.35">
      <c r="D1765" s="222"/>
      <c r="E1765" s="222"/>
      <c r="F1765" s="222"/>
      <c r="G1765" s="222"/>
      <c r="H1765" s="222"/>
    </row>
    <row r="1766" spans="4:8" s="223" customFormat="1" x14ac:dyDescent="0.35">
      <c r="D1766" s="222"/>
      <c r="E1766" s="222"/>
      <c r="F1766" s="222"/>
      <c r="G1766" s="222"/>
      <c r="H1766" s="222"/>
    </row>
    <row r="1767" spans="4:8" s="223" customFormat="1" x14ac:dyDescent="0.35">
      <c r="D1767" s="222"/>
      <c r="E1767" s="222"/>
      <c r="F1767" s="222"/>
      <c r="G1767" s="222"/>
      <c r="H1767" s="222"/>
    </row>
    <row r="1768" spans="4:8" s="223" customFormat="1" x14ac:dyDescent="0.35">
      <c r="D1768" s="222"/>
      <c r="E1768" s="222"/>
      <c r="F1768" s="222"/>
      <c r="G1768" s="222"/>
      <c r="H1768" s="222"/>
    </row>
    <row r="1769" spans="4:8" s="223" customFormat="1" x14ac:dyDescent="0.35">
      <c r="D1769" s="222"/>
      <c r="E1769" s="222"/>
      <c r="F1769" s="222"/>
      <c r="G1769" s="222"/>
      <c r="H1769" s="222"/>
    </row>
    <row r="1770" spans="4:8" s="223" customFormat="1" x14ac:dyDescent="0.35">
      <c r="D1770" s="222"/>
      <c r="E1770" s="222"/>
      <c r="F1770" s="222"/>
      <c r="G1770" s="222"/>
      <c r="H1770" s="222"/>
    </row>
    <row r="1771" spans="4:8" s="223" customFormat="1" x14ac:dyDescent="0.35">
      <c r="D1771" s="222"/>
      <c r="E1771" s="222"/>
      <c r="F1771" s="222"/>
      <c r="G1771" s="222"/>
      <c r="H1771" s="222"/>
    </row>
    <row r="1772" spans="4:8" s="223" customFormat="1" x14ac:dyDescent="0.35">
      <c r="D1772" s="222"/>
      <c r="E1772" s="222"/>
      <c r="F1772" s="222"/>
      <c r="G1772" s="222"/>
      <c r="H1772" s="222"/>
    </row>
    <row r="1773" spans="4:8" s="223" customFormat="1" x14ac:dyDescent="0.35">
      <c r="D1773" s="222"/>
      <c r="E1773" s="222"/>
      <c r="F1773" s="222"/>
      <c r="G1773" s="222"/>
      <c r="H1773" s="222"/>
    </row>
    <row r="1774" spans="4:8" s="223" customFormat="1" x14ac:dyDescent="0.35">
      <c r="D1774" s="222"/>
      <c r="E1774" s="222"/>
      <c r="F1774" s="222"/>
      <c r="G1774" s="222"/>
      <c r="H1774" s="222"/>
    </row>
    <row r="1775" spans="4:8" s="223" customFormat="1" x14ac:dyDescent="0.35">
      <c r="D1775" s="222"/>
      <c r="E1775" s="222"/>
      <c r="F1775" s="222"/>
      <c r="G1775" s="222"/>
      <c r="H1775" s="222"/>
    </row>
    <row r="1776" spans="4:8" s="223" customFormat="1" x14ac:dyDescent="0.35">
      <c r="D1776" s="222"/>
      <c r="E1776" s="222"/>
      <c r="F1776" s="222"/>
      <c r="G1776" s="222"/>
      <c r="H1776" s="222"/>
    </row>
    <row r="1777" spans="4:8" s="223" customFormat="1" x14ac:dyDescent="0.35">
      <c r="D1777" s="222"/>
      <c r="E1777" s="222"/>
      <c r="F1777" s="222"/>
      <c r="G1777" s="222"/>
      <c r="H1777" s="222"/>
    </row>
    <row r="1778" spans="4:8" s="223" customFormat="1" x14ac:dyDescent="0.35">
      <c r="D1778" s="222"/>
      <c r="E1778" s="222"/>
      <c r="F1778" s="222"/>
      <c r="G1778" s="222"/>
      <c r="H1778" s="222"/>
    </row>
    <row r="1779" spans="4:8" s="223" customFormat="1" x14ac:dyDescent="0.35">
      <c r="D1779" s="222"/>
      <c r="E1779" s="222"/>
      <c r="F1779" s="222"/>
      <c r="G1779" s="222"/>
      <c r="H1779" s="222"/>
    </row>
    <row r="1780" spans="4:8" s="223" customFormat="1" x14ac:dyDescent="0.35">
      <c r="D1780" s="222"/>
      <c r="E1780" s="222"/>
      <c r="F1780" s="222"/>
      <c r="G1780" s="222"/>
      <c r="H1780" s="222"/>
    </row>
    <row r="1781" spans="4:8" s="223" customFormat="1" x14ac:dyDescent="0.35">
      <c r="D1781" s="222"/>
      <c r="E1781" s="222"/>
      <c r="F1781" s="222"/>
      <c r="G1781" s="222"/>
      <c r="H1781" s="222"/>
    </row>
    <row r="1782" spans="4:8" s="223" customFormat="1" x14ac:dyDescent="0.35">
      <c r="D1782" s="222"/>
      <c r="E1782" s="222"/>
      <c r="F1782" s="222"/>
      <c r="G1782" s="222"/>
      <c r="H1782" s="222"/>
    </row>
    <row r="1783" spans="4:8" s="223" customFormat="1" x14ac:dyDescent="0.35">
      <c r="D1783" s="222"/>
      <c r="E1783" s="222"/>
      <c r="F1783" s="222"/>
      <c r="G1783" s="222"/>
      <c r="H1783" s="222"/>
    </row>
    <row r="1784" spans="4:8" s="223" customFormat="1" x14ac:dyDescent="0.35">
      <c r="D1784" s="222"/>
      <c r="E1784" s="222"/>
      <c r="F1784" s="222"/>
      <c r="G1784" s="222"/>
      <c r="H1784" s="222"/>
    </row>
    <row r="1785" spans="4:8" s="223" customFormat="1" x14ac:dyDescent="0.35">
      <c r="D1785" s="222"/>
      <c r="E1785" s="222"/>
      <c r="F1785" s="222"/>
      <c r="G1785" s="222"/>
      <c r="H1785" s="222"/>
    </row>
    <row r="1786" spans="4:8" s="223" customFormat="1" x14ac:dyDescent="0.35">
      <c r="D1786" s="222"/>
      <c r="E1786" s="222"/>
      <c r="F1786" s="222"/>
      <c r="G1786" s="222"/>
      <c r="H1786" s="222"/>
    </row>
    <row r="1787" spans="4:8" s="223" customFormat="1" x14ac:dyDescent="0.35">
      <c r="D1787" s="222"/>
      <c r="E1787" s="222"/>
      <c r="F1787" s="222"/>
      <c r="G1787" s="222"/>
      <c r="H1787" s="222"/>
    </row>
    <row r="1788" spans="4:8" s="223" customFormat="1" x14ac:dyDescent="0.35">
      <c r="D1788" s="222"/>
      <c r="E1788" s="222"/>
      <c r="F1788" s="222"/>
      <c r="G1788" s="222"/>
      <c r="H1788" s="222"/>
    </row>
    <row r="1789" spans="4:8" s="223" customFormat="1" x14ac:dyDescent="0.35">
      <c r="D1789" s="222"/>
      <c r="E1789" s="222"/>
      <c r="F1789" s="222"/>
      <c r="G1789" s="222"/>
      <c r="H1789" s="222"/>
    </row>
    <row r="1790" spans="4:8" s="223" customFormat="1" x14ac:dyDescent="0.35">
      <c r="D1790" s="222"/>
      <c r="E1790" s="222"/>
      <c r="F1790" s="222"/>
      <c r="G1790" s="222"/>
      <c r="H1790" s="222"/>
    </row>
    <row r="1791" spans="4:8" s="223" customFormat="1" x14ac:dyDescent="0.35">
      <c r="D1791" s="222"/>
      <c r="E1791" s="222"/>
      <c r="F1791" s="222"/>
      <c r="G1791" s="222"/>
      <c r="H1791" s="222"/>
    </row>
    <row r="1792" spans="4:8" s="223" customFormat="1" x14ac:dyDescent="0.35">
      <c r="D1792" s="222"/>
      <c r="E1792" s="222"/>
      <c r="F1792" s="222"/>
      <c r="G1792" s="222"/>
      <c r="H1792" s="222"/>
    </row>
    <row r="1793" spans="4:8" s="223" customFormat="1" x14ac:dyDescent="0.35">
      <c r="D1793" s="222"/>
      <c r="E1793" s="222"/>
      <c r="F1793" s="222"/>
      <c r="G1793" s="222"/>
      <c r="H1793" s="222"/>
    </row>
    <row r="1794" spans="4:8" s="223" customFormat="1" x14ac:dyDescent="0.35">
      <c r="D1794" s="222"/>
      <c r="E1794" s="222"/>
      <c r="F1794" s="222"/>
      <c r="G1794" s="222"/>
      <c r="H1794" s="222"/>
    </row>
    <row r="1795" spans="4:8" s="223" customFormat="1" x14ac:dyDescent="0.35">
      <c r="D1795" s="222"/>
      <c r="E1795" s="222"/>
      <c r="F1795" s="222"/>
      <c r="G1795" s="222"/>
      <c r="H1795" s="222"/>
    </row>
    <row r="1796" spans="4:8" s="223" customFormat="1" x14ac:dyDescent="0.35">
      <c r="D1796" s="222"/>
      <c r="E1796" s="222"/>
      <c r="F1796" s="222"/>
      <c r="G1796" s="222"/>
      <c r="H1796" s="222"/>
    </row>
    <row r="1797" spans="4:8" s="223" customFormat="1" x14ac:dyDescent="0.35">
      <c r="D1797" s="222"/>
      <c r="E1797" s="222"/>
      <c r="F1797" s="222"/>
      <c r="G1797" s="222"/>
      <c r="H1797" s="222"/>
    </row>
    <row r="1798" spans="4:8" s="223" customFormat="1" x14ac:dyDescent="0.35">
      <c r="D1798" s="222"/>
      <c r="E1798" s="222"/>
      <c r="F1798" s="222"/>
      <c r="G1798" s="222"/>
      <c r="H1798" s="222"/>
    </row>
    <row r="1799" spans="4:8" s="223" customFormat="1" x14ac:dyDescent="0.35">
      <c r="D1799" s="222"/>
      <c r="E1799" s="222"/>
      <c r="F1799" s="222"/>
      <c r="G1799" s="222"/>
      <c r="H1799" s="222"/>
    </row>
    <row r="1800" spans="4:8" s="223" customFormat="1" x14ac:dyDescent="0.35">
      <c r="D1800" s="222"/>
      <c r="E1800" s="222"/>
      <c r="F1800" s="222"/>
      <c r="G1800" s="222"/>
      <c r="H1800" s="222"/>
    </row>
    <row r="1801" spans="4:8" s="223" customFormat="1" x14ac:dyDescent="0.35">
      <c r="D1801" s="222"/>
      <c r="E1801" s="222"/>
      <c r="F1801" s="222"/>
      <c r="G1801" s="222"/>
      <c r="H1801" s="222"/>
    </row>
    <row r="1802" spans="4:8" s="223" customFormat="1" x14ac:dyDescent="0.35">
      <c r="D1802" s="222"/>
      <c r="E1802" s="222"/>
      <c r="F1802" s="222"/>
      <c r="G1802" s="222"/>
      <c r="H1802" s="222"/>
    </row>
    <row r="1803" spans="4:8" s="223" customFormat="1" x14ac:dyDescent="0.35">
      <c r="D1803" s="222"/>
      <c r="E1803" s="222"/>
      <c r="F1803" s="222"/>
      <c r="G1803" s="222"/>
      <c r="H1803" s="222"/>
    </row>
    <row r="1804" spans="4:8" s="223" customFormat="1" x14ac:dyDescent="0.35">
      <c r="D1804" s="222"/>
      <c r="E1804" s="222"/>
      <c r="F1804" s="222"/>
      <c r="G1804" s="222"/>
      <c r="H1804" s="222"/>
    </row>
    <row r="1805" spans="4:8" s="223" customFormat="1" x14ac:dyDescent="0.35">
      <c r="D1805" s="222"/>
      <c r="E1805" s="222"/>
      <c r="F1805" s="222"/>
      <c r="G1805" s="222"/>
      <c r="H1805" s="222"/>
    </row>
    <row r="1806" spans="4:8" s="223" customFormat="1" x14ac:dyDescent="0.35">
      <c r="D1806" s="222"/>
      <c r="E1806" s="222"/>
      <c r="F1806" s="222"/>
      <c r="G1806" s="222"/>
      <c r="H1806" s="222"/>
    </row>
    <row r="1807" spans="4:8" s="223" customFormat="1" x14ac:dyDescent="0.35">
      <c r="D1807" s="222"/>
      <c r="E1807" s="222"/>
      <c r="F1807" s="222"/>
      <c r="G1807" s="222"/>
      <c r="H1807" s="222"/>
    </row>
    <row r="1808" spans="4:8" s="223" customFormat="1" x14ac:dyDescent="0.35">
      <c r="D1808" s="222"/>
      <c r="E1808" s="222"/>
      <c r="F1808" s="222"/>
      <c r="G1808" s="222"/>
      <c r="H1808" s="222"/>
    </row>
    <row r="1809" spans="4:8" s="223" customFormat="1" x14ac:dyDescent="0.35">
      <c r="D1809" s="222"/>
      <c r="E1809" s="222"/>
      <c r="F1809" s="222"/>
      <c r="G1809" s="222"/>
      <c r="H1809" s="222"/>
    </row>
    <row r="1810" spans="4:8" s="223" customFormat="1" x14ac:dyDescent="0.35">
      <c r="D1810" s="222"/>
      <c r="E1810" s="222"/>
      <c r="F1810" s="222"/>
      <c r="G1810" s="222"/>
      <c r="H1810" s="222"/>
    </row>
    <row r="1811" spans="4:8" s="223" customFormat="1" x14ac:dyDescent="0.35">
      <c r="D1811" s="222"/>
      <c r="E1811" s="222"/>
      <c r="F1811" s="222"/>
      <c r="G1811" s="222"/>
      <c r="H1811" s="222"/>
    </row>
    <row r="1812" spans="4:8" s="223" customFormat="1" x14ac:dyDescent="0.35">
      <c r="D1812" s="222"/>
      <c r="E1812" s="222"/>
      <c r="F1812" s="222"/>
      <c r="G1812" s="222"/>
      <c r="H1812" s="222"/>
    </row>
    <row r="1813" spans="4:8" s="223" customFormat="1" x14ac:dyDescent="0.35">
      <c r="D1813" s="222"/>
      <c r="E1813" s="222"/>
      <c r="F1813" s="222"/>
      <c r="G1813" s="222"/>
      <c r="H1813" s="222"/>
    </row>
    <row r="1814" spans="4:8" s="223" customFormat="1" x14ac:dyDescent="0.35">
      <c r="D1814" s="222"/>
      <c r="E1814" s="222"/>
      <c r="F1814" s="222"/>
      <c r="G1814" s="222"/>
      <c r="H1814" s="222"/>
    </row>
    <row r="1815" spans="4:8" s="223" customFormat="1" x14ac:dyDescent="0.35">
      <c r="D1815" s="222"/>
      <c r="E1815" s="222"/>
      <c r="F1815" s="222"/>
      <c r="G1815" s="222"/>
      <c r="H1815" s="222"/>
    </row>
    <row r="1816" spans="4:8" s="223" customFormat="1" x14ac:dyDescent="0.35">
      <c r="D1816" s="222"/>
      <c r="E1816" s="222"/>
      <c r="F1816" s="222"/>
      <c r="G1816" s="222"/>
      <c r="H1816" s="222"/>
    </row>
    <row r="1817" spans="4:8" s="223" customFormat="1" x14ac:dyDescent="0.35">
      <c r="D1817" s="222"/>
      <c r="E1817" s="222"/>
      <c r="F1817" s="222"/>
      <c r="G1817" s="222"/>
      <c r="H1817" s="222"/>
    </row>
    <row r="1818" spans="4:8" s="223" customFormat="1" x14ac:dyDescent="0.35">
      <c r="D1818" s="222"/>
      <c r="E1818" s="222"/>
      <c r="F1818" s="222"/>
      <c r="G1818" s="222"/>
      <c r="H1818" s="222"/>
    </row>
    <row r="1819" spans="4:8" s="223" customFormat="1" x14ac:dyDescent="0.35">
      <c r="D1819" s="222"/>
      <c r="E1819" s="222"/>
      <c r="F1819" s="222"/>
      <c r="G1819" s="222"/>
      <c r="H1819" s="222"/>
    </row>
    <row r="1820" spans="4:8" s="223" customFormat="1" x14ac:dyDescent="0.35">
      <c r="D1820" s="222"/>
      <c r="E1820" s="222"/>
      <c r="F1820" s="222"/>
      <c r="G1820" s="222"/>
      <c r="H1820" s="222"/>
    </row>
    <row r="1821" spans="4:8" s="223" customFormat="1" x14ac:dyDescent="0.35">
      <c r="D1821" s="222"/>
      <c r="E1821" s="222"/>
      <c r="F1821" s="222"/>
      <c r="G1821" s="222"/>
      <c r="H1821" s="222"/>
    </row>
    <row r="1822" spans="4:8" s="223" customFormat="1" x14ac:dyDescent="0.35">
      <c r="D1822" s="222"/>
      <c r="E1822" s="222"/>
      <c r="F1822" s="222"/>
      <c r="G1822" s="222"/>
      <c r="H1822" s="222"/>
    </row>
    <row r="1823" spans="4:8" s="223" customFormat="1" x14ac:dyDescent="0.35">
      <c r="D1823" s="222"/>
      <c r="E1823" s="222"/>
      <c r="F1823" s="222"/>
      <c r="G1823" s="222"/>
      <c r="H1823" s="222"/>
    </row>
    <row r="1824" spans="4:8" s="223" customFormat="1" x14ac:dyDescent="0.35">
      <c r="D1824" s="222"/>
      <c r="E1824" s="222"/>
      <c r="F1824" s="222"/>
      <c r="G1824" s="222"/>
      <c r="H1824" s="222"/>
    </row>
    <row r="1825" spans="4:8" s="223" customFormat="1" x14ac:dyDescent="0.35">
      <c r="D1825" s="222"/>
      <c r="E1825" s="222"/>
      <c r="F1825" s="222"/>
      <c r="G1825" s="222"/>
      <c r="H1825" s="222"/>
    </row>
    <row r="1826" spans="4:8" s="223" customFormat="1" x14ac:dyDescent="0.35">
      <c r="D1826" s="222"/>
      <c r="E1826" s="222"/>
      <c r="F1826" s="222"/>
      <c r="G1826" s="222"/>
      <c r="H1826" s="222"/>
    </row>
    <row r="1827" spans="4:8" s="223" customFormat="1" x14ac:dyDescent="0.35">
      <c r="D1827" s="222"/>
      <c r="E1827" s="222"/>
      <c r="F1827" s="222"/>
      <c r="G1827" s="222"/>
      <c r="H1827" s="222"/>
    </row>
    <row r="1828" spans="4:8" s="223" customFormat="1" x14ac:dyDescent="0.35">
      <c r="D1828" s="222"/>
      <c r="E1828" s="222"/>
      <c r="F1828" s="222"/>
      <c r="G1828" s="222"/>
      <c r="H1828" s="222"/>
    </row>
    <row r="1829" spans="4:8" s="223" customFormat="1" x14ac:dyDescent="0.35">
      <c r="D1829" s="222"/>
      <c r="E1829" s="222"/>
      <c r="F1829" s="222"/>
      <c r="G1829" s="222"/>
      <c r="H1829" s="222"/>
    </row>
    <row r="1830" spans="4:8" s="223" customFormat="1" x14ac:dyDescent="0.35">
      <c r="D1830" s="222"/>
      <c r="E1830" s="222"/>
      <c r="F1830" s="222"/>
      <c r="G1830" s="222"/>
      <c r="H1830" s="222"/>
    </row>
    <row r="1831" spans="4:8" s="223" customFormat="1" x14ac:dyDescent="0.35">
      <c r="D1831" s="222"/>
      <c r="E1831" s="222"/>
      <c r="F1831" s="222"/>
      <c r="G1831" s="222"/>
      <c r="H1831" s="222"/>
    </row>
    <row r="1832" spans="4:8" s="223" customFormat="1" x14ac:dyDescent="0.35">
      <c r="D1832" s="222"/>
      <c r="E1832" s="222"/>
      <c r="F1832" s="222"/>
      <c r="G1832" s="222"/>
      <c r="H1832" s="222"/>
    </row>
    <row r="1833" spans="4:8" s="223" customFormat="1" x14ac:dyDescent="0.35">
      <c r="D1833" s="222"/>
      <c r="E1833" s="222"/>
      <c r="F1833" s="222"/>
      <c r="G1833" s="222"/>
      <c r="H1833" s="222"/>
    </row>
    <row r="1834" spans="4:8" s="223" customFormat="1" x14ac:dyDescent="0.35">
      <c r="D1834" s="222"/>
      <c r="E1834" s="222"/>
      <c r="F1834" s="222"/>
      <c r="G1834" s="222"/>
      <c r="H1834" s="222"/>
    </row>
    <row r="1835" spans="4:8" s="223" customFormat="1" x14ac:dyDescent="0.35">
      <c r="D1835" s="222"/>
      <c r="E1835" s="222"/>
      <c r="F1835" s="222"/>
      <c r="G1835" s="222"/>
      <c r="H1835" s="222"/>
    </row>
    <row r="1836" spans="4:8" s="223" customFormat="1" x14ac:dyDescent="0.35">
      <c r="D1836" s="222"/>
      <c r="E1836" s="222"/>
      <c r="F1836" s="222"/>
      <c r="G1836" s="222"/>
      <c r="H1836" s="222"/>
    </row>
    <row r="1837" spans="4:8" s="223" customFormat="1" x14ac:dyDescent="0.35">
      <c r="D1837" s="222"/>
      <c r="E1837" s="222"/>
      <c r="F1837" s="222"/>
      <c r="G1837" s="222"/>
      <c r="H1837" s="222"/>
    </row>
    <row r="1838" spans="4:8" s="223" customFormat="1" x14ac:dyDescent="0.35">
      <c r="D1838" s="222"/>
      <c r="E1838" s="222"/>
      <c r="F1838" s="222"/>
      <c r="G1838" s="222"/>
      <c r="H1838" s="222"/>
    </row>
    <row r="1839" spans="4:8" s="223" customFormat="1" x14ac:dyDescent="0.35">
      <c r="D1839" s="222"/>
      <c r="E1839" s="222"/>
      <c r="F1839" s="222"/>
      <c r="G1839" s="222"/>
      <c r="H1839" s="222"/>
    </row>
    <row r="1840" spans="4:8" s="223" customFormat="1" x14ac:dyDescent="0.35">
      <c r="D1840" s="222"/>
      <c r="E1840" s="222"/>
      <c r="F1840" s="222"/>
      <c r="G1840" s="222"/>
      <c r="H1840" s="222"/>
    </row>
    <row r="1841" spans="4:8" s="223" customFormat="1" x14ac:dyDescent="0.35">
      <c r="D1841" s="222"/>
      <c r="E1841" s="222"/>
      <c r="F1841" s="222"/>
      <c r="G1841" s="222"/>
      <c r="H1841" s="222"/>
    </row>
    <row r="1842" spans="4:8" s="223" customFormat="1" x14ac:dyDescent="0.35">
      <c r="D1842" s="222"/>
      <c r="E1842" s="222"/>
      <c r="F1842" s="222"/>
      <c r="G1842" s="222"/>
      <c r="H1842" s="222"/>
    </row>
    <row r="1843" spans="4:8" s="223" customFormat="1" x14ac:dyDescent="0.35">
      <c r="D1843" s="222"/>
      <c r="E1843" s="222"/>
      <c r="F1843" s="222"/>
      <c r="G1843" s="222"/>
      <c r="H1843" s="222"/>
    </row>
    <row r="1844" spans="4:8" s="223" customFormat="1" x14ac:dyDescent="0.35">
      <c r="D1844" s="222"/>
      <c r="E1844" s="222"/>
      <c r="F1844" s="222"/>
      <c r="G1844" s="222"/>
      <c r="H1844" s="222"/>
    </row>
    <row r="1845" spans="4:8" s="223" customFormat="1" x14ac:dyDescent="0.35">
      <c r="D1845" s="222"/>
      <c r="E1845" s="222"/>
      <c r="F1845" s="222"/>
      <c r="G1845" s="222"/>
      <c r="H1845" s="222"/>
    </row>
    <row r="1846" spans="4:8" s="223" customFormat="1" x14ac:dyDescent="0.35">
      <c r="D1846" s="222"/>
      <c r="E1846" s="222"/>
      <c r="F1846" s="222"/>
      <c r="G1846" s="222"/>
      <c r="H1846" s="222"/>
    </row>
    <row r="1847" spans="4:8" s="223" customFormat="1" x14ac:dyDescent="0.35">
      <c r="D1847" s="222"/>
      <c r="E1847" s="222"/>
      <c r="F1847" s="222"/>
      <c r="G1847" s="222"/>
      <c r="H1847" s="222"/>
    </row>
    <row r="1848" spans="4:8" s="223" customFormat="1" x14ac:dyDescent="0.35">
      <c r="D1848" s="222"/>
      <c r="E1848" s="222"/>
      <c r="F1848" s="222"/>
      <c r="G1848" s="222"/>
      <c r="H1848" s="222"/>
    </row>
    <row r="1849" spans="4:8" s="223" customFormat="1" x14ac:dyDescent="0.35">
      <c r="D1849" s="222"/>
      <c r="E1849" s="222"/>
      <c r="F1849" s="222"/>
      <c r="G1849" s="222"/>
      <c r="H1849" s="222"/>
    </row>
    <row r="1850" spans="4:8" s="223" customFormat="1" x14ac:dyDescent="0.35">
      <c r="D1850" s="222"/>
      <c r="E1850" s="222"/>
      <c r="F1850" s="222"/>
      <c r="G1850" s="222"/>
      <c r="H1850" s="222"/>
    </row>
    <row r="1851" spans="4:8" s="223" customFormat="1" x14ac:dyDescent="0.35">
      <c r="D1851" s="222"/>
      <c r="E1851" s="222"/>
      <c r="F1851" s="222"/>
      <c r="G1851" s="222"/>
      <c r="H1851" s="222"/>
    </row>
    <row r="1852" spans="4:8" s="223" customFormat="1" x14ac:dyDescent="0.35">
      <c r="D1852" s="222"/>
      <c r="E1852" s="222"/>
      <c r="F1852" s="222"/>
      <c r="G1852" s="222"/>
      <c r="H1852" s="222"/>
    </row>
    <row r="1853" spans="4:8" s="223" customFormat="1" x14ac:dyDescent="0.35">
      <c r="D1853" s="222"/>
      <c r="E1853" s="222"/>
      <c r="F1853" s="222"/>
      <c r="G1853" s="222"/>
      <c r="H1853" s="222"/>
    </row>
    <row r="1854" spans="4:8" s="223" customFormat="1" x14ac:dyDescent="0.35">
      <c r="D1854" s="222"/>
      <c r="E1854" s="222"/>
      <c r="F1854" s="222"/>
      <c r="G1854" s="222"/>
      <c r="H1854" s="222"/>
    </row>
    <row r="1855" spans="4:8" s="223" customFormat="1" x14ac:dyDescent="0.35">
      <c r="D1855" s="222"/>
      <c r="E1855" s="222"/>
      <c r="F1855" s="222"/>
      <c r="G1855" s="222"/>
      <c r="H1855" s="222"/>
    </row>
    <row r="1856" spans="4:8" s="223" customFormat="1" x14ac:dyDescent="0.35">
      <c r="D1856" s="222"/>
      <c r="E1856" s="222"/>
      <c r="F1856" s="222"/>
      <c r="G1856" s="222"/>
      <c r="H1856" s="222"/>
    </row>
    <row r="1857" spans="4:8" s="223" customFormat="1" x14ac:dyDescent="0.35">
      <c r="D1857" s="222"/>
      <c r="E1857" s="222"/>
      <c r="F1857" s="222"/>
      <c r="G1857" s="222"/>
      <c r="H1857" s="222"/>
    </row>
    <row r="1858" spans="4:8" s="223" customFormat="1" x14ac:dyDescent="0.35">
      <c r="D1858" s="222"/>
      <c r="E1858" s="222"/>
      <c r="F1858" s="222"/>
      <c r="G1858" s="222"/>
      <c r="H1858" s="222"/>
    </row>
    <row r="1859" spans="4:8" s="223" customFormat="1" x14ac:dyDescent="0.35">
      <c r="D1859" s="222"/>
      <c r="E1859" s="222"/>
      <c r="F1859" s="222"/>
      <c r="G1859" s="222"/>
      <c r="H1859" s="222"/>
    </row>
    <row r="1860" spans="4:8" s="223" customFormat="1" x14ac:dyDescent="0.35">
      <c r="D1860" s="222"/>
      <c r="E1860" s="222"/>
      <c r="F1860" s="222"/>
      <c r="G1860" s="222"/>
      <c r="H1860" s="222"/>
    </row>
    <row r="1861" spans="4:8" s="223" customFormat="1" x14ac:dyDescent="0.35">
      <c r="D1861" s="222"/>
      <c r="E1861" s="222"/>
      <c r="F1861" s="222"/>
      <c r="G1861" s="222"/>
      <c r="H1861" s="222"/>
    </row>
    <row r="1862" spans="4:8" s="223" customFormat="1" x14ac:dyDescent="0.35">
      <c r="D1862" s="222"/>
      <c r="E1862" s="222"/>
      <c r="F1862" s="222"/>
      <c r="G1862" s="222"/>
      <c r="H1862" s="222"/>
    </row>
    <row r="1863" spans="4:8" s="223" customFormat="1" x14ac:dyDescent="0.35">
      <c r="D1863" s="222"/>
      <c r="E1863" s="222"/>
      <c r="F1863" s="222"/>
      <c r="G1863" s="222"/>
      <c r="H1863" s="222"/>
    </row>
    <row r="1864" spans="4:8" s="223" customFormat="1" x14ac:dyDescent="0.35">
      <c r="D1864" s="222"/>
      <c r="E1864" s="222"/>
      <c r="F1864" s="222"/>
      <c r="G1864" s="222"/>
      <c r="H1864" s="222"/>
    </row>
    <row r="1865" spans="4:8" s="223" customFormat="1" x14ac:dyDescent="0.35">
      <c r="D1865" s="222"/>
      <c r="E1865" s="222"/>
      <c r="F1865" s="222"/>
      <c r="G1865" s="222"/>
      <c r="H1865" s="222"/>
    </row>
    <row r="1866" spans="4:8" s="223" customFormat="1" x14ac:dyDescent="0.35">
      <c r="D1866" s="222"/>
      <c r="E1866" s="222"/>
      <c r="F1866" s="222"/>
      <c r="G1866" s="222"/>
      <c r="H1866" s="222"/>
    </row>
    <row r="1867" spans="4:8" s="223" customFormat="1" x14ac:dyDescent="0.35">
      <c r="D1867" s="222"/>
      <c r="E1867" s="222"/>
      <c r="F1867" s="222"/>
      <c r="G1867" s="222"/>
      <c r="H1867" s="222"/>
    </row>
    <row r="1868" spans="4:8" s="223" customFormat="1" x14ac:dyDescent="0.35">
      <c r="D1868" s="222"/>
      <c r="E1868" s="222"/>
      <c r="F1868" s="222"/>
      <c r="G1868" s="222"/>
      <c r="H1868" s="222"/>
    </row>
    <row r="1869" spans="4:8" s="223" customFormat="1" x14ac:dyDescent="0.35">
      <c r="D1869" s="222"/>
      <c r="E1869" s="222"/>
      <c r="F1869" s="222"/>
      <c r="G1869" s="222"/>
      <c r="H1869" s="222"/>
    </row>
    <row r="1870" spans="4:8" s="223" customFormat="1" x14ac:dyDescent="0.35">
      <c r="D1870" s="222"/>
      <c r="E1870" s="222"/>
      <c r="F1870" s="222"/>
      <c r="G1870" s="222"/>
      <c r="H1870" s="222"/>
    </row>
    <row r="1871" spans="4:8" s="223" customFormat="1" x14ac:dyDescent="0.35">
      <c r="D1871" s="222"/>
      <c r="E1871" s="222"/>
      <c r="F1871" s="222"/>
      <c r="G1871" s="222"/>
      <c r="H1871" s="222"/>
    </row>
    <row r="1872" spans="4:8" s="223" customFormat="1" x14ac:dyDescent="0.35">
      <c r="D1872" s="222"/>
      <c r="E1872" s="222"/>
      <c r="F1872" s="222"/>
      <c r="G1872" s="222"/>
      <c r="H1872" s="222"/>
    </row>
    <row r="1873" spans="4:8" s="223" customFormat="1" x14ac:dyDescent="0.35">
      <c r="D1873" s="222"/>
      <c r="E1873" s="222"/>
      <c r="F1873" s="222"/>
      <c r="G1873" s="222"/>
      <c r="H1873" s="222"/>
    </row>
    <row r="1874" spans="4:8" s="223" customFormat="1" x14ac:dyDescent="0.35">
      <c r="D1874" s="222"/>
      <c r="E1874" s="222"/>
      <c r="F1874" s="222"/>
      <c r="G1874" s="222"/>
      <c r="H1874" s="222"/>
    </row>
    <row r="1875" spans="4:8" s="223" customFormat="1" x14ac:dyDescent="0.35">
      <c r="D1875" s="222"/>
      <c r="E1875" s="222"/>
      <c r="F1875" s="222"/>
      <c r="G1875" s="222"/>
      <c r="H1875" s="222"/>
    </row>
    <row r="1876" spans="4:8" s="223" customFormat="1" x14ac:dyDescent="0.35">
      <c r="D1876" s="222"/>
      <c r="E1876" s="222"/>
      <c r="F1876" s="222"/>
      <c r="G1876" s="222"/>
      <c r="H1876" s="222"/>
    </row>
    <row r="1877" spans="4:8" s="223" customFormat="1" x14ac:dyDescent="0.35">
      <c r="D1877" s="222"/>
      <c r="E1877" s="222"/>
      <c r="F1877" s="222"/>
      <c r="G1877" s="222"/>
      <c r="H1877" s="222"/>
    </row>
    <row r="1878" spans="4:8" s="223" customFormat="1" x14ac:dyDescent="0.35">
      <c r="D1878" s="222"/>
      <c r="E1878" s="222"/>
      <c r="F1878" s="222"/>
      <c r="G1878" s="222"/>
      <c r="H1878" s="222"/>
    </row>
    <row r="1879" spans="4:8" s="223" customFormat="1" x14ac:dyDescent="0.35">
      <c r="D1879" s="222"/>
      <c r="E1879" s="222"/>
      <c r="F1879" s="222"/>
      <c r="G1879" s="222"/>
      <c r="H1879" s="222"/>
    </row>
    <row r="1880" spans="4:8" s="223" customFormat="1" x14ac:dyDescent="0.35">
      <c r="D1880" s="222"/>
      <c r="E1880" s="222"/>
      <c r="F1880" s="222"/>
      <c r="G1880" s="222"/>
      <c r="H1880" s="222"/>
    </row>
    <row r="1881" spans="4:8" s="223" customFormat="1" x14ac:dyDescent="0.35">
      <c r="D1881" s="222"/>
      <c r="E1881" s="222"/>
      <c r="F1881" s="222"/>
      <c r="G1881" s="222"/>
      <c r="H1881" s="222"/>
    </row>
    <row r="1882" spans="4:8" s="223" customFormat="1" x14ac:dyDescent="0.35">
      <c r="D1882" s="222"/>
      <c r="E1882" s="222"/>
      <c r="F1882" s="222"/>
      <c r="G1882" s="222"/>
      <c r="H1882" s="222"/>
    </row>
    <row r="1883" spans="4:8" s="223" customFormat="1" x14ac:dyDescent="0.35">
      <c r="D1883" s="222"/>
      <c r="E1883" s="222"/>
      <c r="F1883" s="222"/>
      <c r="G1883" s="222"/>
      <c r="H1883" s="222"/>
    </row>
    <row r="1884" spans="4:8" s="223" customFormat="1" x14ac:dyDescent="0.35">
      <c r="D1884" s="222"/>
      <c r="E1884" s="222"/>
      <c r="F1884" s="222"/>
      <c r="G1884" s="222"/>
      <c r="H1884" s="222"/>
    </row>
    <row r="1885" spans="4:8" s="223" customFormat="1" x14ac:dyDescent="0.35">
      <c r="D1885" s="222"/>
      <c r="E1885" s="222"/>
      <c r="F1885" s="222"/>
      <c r="G1885" s="222"/>
      <c r="H1885" s="222"/>
    </row>
    <row r="1886" spans="4:8" s="223" customFormat="1" x14ac:dyDescent="0.35">
      <c r="D1886" s="222"/>
      <c r="E1886" s="222"/>
      <c r="F1886" s="222"/>
      <c r="G1886" s="222"/>
      <c r="H1886" s="222"/>
    </row>
    <row r="1887" spans="4:8" s="223" customFormat="1" x14ac:dyDescent="0.35">
      <c r="D1887" s="222"/>
      <c r="E1887" s="222"/>
      <c r="F1887" s="222"/>
      <c r="G1887" s="222"/>
      <c r="H1887" s="222"/>
    </row>
    <row r="1888" spans="4:8" s="223" customFormat="1" x14ac:dyDescent="0.35">
      <c r="D1888" s="222"/>
      <c r="E1888" s="222"/>
      <c r="F1888" s="222"/>
      <c r="G1888" s="222"/>
      <c r="H1888" s="222"/>
    </row>
    <row r="1889" spans="4:8" s="223" customFormat="1" x14ac:dyDescent="0.35">
      <c r="D1889" s="222"/>
      <c r="E1889" s="222"/>
      <c r="F1889" s="222"/>
      <c r="G1889" s="222"/>
      <c r="H1889" s="222"/>
    </row>
    <row r="1890" spans="4:8" s="223" customFormat="1" x14ac:dyDescent="0.35">
      <c r="D1890" s="222"/>
      <c r="E1890" s="222"/>
      <c r="F1890" s="222"/>
      <c r="G1890" s="222"/>
      <c r="H1890" s="222"/>
    </row>
    <row r="1891" spans="4:8" s="223" customFormat="1" x14ac:dyDescent="0.35">
      <c r="D1891" s="222"/>
      <c r="E1891" s="222"/>
      <c r="F1891" s="222"/>
      <c r="G1891" s="222"/>
      <c r="H1891" s="222"/>
    </row>
    <row r="1892" spans="4:8" s="223" customFormat="1" x14ac:dyDescent="0.35">
      <c r="D1892" s="222"/>
      <c r="E1892" s="222"/>
      <c r="F1892" s="222"/>
      <c r="G1892" s="222"/>
      <c r="H1892" s="222"/>
    </row>
    <row r="1893" spans="4:8" s="223" customFormat="1" x14ac:dyDescent="0.35">
      <c r="D1893" s="222"/>
      <c r="E1893" s="222"/>
      <c r="F1893" s="222"/>
      <c r="G1893" s="222"/>
      <c r="H1893" s="222"/>
    </row>
    <row r="1894" spans="4:8" s="223" customFormat="1" x14ac:dyDescent="0.35">
      <c r="D1894" s="222"/>
      <c r="E1894" s="222"/>
      <c r="F1894" s="222"/>
      <c r="G1894" s="222"/>
      <c r="H1894" s="222"/>
    </row>
    <row r="1895" spans="4:8" s="223" customFormat="1" x14ac:dyDescent="0.35">
      <c r="D1895" s="222"/>
      <c r="E1895" s="222"/>
      <c r="F1895" s="222"/>
      <c r="G1895" s="222"/>
      <c r="H1895" s="222"/>
    </row>
    <row r="1896" spans="4:8" s="223" customFormat="1" x14ac:dyDescent="0.35">
      <c r="D1896" s="222"/>
      <c r="E1896" s="222"/>
      <c r="F1896" s="222"/>
      <c r="G1896" s="222"/>
      <c r="H1896" s="222"/>
    </row>
    <row r="1897" spans="4:8" s="223" customFormat="1" x14ac:dyDescent="0.35">
      <c r="D1897" s="222"/>
      <c r="E1897" s="222"/>
      <c r="F1897" s="222"/>
      <c r="G1897" s="222"/>
      <c r="H1897" s="222"/>
    </row>
    <row r="1898" spans="4:8" s="223" customFormat="1" x14ac:dyDescent="0.35">
      <c r="D1898" s="222"/>
      <c r="E1898" s="222"/>
      <c r="F1898" s="222"/>
      <c r="G1898" s="222"/>
      <c r="H1898" s="222"/>
    </row>
    <row r="1899" spans="4:8" s="223" customFormat="1" x14ac:dyDescent="0.35">
      <c r="D1899" s="222"/>
      <c r="E1899" s="222"/>
      <c r="F1899" s="222"/>
      <c r="G1899" s="222"/>
      <c r="H1899" s="222"/>
    </row>
    <row r="1900" spans="4:8" s="223" customFormat="1" x14ac:dyDescent="0.35">
      <c r="D1900" s="222"/>
      <c r="E1900" s="222"/>
      <c r="F1900" s="222"/>
      <c r="G1900" s="222"/>
      <c r="H1900" s="222"/>
    </row>
    <row r="1901" spans="4:8" s="223" customFormat="1" x14ac:dyDescent="0.35">
      <c r="D1901" s="222"/>
      <c r="E1901" s="222"/>
      <c r="F1901" s="222"/>
      <c r="G1901" s="222"/>
      <c r="H1901" s="222"/>
    </row>
    <row r="1902" spans="4:8" s="223" customFormat="1" x14ac:dyDescent="0.35">
      <c r="D1902" s="222"/>
      <c r="E1902" s="222"/>
      <c r="F1902" s="222"/>
      <c r="G1902" s="222"/>
      <c r="H1902" s="222"/>
    </row>
    <row r="1903" spans="4:8" s="223" customFormat="1" x14ac:dyDescent="0.35">
      <c r="D1903" s="222"/>
      <c r="E1903" s="222"/>
      <c r="F1903" s="222"/>
      <c r="G1903" s="222"/>
      <c r="H1903" s="222"/>
    </row>
    <row r="1904" spans="4:8" s="223" customFormat="1" x14ac:dyDescent="0.35">
      <c r="D1904" s="222"/>
      <c r="E1904" s="222"/>
      <c r="F1904" s="222"/>
      <c r="G1904" s="222"/>
      <c r="H1904" s="222"/>
    </row>
    <row r="1905" spans="4:8" s="223" customFormat="1" x14ac:dyDescent="0.35">
      <c r="D1905" s="222"/>
      <c r="E1905" s="222"/>
      <c r="F1905" s="222"/>
      <c r="G1905" s="222"/>
      <c r="H1905" s="222"/>
    </row>
    <row r="1906" spans="4:8" s="223" customFormat="1" x14ac:dyDescent="0.35">
      <c r="D1906" s="222"/>
      <c r="E1906" s="222"/>
      <c r="F1906" s="222"/>
      <c r="G1906" s="222"/>
      <c r="H1906" s="222"/>
    </row>
    <row r="1907" spans="4:8" s="223" customFormat="1" x14ac:dyDescent="0.35">
      <c r="D1907" s="222"/>
      <c r="E1907" s="222"/>
      <c r="F1907" s="222"/>
      <c r="G1907" s="222"/>
      <c r="H1907" s="222"/>
    </row>
    <row r="1908" spans="4:8" s="223" customFormat="1" x14ac:dyDescent="0.35">
      <c r="D1908" s="222"/>
      <c r="E1908" s="222"/>
      <c r="F1908" s="222"/>
      <c r="G1908" s="222"/>
      <c r="H1908" s="222"/>
    </row>
    <row r="1909" spans="4:8" s="223" customFormat="1" x14ac:dyDescent="0.35">
      <c r="D1909" s="222"/>
      <c r="E1909" s="222"/>
      <c r="F1909" s="222"/>
      <c r="G1909" s="222"/>
      <c r="H1909" s="222"/>
    </row>
    <row r="1910" spans="4:8" s="223" customFormat="1" x14ac:dyDescent="0.35">
      <c r="D1910" s="222"/>
      <c r="E1910" s="222"/>
      <c r="F1910" s="222"/>
      <c r="G1910" s="222"/>
      <c r="H1910" s="222"/>
    </row>
    <row r="1911" spans="4:8" s="223" customFormat="1" x14ac:dyDescent="0.35">
      <c r="D1911" s="222"/>
      <c r="E1911" s="222"/>
      <c r="F1911" s="222"/>
      <c r="G1911" s="222"/>
      <c r="H1911" s="222"/>
    </row>
    <row r="1912" spans="4:8" s="223" customFormat="1" x14ac:dyDescent="0.35">
      <c r="D1912" s="222"/>
      <c r="E1912" s="222"/>
      <c r="F1912" s="222"/>
      <c r="G1912" s="222"/>
      <c r="H1912" s="222"/>
    </row>
    <row r="1913" spans="4:8" s="223" customFormat="1" x14ac:dyDescent="0.35">
      <c r="D1913" s="222"/>
      <c r="E1913" s="222"/>
      <c r="F1913" s="222"/>
      <c r="G1913" s="222"/>
      <c r="H1913" s="222"/>
    </row>
    <row r="1914" spans="4:8" s="223" customFormat="1" x14ac:dyDescent="0.35">
      <c r="D1914" s="222"/>
      <c r="E1914" s="222"/>
      <c r="F1914" s="222"/>
      <c r="G1914" s="222"/>
      <c r="H1914" s="222"/>
    </row>
    <row r="1915" spans="4:8" s="223" customFormat="1" x14ac:dyDescent="0.35">
      <c r="D1915" s="222"/>
      <c r="E1915" s="222"/>
      <c r="F1915" s="222"/>
      <c r="G1915" s="222"/>
      <c r="H1915" s="222"/>
    </row>
    <row r="1916" spans="4:8" s="223" customFormat="1" x14ac:dyDescent="0.35">
      <c r="D1916" s="222"/>
      <c r="E1916" s="222"/>
      <c r="F1916" s="222"/>
      <c r="G1916" s="222"/>
      <c r="H1916" s="222"/>
    </row>
    <row r="1917" spans="4:8" s="223" customFormat="1" x14ac:dyDescent="0.35">
      <c r="D1917" s="222"/>
      <c r="E1917" s="222"/>
      <c r="F1917" s="222"/>
      <c r="G1917" s="222"/>
      <c r="H1917" s="222"/>
    </row>
    <row r="1918" spans="4:8" s="223" customFormat="1" x14ac:dyDescent="0.35">
      <c r="D1918" s="222"/>
      <c r="E1918" s="222"/>
      <c r="F1918" s="222"/>
      <c r="G1918" s="222"/>
      <c r="H1918" s="222"/>
    </row>
    <row r="1919" spans="4:8" s="223" customFormat="1" x14ac:dyDescent="0.35">
      <c r="D1919" s="222"/>
      <c r="E1919" s="222"/>
      <c r="F1919" s="222"/>
      <c r="G1919" s="222"/>
      <c r="H1919" s="222"/>
    </row>
    <row r="1920" spans="4:8" s="223" customFormat="1" x14ac:dyDescent="0.35">
      <c r="D1920" s="222"/>
      <c r="E1920" s="222"/>
      <c r="F1920" s="222"/>
      <c r="G1920" s="222"/>
      <c r="H1920" s="222"/>
    </row>
    <row r="1921" spans="4:8" s="223" customFormat="1" x14ac:dyDescent="0.35">
      <c r="D1921" s="222"/>
      <c r="E1921" s="222"/>
      <c r="F1921" s="222"/>
      <c r="G1921" s="222"/>
      <c r="H1921" s="222"/>
    </row>
    <row r="1922" spans="4:8" s="223" customFormat="1" x14ac:dyDescent="0.35">
      <c r="D1922" s="222"/>
      <c r="E1922" s="222"/>
      <c r="F1922" s="222"/>
      <c r="G1922" s="222"/>
      <c r="H1922" s="222"/>
    </row>
    <row r="1923" spans="4:8" s="223" customFormat="1" x14ac:dyDescent="0.35">
      <c r="D1923" s="222"/>
      <c r="E1923" s="222"/>
      <c r="F1923" s="222"/>
      <c r="G1923" s="222"/>
      <c r="H1923" s="222"/>
    </row>
    <row r="1924" spans="4:8" s="223" customFormat="1" x14ac:dyDescent="0.35">
      <c r="D1924" s="222"/>
      <c r="E1924" s="222"/>
      <c r="F1924" s="222"/>
      <c r="G1924" s="222"/>
      <c r="H1924" s="222"/>
    </row>
    <row r="1925" spans="4:8" s="223" customFormat="1" x14ac:dyDescent="0.35">
      <c r="D1925" s="222"/>
      <c r="E1925" s="222"/>
      <c r="F1925" s="222"/>
      <c r="G1925" s="222"/>
      <c r="H1925" s="222"/>
    </row>
    <row r="1926" spans="4:8" s="223" customFormat="1" x14ac:dyDescent="0.35">
      <c r="D1926" s="222"/>
      <c r="E1926" s="222"/>
      <c r="F1926" s="222"/>
      <c r="G1926" s="222"/>
      <c r="H1926" s="222"/>
    </row>
    <row r="1927" spans="4:8" s="223" customFormat="1" x14ac:dyDescent="0.35">
      <c r="D1927" s="222"/>
      <c r="E1927" s="222"/>
      <c r="F1927" s="222"/>
      <c r="G1927" s="222"/>
      <c r="H1927" s="222"/>
    </row>
    <row r="1928" spans="4:8" s="223" customFormat="1" x14ac:dyDescent="0.35">
      <c r="D1928" s="222"/>
      <c r="E1928" s="222"/>
      <c r="F1928" s="222"/>
      <c r="G1928" s="222"/>
      <c r="H1928" s="222"/>
    </row>
    <row r="1929" spans="4:8" s="223" customFormat="1" x14ac:dyDescent="0.35">
      <c r="D1929" s="222"/>
      <c r="E1929" s="222"/>
      <c r="F1929" s="222"/>
      <c r="G1929" s="222"/>
      <c r="H1929" s="222"/>
    </row>
    <row r="1930" spans="4:8" s="223" customFormat="1" x14ac:dyDescent="0.35">
      <c r="D1930" s="222"/>
      <c r="E1930" s="222"/>
      <c r="F1930" s="222"/>
      <c r="G1930" s="222"/>
      <c r="H1930" s="222"/>
    </row>
    <row r="1931" spans="4:8" s="223" customFormat="1" x14ac:dyDescent="0.35">
      <c r="D1931" s="222"/>
      <c r="E1931" s="222"/>
      <c r="F1931" s="222"/>
      <c r="G1931" s="222"/>
      <c r="H1931" s="222"/>
    </row>
    <row r="1932" spans="4:8" s="223" customFormat="1" x14ac:dyDescent="0.35">
      <c r="D1932" s="222"/>
      <c r="E1932" s="222"/>
      <c r="F1932" s="222"/>
      <c r="G1932" s="222"/>
      <c r="H1932" s="222"/>
    </row>
    <row r="1933" spans="4:8" s="223" customFormat="1" x14ac:dyDescent="0.35">
      <c r="D1933" s="222"/>
      <c r="E1933" s="222"/>
      <c r="F1933" s="222"/>
      <c r="G1933" s="222"/>
      <c r="H1933" s="222"/>
    </row>
    <row r="1934" spans="4:8" s="223" customFormat="1" x14ac:dyDescent="0.35">
      <c r="D1934" s="222"/>
      <c r="E1934" s="222"/>
      <c r="F1934" s="222"/>
      <c r="G1934" s="222"/>
      <c r="H1934" s="222"/>
    </row>
    <row r="1935" spans="4:8" s="223" customFormat="1" x14ac:dyDescent="0.35">
      <c r="D1935" s="222"/>
      <c r="E1935" s="222"/>
      <c r="F1935" s="222"/>
      <c r="G1935" s="222"/>
      <c r="H1935" s="222"/>
    </row>
    <row r="1936" spans="4:8" s="223" customFormat="1" x14ac:dyDescent="0.35">
      <c r="D1936" s="222"/>
      <c r="E1936" s="222"/>
      <c r="F1936" s="222"/>
      <c r="G1936" s="222"/>
      <c r="H1936" s="222"/>
    </row>
    <row r="1937" spans="4:8" s="223" customFormat="1" x14ac:dyDescent="0.35">
      <c r="D1937" s="222"/>
      <c r="E1937" s="222"/>
      <c r="F1937" s="222"/>
      <c r="G1937" s="222"/>
      <c r="H1937" s="222"/>
    </row>
    <row r="1938" spans="4:8" s="223" customFormat="1" x14ac:dyDescent="0.35">
      <c r="D1938" s="222"/>
      <c r="E1938" s="222"/>
      <c r="F1938" s="222"/>
      <c r="G1938" s="222"/>
      <c r="H1938" s="222"/>
    </row>
    <row r="1939" spans="4:8" s="223" customFormat="1" x14ac:dyDescent="0.35">
      <c r="D1939" s="222"/>
      <c r="E1939" s="222"/>
      <c r="F1939" s="222"/>
      <c r="G1939" s="222"/>
      <c r="H1939" s="222"/>
    </row>
    <row r="1940" spans="4:8" s="223" customFormat="1" x14ac:dyDescent="0.35">
      <c r="D1940" s="222"/>
      <c r="E1940" s="222"/>
      <c r="F1940" s="222"/>
      <c r="G1940" s="222"/>
      <c r="H1940" s="222"/>
    </row>
    <row r="1941" spans="4:8" s="223" customFormat="1" x14ac:dyDescent="0.35">
      <c r="D1941" s="222"/>
      <c r="E1941" s="222"/>
      <c r="F1941" s="222"/>
      <c r="G1941" s="222"/>
      <c r="H1941" s="222"/>
    </row>
    <row r="1942" spans="4:8" s="223" customFormat="1" x14ac:dyDescent="0.35">
      <c r="D1942" s="222"/>
      <c r="E1942" s="222"/>
      <c r="F1942" s="222"/>
      <c r="G1942" s="222"/>
      <c r="H1942" s="222"/>
    </row>
    <row r="1943" spans="4:8" s="223" customFormat="1" x14ac:dyDescent="0.35">
      <c r="D1943" s="222"/>
      <c r="E1943" s="222"/>
      <c r="F1943" s="222"/>
      <c r="G1943" s="222"/>
      <c r="H1943" s="222"/>
    </row>
    <row r="1944" spans="4:8" s="223" customFormat="1" x14ac:dyDescent="0.35">
      <c r="D1944" s="222"/>
      <c r="E1944" s="222"/>
      <c r="F1944" s="222"/>
      <c r="G1944" s="222"/>
      <c r="H1944" s="222"/>
    </row>
    <row r="1945" spans="4:8" s="223" customFormat="1" x14ac:dyDescent="0.35">
      <c r="D1945" s="222"/>
      <c r="E1945" s="222"/>
      <c r="F1945" s="222"/>
      <c r="G1945" s="222"/>
      <c r="H1945" s="222"/>
    </row>
    <row r="1946" spans="4:8" s="223" customFormat="1" x14ac:dyDescent="0.35">
      <c r="D1946" s="222"/>
      <c r="E1946" s="222"/>
      <c r="F1946" s="222"/>
      <c r="G1946" s="222"/>
      <c r="H1946" s="222"/>
    </row>
    <row r="1947" spans="4:8" s="223" customFormat="1" x14ac:dyDescent="0.35">
      <c r="D1947" s="222"/>
      <c r="E1947" s="222"/>
      <c r="F1947" s="222"/>
      <c r="G1947" s="222"/>
      <c r="H1947" s="222"/>
    </row>
    <row r="1948" spans="4:8" s="223" customFormat="1" x14ac:dyDescent="0.35">
      <c r="D1948" s="222"/>
      <c r="E1948" s="222"/>
      <c r="F1948" s="222"/>
      <c r="G1948" s="222"/>
      <c r="H1948" s="222"/>
    </row>
    <row r="1949" spans="4:8" s="223" customFormat="1" x14ac:dyDescent="0.35">
      <c r="D1949" s="222"/>
      <c r="E1949" s="222"/>
      <c r="F1949" s="222"/>
      <c r="G1949" s="222"/>
      <c r="H1949" s="222"/>
    </row>
    <row r="1950" spans="4:8" s="223" customFormat="1" x14ac:dyDescent="0.35">
      <c r="D1950" s="222"/>
      <c r="E1950" s="222"/>
      <c r="F1950" s="222"/>
      <c r="G1950" s="222"/>
      <c r="H1950" s="222"/>
    </row>
    <row r="1951" spans="4:8" s="223" customFormat="1" x14ac:dyDescent="0.35">
      <c r="D1951" s="222"/>
      <c r="E1951" s="222"/>
      <c r="F1951" s="222"/>
      <c r="G1951" s="222"/>
      <c r="H1951" s="222"/>
    </row>
    <row r="1952" spans="4:8" s="223" customFormat="1" x14ac:dyDescent="0.35">
      <c r="D1952" s="222"/>
      <c r="E1952" s="222"/>
      <c r="F1952" s="222"/>
      <c r="G1952" s="222"/>
      <c r="H1952" s="222"/>
    </row>
    <row r="1953" spans="4:8" s="223" customFormat="1" x14ac:dyDescent="0.35">
      <c r="D1953" s="222"/>
      <c r="E1953" s="222"/>
      <c r="F1953" s="222"/>
      <c r="G1953" s="222"/>
      <c r="H1953" s="222"/>
    </row>
    <row r="1954" spans="4:8" s="223" customFormat="1" x14ac:dyDescent="0.35">
      <c r="D1954" s="222"/>
      <c r="E1954" s="222"/>
      <c r="F1954" s="222"/>
      <c r="G1954" s="222"/>
      <c r="H1954" s="222"/>
    </row>
    <row r="1955" spans="4:8" s="223" customFormat="1" x14ac:dyDescent="0.35">
      <c r="D1955" s="222"/>
      <c r="E1955" s="222"/>
      <c r="F1955" s="222"/>
      <c r="G1955" s="222"/>
      <c r="H1955" s="222"/>
    </row>
    <row r="1956" spans="4:8" s="223" customFormat="1" x14ac:dyDescent="0.35">
      <c r="D1956" s="222"/>
      <c r="E1956" s="222"/>
      <c r="F1956" s="222"/>
      <c r="G1956" s="222"/>
      <c r="H1956" s="222"/>
    </row>
    <row r="1957" spans="4:8" s="223" customFormat="1" x14ac:dyDescent="0.35">
      <c r="D1957" s="222"/>
      <c r="E1957" s="222"/>
      <c r="F1957" s="222"/>
      <c r="G1957" s="222"/>
      <c r="H1957" s="222"/>
    </row>
    <row r="1958" spans="4:8" s="223" customFormat="1" x14ac:dyDescent="0.35">
      <c r="D1958" s="222"/>
      <c r="E1958" s="222"/>
      <c r="F1958" s="222"/>
      <c r="G1958" s="222"/>
      <c r="H1958" s="222"/>
    </row>
    <row r="1959" spans="4:8" s="223" customFormat="1" x14ac:dyDescent="0.35">
      <c r="D1959" s="222"/>
      <c r="E1959" s="222"/>
      <c r="F1959" s="222"/>
      <c r="G1959" s="222"/>
      <c r="H1959" s="222"/>
    </row>
    <row r="1960" spans="4:8" s="223" customFormat="1" x14ac:dyDescent="0.35">
      <c r="D1960" s="222"/>
      <c r="E1960" s="222"/>
      <c r="F1960" s="222"/>
      <c r="G1960" s="222"/>
      <c r="H1960" s="222"/>
    </row>
    <row r="1961" spans="4:8" s="223" customFormat="1" x14ac:dyDescent="0.35">
      <c r="D1961" s="222"/>
      <c r="E1961" s="222"/>
      <c r="F1961" s="222"/>
      <c r="G1961" s="222"/>
      <c r="H1961" s="222"/>
    </row>
    <row r="1962" spans="4:8" s="223" customFormat="1" x14ac:dyDescent="0.35">
      <c r="D1962" s="222"/>
      <c r="E1962" s="222"/>
      <c r="F1962" s="222"/>
      <c r="G1962" s="222"/>
      <c r="H1962" s="222"/>
    </row>
    <row r="1963" spans="4:8" s="223" customFormat="1" x14ac:dyDescent="0.35">
      <c r="D1963" s="222"/>
      <c r="E1963" s="222"/>
      <c r="F1963" s="222"/>
      <c r="G1963" s="222"/>
      <c r="H1963" s="222"/>
    </row>
    <row r="1964" spans="4:8" s="223" customFormat="1" x14ac:dyDescent="0.35">
      <c r="D1964" s="222"/>
      <c r="E1964" s="222"/>
      <c r="F1964" s="222"/>
      <c r="G1964" s="222"/>
      <c r="H1964" s="222"/>
    </row>
    <row r="1965" spans="4:8" s="223" customFormat="1" x14ac:dyDescent="0.35">
      <c r="D1965" s="222"/>
      <c r="E1965" s="222"/>
      <c r="F1965" s="222"/>
      <c r="G1965" s="222"/>
      <c r="H1965" s="222"/>
    </row>
    <row r="1966" spans="4:8" s="223" customFormat="1" x14ac:dyDescent="0.35">
      <c r="D1966" s="222"/>
      <c r="E1966" s="222"/>
      <c r="F1966" s="222"/>
      <c r="G1966" s="222"/>
      <c r="H1966" s="222"/>
    </row>
    <row r="1967" spans="4:8" s="223" customFormat="1" x14ac:dyDescent="0.35">
      <c r="D1967" s="222"/>
      <c r="E1967" s="222"/>
      <c r="F1967" s="222"/>
      <c r="G1967" s="222"/>
      <c r="H1967" s="222"/>
    </row>
    <row r="1968" spans="4:8" s="223" customFormat="1" x14ac:dyDescent="0.35">
      <c r="D1968" s="222"/>
      <c r="E1968" s="222"/>
      <c r="F1968" s="222"/>
      <c r="G1968" s="222"/>
      <c r="H1968" s="222"/>
    </row>
    <row r="1969" spans="4:8" s="223" customFormat="1" x14ac:dyDescent="0.35">
      <c r="D1969" s="222"/>
      <c r="E1969" s="222"/>
      <c r="F1969" s="222"/>
      <c r="G1969" s="222"/>
      <c r="H1969" s="222"/>
    </row>
    <row r="1970" spans="4:8" s="223" customFormat="1" x14ac:dyDescent="0.35">
      <c r="D1970" s="222"/>
      <c r="E1970" s="222"/>
      <c r="F1970" s="222"/>
      <c r="G1970" s="222"/>
      <c r="H1970" s="222"/>
    </row>
    <row r="1971" spans="4:8" s="223" customFormat="1" x14ac:dyDescent="0.35">
      <c r="D1971" s="222"/>
      <c r="E1971" s="222"/>
      <c r="F1971" s="222"/>
      <c r="G1971" s="222"/>
      <c r="H1971" s="222"/>
    </row>
    <row r="1972" spans="4:8" s="223" customFormat="1" x14ac:dyDescent="0.35">
      <c r="D1972" s="222"/>
      <c r="E1972" s="222"/>
      <c r="F1972" s="222"/>
      <c r="G1972" s="222"/>
      <c r="H1972" s="222"/>
    </row>
    <row r="1973" spans="4:8" s="223" customFormat="1" x14ac:dyDescent="0.35">
      <c r="D1973" s="222"/>
      <c r="E1973" s="222"/>
      <c r="F1973" s="222"/>
      <c r="G1973" s="222"/>
      <c r="H1973" s="222"/>
    </row>
    <row r="1974" spans="4:8" s="223" customFormat="1" x14ac:dyDescent="0.35">
      <c r="D1974" s="222"/>
      <c r="E1974" s="222"/>
      <c r="F1974" s="222"/>
      <c r="G1974" s="222"/>
      <c r="H1974" s="222"/>
    </row>
    <row r="1975" spans="4:8" s="223" customFormat="1" x14ac:dyDescent="0.35">
      <c r="D1975" s="222"/>
      <c r="E1975" s="222"/>
      <c r="F1975" s="222"/>
      <c r="G1975" s="222"/>
      <c r="H1975" s="222"/>
    </row>
    <row r="1976" spans="4:8" s="223" customFormat="1" x14ac:dyDescent="0.35">
      <c r="D1976" s="222"/>
      <c r="E1976" s="222"/>
      <c r="F1976" s="222"/>
      <c r="G1976" s="222"/>
      <c r="H1976" s="222"/>
    </row>
    <row r="1977" spans="4:8" s="223" customFormat="1" x14ac:dyDescent="0.35">
      <c r="D1977" s="222"/>
      <c r="E1977" s="222"/>
      <c r="F1977" s="222"/>
      <c r="G1977" s="222"/>
      <c r="H1977" s="222"/>
    </row>
    <row r="1978" spans="4:8" s="223" customFormat="1" x14ac:dyDescent="0.35">
      <c r="D1978" s="222"/>
      <c r="E1978" s="222"/>
      <c r="F1978" s="222"/>
      <c r="G1978" s="222"/>
      <c r="H1978" s="222"/>
    </row>
    <row r="1979" spans="4:8" s="223" customFormat="1" x14ac:dyDescent="0.35">
      <c r="D1979" s="222"/>
      <c r="E1979" s="222"/>
      <c r="F1979" s="222"/>
      <c r="G1979" s="222"/>
      <c r="H1979" s="222"/>
    </row>
    <row r="1980" spans="4:8" s="223" customFormat="1" x14ac:dyDescent="0.35">
      <c r="D1980" s="222"/>
      <c r="E1980" s="222"/>
      <c r="F1980" s="222"/>
      <c r="G1980" s="222"/>
      <c r="H1980" s="222"/>
    </row>
    <row r="1981" spans="4:8" s="223" customFormat="1" x14ac:dyDescent="0.35">
      <c r="D1981" s="222"/>
      <c r="E1981" s="222"/>
      <c r="F1981" s="222"/>
      <c r="G1981" s="222"/>
      <c r="H1981" s="222"/>
    </row>
    <row r="1982" spans="4:8" s="223" customFormat="1" x14ac:dyDescent="0.35">
      <c r="D1982" s="222"/>
      <c r="E1982" s="222"/>
      <c r="F1982" s="222"/>
      <c r="G1982" s="222"/>
      <c r="H1982" s="222"/>
    </row>
    <row r="1983" spans="4:8" s="223" customFormat="1" x14ac:dyDescent="0.35">
      <c r="D1983" s="222"/>
      <c r="E1983" s="222"/>
      <c r="F1983" s="222"/>
      <c r="G1983" s="222"/>
      <c r="H1983" s="222"/>
    </row>
    <row r="1984" spans="4:8" s="223" customFormat="1" x14ac:dyDescent="0.35">
      <c r="D1984" s="222"/>
      <c r="E1984" s="222"/>
      <c r="F1984" s="222"/>
      <c r="G1984" s="222"/>
      <c r="H1984" s="222"/>
    </row>
    <row r="1985" spans="4:8" s="223" customFormat="1" x14ac:dyDescent="0.35">
      <c r="D1985" s="222"/>
      <c r="E1985" s="222"/>
      <c r="F1985" s="222"/>
      <c r="G1985" s="222"/>
      <c r="H1985" s="222"/>
    </row>
    <row r="1986" spans="4:8" s="223" customFormat="1" x14ac:dyDescent="0.35">
      <c r="D1986" s="222"/>
      <c r="E1986" s="222"/>
      <c r="F1986" s="222"/>
      <c r="G1986" s="222"/>
      <c r="H1986" s="222"/>
    </row>
    <row r="1987" spans="4:8" s="223" customFormat="1" x14ac:dyDescent="0.35">
      <c r="D1987" s="222"/>
      <c r="E1987" s="222"/>
      <c r="F1987" s="222"/>
      <c r="G1987" s="222"/>
      <c r="H1987" s="222"/>
    </row>
    <row r="1988" spans="4:8" s="223" customFormat="1" x14ac:dyDescent="0.35">
      <c r="D1988" s="222"/>
      <c r="E1988" s="222"/>
      <c r="F1988" s="222"/>
      <c r="G1988" s="222"/>
      <c r="H1988" s="222"/>
    </row>
    <row r="1989" spans="4:8" s="223" customFormat="1" x14ac:dyDescent="0.35">
      <c r="D1989" s="222"/>
      <c r="E1989" s="222"/>
      <c r="F1989" s="222"/>
      <c r="G1989" s="222"/>
      <c r="H1989" s="222"/>
    </row>
    <row r="1990" spans="4:8" s="223" customFormat="1" x14ac:dyDescent="0.35">
      <c r="D1990" s="222"/>
      <c r="E1990" s="222"/>
      <c r="F1990" s="222"/>
      <c r="G1990" s="222"/>
      <c r="H1990" s="222"/>
    </row>
    <row r="1991" spans="4:8" s="223" customFormat="1" x14ac:dyDescent="0.35">
      <c r="D1991" s="222"/>
      <c r="E1991" s="222"/>
      <c r="F1991" s="222"/>
      <c r="G1991" s="222"/>
      <c r="H1991" s="222"/>
    </row>
    <row r="1992" spans="4:8" s="223" customFormat="1" x14ac:dyDescent="0.35">
      <c r="D1992" s="222"/>
      <c r="E1992" s="222"/>
      <c r="F1992" s="222"/>
      <c r="G1992" s="222"/>
      <c r="H1992" s="222"/>
    </row>
    <row r="1993" spans="4:8" s="223" customFormat="1" x14ac:dyDescent="0.35">
      <c r="D1993" s="222"/>
      <c r="E1993" s="222"/>
      <c r="F1993" s="222"/>
      <c r="G1993" s="222"/>
      <c r="H1993" s="222"/>
    </row>
    <row r="1994" spans="4:8" s="223" customFormat="1" x14ac:dyDescent="0.35">
      <c r="D1994" s="222"/>
      <c r="E1994" s="222"/>
      <c r="F1994" s="222"/>
      <c r="G1994" s="222"/>
      <c r="H1994" s="222"/>
    </row>
    <row r="1995" spans="4:8" s="223" customFormat="1" x14ac:dyDescent="0.35">
      <c r="D1995" s="222"/>
      <c r="E1995" s="222"/>
      <c r="F1995" s="222"/>
      <c r="G1995" s="222"/>
      <c r="H1995" s="222"/>
    </row>
    <row r="1996" spans="4:8" s="223" customFormat="1" x14ac:dyDescent="0.35">
      <c r="D1996" s="222"/>
      <c r="E1996" s="222"/>
      <c r="F1996" s="222"/>
      <c r="G1996" s="222"/>
      <c r="H1996" s="222"/>
    </row>
    <row r="1997" spans="4:8" s="223" customFormat="1" x14ac:dyDescent="0.35">
      <c r="D1997" s="222"/>
      <c r="E1997" s="222"/>
      <c r="F1997" s="222"/>
      <c r="G1997" s="222"/>
      <c r="H1997" s="222"/>
    </row>
    <row r="1998" spans="4:8" s="223" customFormat="1" x14ac:dyDescent="0.35">
      <c r="D1998" s="222"/>
      <c r="E1998" s="222"/>
      <c r="F1998" s="222"/>
      <c r="G1998" s="222"/>
      <c r="H1998" s="222"/>
    </row>
    <row r="1999" spans="4:8" s="223" customFormat="1" x14ac:dyDescent="0.35">
      <c r="D1999" s="222"/>
      <c r="E1999" s="222"/>
      <c r="F1999" s="222"/>
      <c r="G1999" s="222"/>
      <c r="H1999" s="222"/>
    </row>
    <row r="2000" spans="4:8" s="223" customFormat="1" x14ac:dyDescent="0.35">
      <c r="D2000" s="222"/>
      <c r="E2000" s="222"/>
      <c r="F2000" s="222"/>
      <c r="G2000" s="222"/>
      <c r="H2000" s="222"/>
    </row>
    <row r="2001" spans="4:8" s="223" customFormat="1" x14ac:dyDescent="0.35">
      <c r="D2001" s="222"/>
      <c r="E2001" s="222"/>
      <c r="F2001" s="222"/>
      <c r="G2001" s="222"/>
      <c r="H2001" s="222"/>
    </row>
    <row r="2002" spans="4:8" s="223" customFormat="1" x14ac:dyDescent="0.35">
      <c r="D2002" s="222"/>
      <c r="E2002" s="222"/>
      <c r="F2002" s="222"/>
      <c r="G2002" s="222"/>
      <c r="H2002" s="222"/>
    </row>
    <row r="2003" spans="4:8" s="223" customFormat="1" x14ac:dyDescent="0.35">
      <c r="D2003" s="222"/>
      <c r="E2003" s="222"/>
      <c r="F2003" s="222"/>
      <c r="G2003" s="222"/>
      <c r="H2003" s="222"/>
    </row>
    <row r="2004" spans="4:8" s="223" customFormat="1" x14ac:dyDescent="0.35">
      <c r="D2004" s="222"/>
      <c r="E2004" s="222"/>
      <c r="F2004" s="222"/>
      <c r="G2004" s="222"/>
      <c r="H2004" s="222"/>
    </row>
    <row r="2005" spans="4:8" s="223" customFormat="1" x14ac:dyDescent="0.35">
      <c r="D2005" s="222"/>
      <c r="E2005" s="222"/>
      <c r="F2005" s="222"/>
      <c r="G2005" s="222"/>
      <c r="H2005" s="222"/>
    </row>
    <row r="2006" spans="4:8" s="223" customFormat="1" x14ac:dyDescent="0.35">
      <c r="D2006" s="222"/>
      <c r="E2006" s="222"/>
      <c r="F2006" s="222"/>
      <c r="G2006" s="222"/>
      <c r="H2006" s="222"/>
    </row>
    <row r="2007" spans="4:8" s="223" customFormat="1" x14ac:dyDescent="0.35">
      <c r="D2007" s="222"/>
      <c r="E2007" s="222"/>
      <c r="F2007" s="222"/>
      <c r="G2007" s="222"/>
      <c r="H2007" s="222"/>
    </row>
    <row r="2008" spans="4:8" s="223" customFormat="1" x14ac:dyDescent="0.35">
      <c r="D2008" s="222"/>
      <c r="E2008" s="222"/>
      <c r="F2008" s="222"/>
      <c r="G2008" s="222"/>
      <c r="H2008" s="222"/>
    </row>
    <row r="2009" spans="4:8" s="223" customFormat="1" x14ac:dyDescent="0.35">
      <c r="D2009" s="222"/>
      <c r="E2009" s="222"/>
      <c r="F2009" s="222"/>
      <c r="G2009" s="222"/>
      <c r="H2009" s="222"/>
    </row>
    <row r="2010" spans="4:8" s="223" customFormat="1" x14ac:dyDescent="0.35">
      <c r="D2010" s="222"/>
      <c r="E2010" s="222"/>
      <c r="F2010" s="222"/>
      <c r="G2010" s="222"/>
      <c r="H2010" s="222"/>
    </row>
    <row r="2011" spans="4:8" s="223" customFormat="1" x14ac:dyDescent="0.35">
      <c r="D2011" s="222"/>
      <c r="E2011" s="222"/>
      <c r="F2011" s="222"/>
      <c r="G2011" s="222"/>
      <c r="H2011" s="222"/>
    </row>
    <row r="2012" spans="4:8" s="223" customFormat="1" x14ac:dyDescent="0.35">
      <c r="D2012" s="222"/>
      <c r="E2012" s="222"/>
      <c r="F2012" s="222"/>
      <c r="G2012" s="222"/>
      <c r="H2012" s="222"/>
    </row>
    <row r="2013" spans="4:8" s="223" customFormat="1" x14ac:dyDescent="0.35">
      <c r="D2013" s="222"/>
      <c r="E2013" s="222"/>
      <c r="F2013" s="222"/>
      <c r="G2013" s="222"/>
      <c r="H2013" s="222"/>
    </row>
    <row r="2014" spans="4:8" s="223" customFormat="1" x14ac:dyDescent="0.35">
      <c r="D2014" s="222"/>
      <c r="E2014" s="222"/>
      <c r="F2014" s="222"/>
      <c r="G2014" s="222"/>
      <c r="H2014" s="222"/>
    </row>
    <row r="2015" spans="4:8" s="223" customFormat="1" x14ac:dyDescent="0.35">
      <c r="D2015" s="222"/>
      <c r="E2015" s="222"/>
      <c r="F2015" s="222"/>
      <c r="G2015" s="222"/>
      <c r="H2015" s="222"/>
    </row>
    <row r="2016" spans="4:8" s="223" customFormat="1" x14ac:dyDescent="0.35">
      <c r="D2016" s="222"/>
      <c r="E2016" s="222"/>
      <c r="F2016" s="222"/>
      <c r="G2016" s="222"/>
      <c r="H2016" s="222"/>
    </row>
    <row r="2017" spans="4:8" s="223" customFormat="1" x14ac:dyDescent="0.35">
      <c r="D2017" s="222"/>
      <c r="E2017" s="222"/>
      <c r="F2017" s="222"/>
      <c r="G2017" s="222"/>
      <c r="H2017" s="222"/>
    </row>
    <row r="2018" spans="4:8" s="223" customFormat="1" x14ac:dyDescent="0.35">
      <c r="D2018" s="222"/>
      <c r="E2018" s="222"/>
      <c r="F2018" s="222"/>
      <c r="G2018" s="222"/>
      <c r="H2018" s="222"/>
    </row>
    <row r="2019" spans="4:8" s="223" customFormat="1" x14ac:dyDescent="0.35">
      <c r="D2019" s="222"/>
      <c r="E2019" s="222"/>
      <c r="F2019" s="222"/>
      <c r="G2019" s="222"/>
      <c r="H2019" s="222"/>
    </row>
    <row r="2020" spans="4:8" s="223" customFormat="1" x14ac:dyDescent="0.35">
      <c r="D2020" s="222"/>
      <c r="E2020" s="222"/>
      <c r="F2020" s="222"/>
      <c r="G2020" s="222"/>
      <c r="H2020" s="222"/>
    </row>
    <row r="2021" spans="4:8" s="223" customFormat="1" x14ac:dyDescent="0.35">
      <c r="D2021" s="222"/>
      <c r="E2021" s="222"/>
      <c r="F2021" s="222"/>
      <c r="G2021" s="222"/>
      <c r="H2021" s="222"/>
    </row>
    <row r="2022" spans="4:8" s="223" customFormat="1" x14ac:dyDescent="0.35">
      <c r="D2022" s="222"/>
      <c r="E2022" s="222"/>
      <c r="F2022" s="222"/>
      <c r="G2022" s="222"/>
      <c r="H2022" s="222"/>
    </row>
    <row r="2023" spans="4:8" s="223" customFormat="1" x14ac:dyDescent="0.35">
      <c r="D2023" s="222"/>
      <c r="E2023" s="222"/>
      <c r="F2023" s="222"/>
      <c r="G2023" s="222"/>
      <c r="H2023" s="222"/>
    </row>
    <row r="2024" spans="4:8" s="223" customFormat="1" x14ac:dyDescent="0.35">
      <c r="D2024" s="222"/>
      <c r="E2024" s="222"/>
      <c r="F2024" s="222"/>
      <c r="G2024" s="222"/>
      <c r="H2024" s="222"/>
    </row>
    <row r="2025" spans="4:8" s="223" customFormat="1" x14ac:dyDescent="0.35">
      <c r="D2025" s="222"/>
      <c r="E2025" s="222"/>
      <c r="F2025" s="222"/>
      <c r="G2025" s="222"/>
      <c r="H2025" s="222"/>
    </row>
    <row r="2026" spans="4:8" s="223" customFormat="1" x14ac:dyDescent="0.35">
      <c r="D2026" s="222"/>
      <c r="E2026" s="222"/>
      <c r="F2026" s="222"/>
      <c r="G2026" s="222"/>
      <c r="H2026" s="222"/>
    </row>
    <row r="2027" spans="4:8" s="223" customFormat="1" x14ac:dyDescent="0.35">
      <c r="D2027" s="222"/>
      <c r="E2027" s="222"/>
      <c r="F2027" s="222"/>
      <c r="G2027" s="222"/>
      <c r="H2027" s="222"/>
    </row>
    <row r="2028" spans="4:8" s="223" customFormat="1" x14ac:dyDescent="0.35">
      <c r="D2028" s="222"/>
      <c r="E2028" s="222"/>
      <c r="F2028" s="222"/>
      <c r="G2028" s="222"/>
      <c r="H2028" s="222"/>
    </row>
    <row r="2029" spans="4:8" s="223" customFormat="1" x14ac:dyDescent="0.35">
      <c r="D2029" s="222"/>
      <c r="E2029" s="222"/>
      <c r="F2029" s="222"/>
      <c r="G2029" s="222"/>
      <c r="H2029" s="222"/>
    </row>
    <row r="2030" spans="4:8" s="223" customFormat="1" x14ac:dyDescent="0.35">
      <c r="D2030" s="222"/>
      <c r="E2030" s="222"/>
      <c r="F2030" s="222"/>
      <c r="G2030" s="222"/>
      <c r="H2030" s="222"/>
    </row>
    <row r="2031" spans="4:8" s="223" customFormat="1" x14ac:dyDescent="0.35">
      <c r="D2031" s="222"/>
      <c r="E2031" s="222"/>
      <c r="F2031" s="222"/>
      <c r="G2031" s="222"/>
      <c r="H2031" s="222"/>
    </row>
    <row r="2032" spans="4:8" s="223" customFormat="1" x14ac:dyDescent="0.35">
      <c r="D2032" s="222"/>
      <c r="E2032" s="222"/>
      <c r="F2032" s="222"/>
      <c r="G2032" s="222"/>
      <c r="H2032" s="222"/>
    </row>
    <row r="2033" spans="4:8" s="223" customFormat="1" x14ac:dyDescent="0.35">
      <c r="D2033" s="222"/>
      <c r="E2033" s="222"/>
      <c r="F2033" s="222"/>
      <c r="G2033" s="222"/>
      <c r="H2033" s="222"/>
    </row>
    <row r="2034" spans="4:8" s="223" customFormat="1" x14ac:dyDescent="0.35">
      <c r="D2034" s="222"/>
      <c r="E2034" s="222"/>
      <c r="F2034" s="222"/>
      <c r="G2034" s="222"/>
      <c r="H2034" s="222"/>
    </row>
    <row r="2035" spans="4:8" s="223" customFormat="1" x14ac:dyDescent="0.35">
      <c r="D2035" s="222"/>
      <c r="E2035" s="222"/>
      <c r="F2035" s="222"/>
      <c r="G2035" s="222"/>
      <c r="H2035" s="222"/>
    </row>
    <row r="2036" spans="4:8" s="223" customFormat="1" x14ac:dyDescent="0.35">
      <c r="D2036" s="222"/>
      <c r="E2036" s="222"/>
      <c r="F2036" s="222"/>
      <c r="G2036" s="222"/>
      <c r="H2036" s="222"/>
    </row>
    <row r="2037" spans="4:8" s="223" customFormat="1" x14ac:dyDescent="0.35">
      <c r="D2037" s="222"/>
      <c r="E2037" s="222"/>
      <c r="F2037" s="222"/>
      <c r="G2037" s="222"/>
      <c r="H2037" s="222"/>
    </row>
    <row r="2038" spans="4:8" s="223" customFormat="1" x14ac:dyDescent="0.35">
      <c r="D2038" s="222"/>
      <c r="E2038" s="222"/>
      <c r="F2038" s="222"/>
      <c r="G2038" s="222"/>
      <c r="H2038" s="222"/>
    </row>
    <row r="2039" spans="4:8" s="223" customFormat="1" x14ac:dyDescent="0.35">
      <c r="D2039" s="222"/>
      <c r="E2039" s="222"/>
      <c r="F2039" s="222"/>
      <c r="G2039" s="222"/>
      <c r="H2039" s="222"/>
    </row>
    <row r="2040" spans="4:8" s="223" customFormat="1" x14ac:dyDescent="0.35">
      <c r="D2040" s="222"/>
      <c r="E2040" s="222"/>
      <c r="F2040" s="222"/>
      <c r="G2040" s="222"/>
      <c r="H2040" s="222"/>
    </row>
    <row r="2041" spans="4:8" s="223" customFormat="1" x14ac:dyDescent="0.35">
      <c r="D2041" s="222"/>
      <c r="E2041" s="222"/>
      <c r="F2041" s="222"/>
      <c r="G2041" s="222"/>
      <c r="H2041" s="222"/>
    </row>
    <row r="2042" spans="4:8" s="223" customFormat="1" x14ac:dyDescent="0.35">
      <c r="D2042" s="222"/>
      <c r="E2042" s="222"/>
      <c r="F2042" s="222"/>
      <c r="G2042" s="222"/>
      <c r="H2042" s="222"/>
    </row>
    <row r="2043" spans="4:8" s="223" customFormat="1" x14ac:dyDescent="0.35">
      <c r="D2043" s="222"/>
      <c r="E2043" s="222"/>
      <c r="F2043" s="222"/>
      <c r="G2043" s="222"/>
      <c r="H2043" s="222"/>
    </row>
    <row r="2044" spans="4:8" s="223" customFormat="1" x14ac:dyDescent="0.35">
      <c r="D2044" s="222"/>
      <c r="E2044" s="222"/>
      <c r="F2044" s="222"/>
      <c r="G2044" s="222"/>
      <c r="H2044" s="222"/>
    </row>
    <row r="2045" spans="4:8" s="223" customFormat="1" x14ac:dyDescent="0.35">
      <c r="D2045" s="222"/>
      <c r="E2045" s="222"/>
      <c r="F2045" s="222"/>
      <c r="G2045" s="222"/>
      <c r="H2045" s="222"/>
    </row>
    <row r="2046" spans="4:8" s="223" customFormat="1" x14ac:dyDescent="0.35">
      <c r="D2046" s="222"/>
      <c r="E2046" s="222"/>
      <c r="F2046" s="222"/>
      <c r="G2046" s="222"/>
      <c r="H2046" s="222"/>
    </row>
    <row r="2047" spans="4:8" s="223" customFormat="1" x14ac:dyDescent="0.35">
      <c r="D2047" s="222"/>
      <c r="E2047" s="222"/>
      <c r="F2047" s="222"/>
      <c r="G2047" s="222"/>
      <c r="H2047" s="222"/>
    </row>
    <row r="2048" spans="4:8" s="223" customFormat="1" x14ac:dyDescent="0.35">
      <c r="D2048" s="222"/>
      <c r="E2048" s="222"/>
      <c r="F2048" s="222"/>
      <c r="G2048" s="222"/>
      <c r="H2048" s="222"/>
    </row>
    <row r="2049" spans="4:8" s="223" customFormat="1" x14ac:dyDescent="0.35">
      <c r="D2049" s="222"/>
      <c r="E2049" s="222"/>
      <c r="F2049" s="222"/>
      <c r="G2049" s="222"/>
      <c r="H2049" s="222"/>
    </row>
    <row r="2050" spans="4:8" s="223" customFormat="1" x14ac:dyDescent="0.35">
      <c r="D2050" s="222"/>
      <c r="E2050" s="222"/>
      <c r="F2050" s="222"/>
      <c r="G2050" s="222"/>
      <c r="H2050" s="222"/>
    </row>
    <row r="2051" spans="4:8" s="223" customFormat="1" x14ac:dyDescent="0.35">
      <c r="D2051" s="222"/>
      <c r="E2051" s="222"/>
      <c r="F2051" s="222"/>
      <c r="G2051" s="222"/>
      <c r="H2051" s="222"/>
    </row>
    <row r="2052" spans="4:8" s="223" customFormat="1" x14ac:dyDescent="0.35">
      <c r="D2052" s="222"/>
      <c r="E2052" s="222"/>
      <c r="F2052" s="222"/>
      <c r="G2052" s="222"/>
      <c r="H2052" s="222"/>
    </row>
    <row r="2053" spans="4:8" s="223" customFormat="1" x14ac:dyDescent="0.35">
      <c r="D2053" s="222"/>
      <c r="E2053" s="222"/>
      <c r="F2053" s="222"/>
      <c r="G2053" s="222"/>
      <c r="H2053" s="222"/>
    </row>
    <row r="2054" spans="4:8" s="223" customFormat="1" x14ac:dyDescent="0.35">
      <c r="D2054" s="222"/>
      <c r="E2054" s="222"/>
      <c r="F2054" s="222"/>
      <c r="G2054" s="222"/>
      <c r="H2054" s="222"/>
    </row>
    <row r="2055" spans="4:8" s="223" customFormat="1" x14ac:dyDescent="0.35">
      <c r="D2055" s="222"/>
      <c r="E2055" s="222"/>
      <c r="F2055" s="222"/>
      <c r="G2055" s="222"/>
      <c r="H2055" s="222"/>
    </row>
    <row r="2056" spans="4:8" s="223" customFormat="1" x14ac:dyDescent="0.35">
      <c r="D2056" s="222"/>
      <c r="E2056" s="222"/>
      <c r="F2056" s="222"/>
      <c r="G2056" s="222"/>
      <c r="H2056" s="222"/>
    </row>
    <row r="2057" spans="4:8" s="223" customFormat="1" x14ac:dyDescent="0.35">
      <c r="D2057" s="222"/>
      <c r="E2057" s="222"/>
      <c r="F2057" s="222"/>
      <c r="G2057" s="222"/>
      <c r="H2057" s="222"/>
    </row>
    <row r="2058" spans="4:8" s="223" customFormat="1" x14ac:dyDescent="0.35">
      <c r="D2058" s="222"/>
      <c r="E2058" s="222"/>
      <c r="F2058" s="222"/>
      <c r="G2058" s="222"/>
      <c r="H2058" s="222"/>
    </row>
    <row r="2059" spans="4:8" s="223" customFormat="1" x14ac:dyDescent="0.35">
      <c r="D2059" s="222"/>
      <c r="E2059" s="222"/>
      <c r="F2059" s="222"/>
      <c r="G2059" s="222"/>
      <c r="H2059" s="222"/>
    </row>
    <row r="2060" spans="4:8" s="223" customFormat="1" x14ac:dyDescent="0.35">
      <c r="D2060" s="222"/>
      <c r="E2060" s="222"/>
      <c r="F2060" s="222"/>
      <c r="G2060" s="222"/>
      <c r="H2060" s="222"/>
    </row>
    <row r="2061" spans="4:8" s="223" customFormat="1" x14ac:dyDescent="0.35">
      <c r="D2061" s="222"/>
      <c r="E2061" s="222"/>
      <c r="F2061" s="222"/>
      <c r="G2061" s="222"/>
      <c r="H2061" s="222"/>
    </row>
    <row r="2062" spans="4:8" s="223" customFormat="1" x14ac:dyDescent="0.35">
      <c r="D2062" s="222"/>
      <c r="E2062" s="222"/>
      <c r="F2062" s="222"/>
      <c r="G2062" s="222"/>
      <c r="H2062" s="222"/>
    </row>
    <row r="2063" spans="4:8" s="223" customFormat="1" x14ac:dyDescent="0.35">
      <c r="D2063" s="222"/>
      <c r="E2063" s="222"/>
      <c r="F2063" s="222"/>
      <c r="G2063" s="222"/>
      <c r="H2063" s="222"/>
    </row>
    <row r="2064" spans="4:8" s="223" customFormat="1" x14ac:dyDescent="0.35">
      <c r="D2064" s="222"/>
      <c r="E2064" s="222"/>
      <c r="F2064" s="222"/>
      <c r="G2064" s="222"/>
      <c r="H2064" s="222"/>
    </row>
    <row r="2065" spans="4:8" s="223" customFormat="1" x14ac:dyDescent="0.35">
      <c r="D2065" s="222"/>
      <c r="E2065" s="222"/>
      <c r="F2065" s="222"/>
      <c r="G2065" s="222"/>
      <c r="H2065" s="222"/>
    </row>
    <row r="2066" spans="4:8" s="223" customFormat="1" x14ac:dyDescent="0.35">
      <c r="D2066" s="222"/>
      <c r="E2066" s="222"/>
      <c r="F2066" s="222"/>
      <c r="G2066" s="222"/>
      <c r="H2066" s="222"/>
    </row>
    <row r="2067" spans="4:8" s="223" customFormat="1" x14ac:dyDescent="0.35">
      <c r="D2067" s="222"/>
      <c r="E2067" s="222"/>
      <c r="F2067" s="222"/>
      <c r="G2067" s="222"/>
      <c r="H2067" s="222"/>
    </row>
    <row r="2068" spans="4:8" s="223" customFormat="1" x14ac:dyDescent="0.35">
      <c r="D2068" s="222"/>
      <c r="E2068" s="222"/>
      <c r="F2068" s="222"/>
      <c r="G2068" s="222"/>
      <c r="H2068" s="222"/>
    </row>
    <row r="2069" spans="4:8" s="223" customFormat="1" x14ac:dyDescent="0.35">
      <c r="D2069" s="222"/>
      <c r="E2069" s="222"/>
      <c r="F2069" s="222"/>
      <c r="G2069" s="222"/>
      <c r="H2069" s="222"/>
    </row>
    <row r="2070" spans="4:8" s="223" customFormat="1" x14ac:dyDescent="0.35">
      <c r="D2070" s="222"/>
      <c r="E2070" s="222"/>
      <c r="F2070" s="222"/>
      <c r="G2070" s="222"/>
      <c r="H2070" s="222"/>
    </row>
    <row r="2071" spans="4:8" s="223" customFormat="1" x14ac:dyDescent="0.35">
      <c r="D2071" s="222"/>
      <c r="E2071" s="222"/>
      <c r="F2071" s="222"/>
      <c r="G2071" s="222"/>
      <c r="H2071" s="222"/>
    </row>
    <row r="2072" spans="4:8" s="223" customFormat="1" x14ac:dyDescent="0.35">
      <c r="D2072" s="222"/>
      <c r="E2072" s="222"/>
      <c r="F2072" s="222"/>
      <c r="G2072" s="222"/>
      <c r="H2072" s="222"/>
    </row>
    <row r="2073" spans="4:8" s="223" customFormat="1" x14ac:dyDescent="0.35">
      <c r="D2073" s="222"/>
      <c r="E2073" s="222"/>
      <c r="F2073" s="222"/>
      <c r="G2073" s="222"/>
      <c r="H2073" s="222"/>
    </row>
    <row r="2074" spans="4:8" s="223" customFormat="1" x14ac:dyDescent="0.35">
      <c r="D2074" s="222"/>
      <c r="E2074" s="222"/>
      <c r="F2074" s="222"/>
      <c r="G2074" s="222"/>
      <c r="H2074" s="222"/>
    </row>
    <row r="2075" spans="4:8" s="223" customFormat="1" x14ac:dyDescent="0.35">
      <c r="D2075" s="222"/>
      <c r="E2075" s="222"/>
      <c r="F2075" s="222"/>
      <c r="G2075" s="222"/>
      <c r="H2075" s="222"/>
    </row>
    <row r="2076" spans="4:8" s="223" customFormat="1" x14ac:dyDescent="0.35">
      <c r="D2076" s="222"/>
      <c r="E2076" s="222"/>
      <c r="F2076" s="222"/>
      <c r="G2076" s="222"/>
      <c r="H2076" s="222"/>
    </row>
    <row r="2077" spans="4:8" s="223" customFormat="1" x14ac:dyDescent="0.35">
      <c r="D2077" s="222"/>
      <c r="E2077" s="222"/>
      <c r="F2077" s="222"/>
      <c r="G2077" s="222"/>
      <c r="H2077" s="222"/>
    </row>
    <row r="2078" spans="4:8" s="223" customFormat="1" x14ac:dyDescent="0.35">
      <c r="D2078" s="222"/>
      <c r="E2078" s="222"/>
      <c r="F2078" s="222"/>
      <c r="G2078" s="222"/>
      <c r="H2078" s="222"/>
    </row>
    <row r="2079" spans="4:8" s="223" customFormat="1" x14ac:dyDescent="0.35">
      <c r="D2079" s="222"/>
      <c r="E2079" s="222"/>
      <c r="F2079" s="222"/>
      <c r="G2079" s="222"/>
      <c r="H2079" s="222"/>
    </row>
    <row r="2080" spans="4:8" s="223" customFormat="1" x14ac:dyDescent="0.35">
      <c r="D2080" s="222"/>
      <c r="E2080" s="222"/>
      <c r="F2080" s="222"/>
      <c r="G2080" s="222"/>
      <c r="H2080" s="222"/>
    </row>
    <row r="2081" spans="4:8" s="223" customFormat="1" x14ac:dyDescent="0.35">
      <c r="D2081" s="222"/>
      <c r="E2081" s="222"/>
      <c r="F2081" s="222"/>
      <c r="G2081" s="222"/>
      <c r="H2081" s="222"/>
    </row>
    <row r="2082" spans="4:8" s="223" customFormat="1" x14ac:dyDescent="0.35">
      <c r="D2082" s="222"/>
      <c r="E2082" s="222"/>
      <c r="F2082" s="222"/>
      <c r="G2082" s="222"/>
      <c r="H2082" s="222"/>
    </row>
    <row r="2083" spans="4:8" s="223" customFormat="1" x14ac:dyDescent="0.35">
      <c r="D2083" s="222"/>
      <c r="E2083" s="222"/>
      <c r="F2083" s="222"/>
      <c r="G2083" s="222"/>
      <c r="H2083" s="222"/>
    </row>
    <row r="2084" spans="4:8" s="223" customFormat="1" x14ac:dyDescent="0.35">
      <c r="D2084" s="222"/>
      <c r="E2084" s="222"/>
      <c r="F2084" s="222"/>
      <c r="G2084" s="222"/>
      <c r="H2084" s="222"/>
    </row>
    <row r="2085" spans="4:8" s="223" customFormat="1" x14ac:dyDescent="0.35">
      <c r="D2085" s="222"/>
      <c r="E2085" s="222"/>
      <c r="F2085" s="222"/>
      <c r="G2085" s="222"/>
      <c r="H2085" s="222"/>
    </row>
    <row r="2086" spans="4:8" s="223" customFormat="1" x14ac:dyDescent="0.35">
      <c r="D2086" s="222"/>
      <c r="E2086" s="222"/>
      <c r="F2086" s="222"/>
      <c r="G2086" s="222"/>
      <c r="H2086" s="222"/>
    </row>
    <row r="2087" spans="4:8" s="223" customFormat="1" x14ac:dyDescent="0.35">
      <c r="D2087" s="222"/>
      <c r="E2087" s="222"/>
      <c r="F2087" s="222"/>
      <c r="G2087" s="222"/>
      <c r="H2087" s="222"/>
    </row>
    <row r="2088" spans="4:8" s="223" customFormat="1" x14ac:dyDescent="0.35">
      <c r="D2088" s="222"/>
      <c r="E2088" s="222"/>
      <c r="F2088" s="222"/>
      <c r="G2088" s="222"/>
      <c r="H2088" s="222"/>
    </row>
    <row r="2089" spans="4:8" s="223" customFormat="1" x14ac:dyDescent="0.35">
      <c r="D2089" s="222"/>
      <c r="E2089" s="222"/>
      <c r="F2089" s="222"/>
      <c r="G2089" s="222"/>
      <c r="H2089" s="222"/>
    </row>
    <row r="2090" spans="4:8" s="223" customFormat="1" x14ac:dyDescent="0.35">
      <c r="D2090" s="222"/>
      <c r="E2090" s="222"/>
      <c r="F2090" s="222"/>
      <c r="G2090" s="222"/>
      <c r="H2090" s="222"/>
    </row>
    <row r="2091" spans="4:8" s="223" customFormat="1" x14ac:dyDescent="0.35">
      <c r="D2091" s="222"/>
      <c r="E2091" s="222"/>
      <c r="F2091" s="222"/>
      <c r="G2091" s="222"/>
      <c r="H2091" s="222"/>
    </row>
    <row r="2092" spans="4:8" s="223" customFormat="1" x14ac:dyDescent="0.35">
      <c r="D2092" s="222"/>
      <c r="E2092" s="222"/>
      <c r="F2092" s="222"/>
      <c r="G2092" s="222"/>
      <c r="H2092" s="222"/>
    </row>
    <row r="2093" spans="4:8" s="223" customFormat="1" x14ac:dyDescent="0.35">
      <c r="D2093" s="222"/>
      <c r="E2093" s="222"/>
      <c r="F2093" s="222"/>
      <c r="G2093" s="222"/>
      <c r="H2093" s="222"/>
    </row>
    <row r="2094" spans="4:8" s="223" customFormat="1" x14ac:dyDescent="0.35">
      <c r="D2094" s="222"/>
      <c r="E2094" s="222"/>
      <c r="F2094" s="222"/>
      <c r="G2094" s="222"/>
      <c r="H2094" s="222"/>
    </row>
    <row r="2095" spans="4:8" s="223" customFormat="1" x14ac:dyDescent="0.35">
      <c r="D2095" s="222"/>
      <c r="E2095" s="222"/>
      <c r="F2095" s="222"/>
      <c r="G2095" s="222"/>
      <c r="H2095" s="222"/>
    </row>
    <row r="2096" spans="4:8" s="223" customFormat="1" x14ac:dyDescent="0.35">
      <c r="D2096" s="222"/>
      <c r="E2096" s="222"/>
      <c r="F2096" s="222"/>
      <c r="G2096" s="222"/>
      <c r="H2096" s="222"/>
    </row>
    <row r="2097" spans="4:8" s="223" customFormat="1" x14ac:dyDescent="0.35">
      <c r="D2097" s="222"/>
      <c r="E2097" s="222"/>
      <c r="F2097" s="222"/>
      <c r="G2097" s="222"/>
      <c r="H2097" s="222"/>
    </row>
    <row r="2098" spans="4:8" s="223" customFormat="1" x14ac:dyDescent="0.35">
      <c r="D2098" s="222"/>
      <c r="E2098" s="222"/>
      <c r="F2098" s="222"/>
      <c r="G2098" s="222"/>
      <c r="H2098" s="222"/>
    </row>
    <row r="2099" spans="4:8" s="223" customFormat="1" x14ac:dyDescent="0.35">
      <c r="D2099" s="222"/>
      <c r="E2099" s="222"/>
      <c r="F2099" s="222"/>
      <c r="G2099" s="222"/>
      <c r="H2099" s="222"/>
    </row>
    <row r="2100" spans="4:8" s="223" customFormat="1" x14ac:dyDescent="0.35">
      <c r="D2100" s="222"/>
      <c r="E2100" s="222"/>
      <c r="F2100" s="222"/>
      <c r="G2100" s="222"/>
      <c r="H2100" s="222"/>
    </row>
    <row r="2101" spans="4:8" s="223" customFormat="1" x14ac:dyDescent="0.35">
      <c r="D2101" s="222"/>
      <c r="E2101" s="222"/>
      <c r="F2101" s="222"/>
      <c r="G2101" s="222"/>
      <c r="H2101" s="222"/>
    </row>
    <row r="2102" spans="4:8" s="223" customFormat="1" x14ac:dyDescent="0.35">
      <c r="D2102" s="222"/>
      <c r="E2102" s="222"/>
      <c r="F2102" s="222"/>
      <c r="G2102" s="222"/>
      <c r="H2102" s="222"/>
    </row>
    <row r="2103" spans="4:8" s="223" customFormat="1" x14ac:dyDescent="0.35">
      <c r="D2103" s="222"/>
      <c r="E2103" s="222"/>
      <c r="F2103" s="222"/>
      <c r="G2103" s="222"/>
      <c r="H2103" s="222"/>
    </row>
    <row r="2104" spans="4:8" s="223" customFormat="1" x14ac:dyDescent="0.35">
      <c r="D2104" s="222"/>
      <c r="E2104" s="222"/>
      <c r="F2104" s="222"/>
      <c r="G2104" s="222"/>
      <c r="H2104" s="222"/>
    </row>
    <row r="2105" spans="4:8" s="223" customFormat="1" x14ac:dyDescent="0.35">
      <c r="D2105" s="222"/>
      <c r="E2105" s="222"/>
      <c r="F2105" s="222"/>
      <c r="G2105" s="222"/>
      <c r="H2105" s="222"/>
    </row>
    <row r="2106" spans="4:8" s="223" customFormat="1" x14ac:dyDescent="0.35">
      <c r="D2106" s="222"/>
      <c r="E2106" s="222"/>
      <c r="F2106" s="222"/>
      <c r="G2106" s="222"/>
      <c r="H2106" s="222"/>
    </row>
    <row r="2107" spans="4:8" s="223" customFormat="1" x14ac:dyDescent="0.35">
      <c r="D2107" s="222"/>
      <c r="E2107" s="222"/>
      <c r="F2107" s="222"/>
      <c r="G2107" s="222"/>
      <c r="H2107" s="222"/>
    </row>
    <row r="2108" spans="4:8" s="223" customFormat="1" x14ac:dyDescent="0.35">
      <c r="D2108" s="222"/>
      <c r="E2108" s="222"/>
      <c r="F2108" s="222"/>
      <c r="G2108" s="222"/>
      <c r="H2108" s="222"/>
    </row>
    <row r="2109" spans="4:8" s="223" customFormat="1" x14ac:dyDescent="0.35">
      <c r="D2109" s="222"/>
      <c r="E2109" s="222"/>
      <c r="F2109" s="222"/>
      <c r="G2109" s="222"/>
      <c r="H2109" s="222"/>
    </row>
    <row r="2110" spans="4:8" s="223" customFormat="1" x14ac:dyDescent="0.35">
      <c r="D2110" s="222"/>
      <c r="E2110" s="222"/>
      <c r="F2110" s="222"/>
      <c r="G2110" s="222"/>
      <c r="H2110" s="222"/>
    </row>
    <row r="2111" spans="4:8" s="223" customFormat="1" x14ac:dyDescent="0.35">
      <c r="D2111" s="222"/>
      <c r="E2111" s="222"/>
      <c r="F2111" s="222"/>
      <c r="G2111" s="222"/>
      <c r="H2111" s="222"/>
    </row>
    <row r="2112" spans="4:8" s="223" customFormat="1" x14ac:dyDescent="0.35">
      <c r="D2112" s="222"/>
      <c r="E2112" s="222"/>
      <c r="F2112" s="222"/>
      <c r="G2112" s="222"/>
      <c r="H2112" s="222"/>
    </row>
    <row r="2113" spans="4:8" s="223" customFormat="1" x14ac:dyDescent="0.35">
      <c r="D2113" s="222"/>
      <c r="E2113" s="222"/>
      <c r="F2113" s="222"/>
      <c r="G2113" s="222"/>
      <c r="H2113" s="222"/>
    </row>
    <row r="2114" spans="4:8" s="223" customFormat="1" x14ac:dyDescent="0.35">
      <c r="D2114" s="222"/>
      <c r="E2114" s="222"/>
      <c r="F2114" s="222"/>
      <c r="G2114" s="222"/>
      <c r="H2114" s="222"/>
    </row>
    <row r="2115" spans="4:8" s="223" customFormat="1" x14ac:dyDescent="0.35">
      <c r="D2115" s="222"/>
      <c r="E2115" s="222"/>
      <c r="F2115" s="222"/>
      <c r="G2115" s="222"/>
      <c r="H2115" s="222"/>
    </row>
    <row r="2116" spans="4:8" s="223" customFormat="1" x14ac:dyDescent="0.35">
      <c r="D2116" s="222"/>
      <c r="E2116" s="222"/>
      <c r="F2116" s="222"/>
      <c r="G2116" s="222"/>
      <c r="H2116" s="222"/>
    </row>
    <row r="2117" spans="4:8" s="223" customFormat="1" x14ac:dyDescent="0.35">
      <c r="D2117" s="222"/>
      <c r="E2117" s="222"/>
      <c r="F2117" s="222"/>
      <c r="G2117" s="222"/>
      <c r="H2117" s="222"/>
    </row>
    <row r="2118" spans="4:8" s="223" customFormat="1" x14ac:dyDescent="0.35">
      <c r="D2118" s="222"/>
      <c r="E2118" s="222"/>
      <c r="F2118" s="222"/>
      <c r="G2118" s="222"/>
      <c r="H2118" s="222"/>
    </row>
    <row r="2119" spans="4:8" s="223" customFormat="1" x14ac:dyDescent="0.35">
      <c r="D2119" s="222"/>
      <c r="E2119" s="222"/>
      <c r="F2119" s="222"/>
      <c r="G2119" s="222"/>
      <c r="H2119" s="222"/>
    </row>
    <row r="2120" spans="4:8" s="223" customFormat="1" x14ac:dyDescent="0.35">
      <c r="D2120" s="222"/>
      <c r="E2120" s="222"/>
      <c r="F2120" s="222"/>
      <c r="G2120" s="222"/>
      <c r="H2120" s="222"/>
    </row>
    <row r="2121" spans="4:8" s="223" customFormat="1" x14ac:dyDescent="0.35">
      <c r="D2121" s="222"/>
      <c r="E2121" s="222"/>
      <c r="F2121" s="222"/>
      <c r="G2121" s="222"/>
      <c r="H2121" s="222"/>
    </row>
    <row r="2122" spans="4:8" s="223" customFormat="1" x14ac:dyDescent="0.35">
      <c r="D2122" s="222"/>
      <c r="E2122" s="222"/>
      <c r="F2122" s="222"/>
      <c r="G2122" s="222"/>
      <c r="H2122" s="222"/>
    </row>
    <row r="2123" spans="4:8" s="223" customFormat="1" x14ac:dyDescent="0.35">
      <c r="D2123" s="222"/>
      <c r="E2123" s="222"/>
      <c r="F2123" s="222"/>
      <c r="G2123" s="222"/>
      <c r="H2123" s="222"/>
    </row>
    <row r="2124" spans="4:8" s="223" customFormat="1" x14ac:dyDescent="0.35">
      <c r="D2124" s="222"/>
      <c r="E2124" s="222"/>
      <c r="F2124" s="222"/>
      <c r="G2124" s="222"/>
      <c r="H2124" s="222"/>
    </row>
    <row r="2125" spans="4:8" s="223" customFormat="1" x14ac:dyDescent="0.35">
      <c r="D2125" s="222"/>
      <c r="E2125" s="222"/>
      <c r="F2125" s="222"/>
      <c r="G2125" s="222"/>
      <c r="H2125" s="222"/>
    </row>
    <row r="2126" spans="4:8" s="223" customFormat="1" x14ac:dyDescent="0.35">
      <c r="D2126" s="222"/>
      <c r="E2126" s="222"/>
      <c r="F2126" s="222"/>
      <c r="G2126" s="222"/>
      <c r="H2126" s="222"/>
    </row>
    <row r="2127" spans="4:8" s="223" customFormat="1" x14ac:dyDescent="0.35">
      <c r="D2127" s="222"/>
      <c r="E2127" s="222"/>
      <c r="F2127" s="222"/>
      <c r="G2127" s="222"/>
      <c r="H2127" s="222"/>
    </row>
    <row r="2128" spans="4:8" s="223" customFormat="1" x14ac:dyDescent="0.35">
      <c r="D2128" s="222"/>
      <c r="E2128" s="222"/>
      <c r="F2128" s="222"/>
      <c r="G2128" s="222"/>
      <c r="H2128" s="222"/>
    </row>
    <row r="2129" spans="4:8" s="223" customFormat="1" x14ac:dyDescent="0.35">
      <c r="D2129" s="222"/>
      <c r="E2129" s="222"/>
      <c r="F2129" s="222"/>
      <c r="G2129" s="222"/>
      <c r="H2129" s="222"/>
    </row>
    <row r="2130" spans="4:8" s="223" customFormat="1" x14ac:dyDescent="0.35">
      <c r="D2130" s="222"/>
      <c r="E2130" s="222"/>
      <c r="F2130" s="222"/>
      <c r="G2130" s="222"/>
      <c r="H2130" s="222"/>
    </row>
    <row r="2131" spans="4:8" s="223" customFormat="1" x14ac:dyDescent="0.35">
      <c r="D2131" s="222"/>
      <c r="E2131" s="222"/>
      <c r="F2131" s="222"/>
      <c r="G2131" s="222"/>
      <c r="H2131" s="222"/>
    </row>
    <row r="2132" spans="4:8" s="223" customFormat="1" x14ac:dyDescent="0.35">
      <c r="D2132" s="222"/>
      <c r="E2132" s="222"/>
      <c r="F2132" s="222"/>
      <c r="G2132" s="222"/>
      <c r="H2132" s="222"/>
    </row>
    <row r="2133" spans="4:8" s="223" customFormat="1" x14ac:dyDescent="0.35">
      <c r="D2133" s="222"/>
      <c r="E2133" s="222"/>
      <c r="F2133" s="222"/>
      <c r="G2133" s="222"/>
      <c r="H2133" s="222"/>
    </row>
    <row r="2134" spans="4:8" s="223" customFormat="1" x14ac:dyDescent="0.35">
      <c r="D2134" s="222"/>
      <c r="E2134" s="222"/>
      <c r="F2134" s="222"/>
      <c r="G2134" s="222"/>
      <c r="H2134" s="222"/>
    </row>
    <row r="2135" spans="4:8" s="223" customFormat="1" x14ac:dyDescent="0.35">
      <c r="D2135" s="222"/>
      <c r="E2135" s="222"/>
      <c r="F2135" s="222"/>
      <c r="G2135" s="222"/>
      <c r="H2135" s="222"/>
    </row>
    <row r="2136" spans="4:8" s="223" customFormat="1" x14ac:dyDescent="0.35">
      <c r="D2136" s="222"/>
      <c r="E2136" s="222"/>
      <c r="F2136" s="222"/>
      <c r="G2136" s="222"/>
      <c r="H2136" s="222"/>
    </row>
    <row r="2137" spans="4:8" s="223" customFormat="1" x14ac:dyDescent="0.35">
      <c r="D2137" s="222"/>
      <c r="E2137" s="222"/>
      <c r="F2137" s="222"/>
      <c r="G2137" s="222"/>
      <c r="H2137" s="222"/>
    </row>
    <row r="2138" spans="4:8" s="223" customFormat="1" x14ac:dyDescent="0.35">
      <c r="D2138" s="222"/>
      <c r="E2138" s="222"/>
      <c r="F2138" s="222"/>
      <c r="G2138" s="222"/>
      <c r="H2138" s="222"/>
    </row>
    <row r="2139" spans="4:8" s="223" customFormat="1" x14ac:dyDescent="0.35">
      <c r="D2139" s="222"/>
      <c r="E2139" s="222"/>
      <c r="F2139" s="222"/>
      <c r="G2139" s="222"/>
      <c r="H2139" s="222"/>
    </row>
    <row r="2140" spans="4:8" s="223" customFormat="1" x14ac:dyDescent="0.35">
      <c r="D2140" s="222"/>
      <c r="E2140" s="222"/>
      <c r="F2140" s="222"/>
      <c r="G2140" s="222"/>
      <c r="H2140" s="222"/>
    </row>
    <row r="2141" spans="4:8" s="223" customFormat="1" x14ac:dyDescent="0.35">
      <c r="D2141" s="222"/>
      <c r="E2141" s="222"/>
      <c r="F2141" s="222"/>
      <c r="G2141" s="222"/>
      <c r="H2141" s="222"/>
    </row>
    <row r="2142" spans="4:8" s="223" customFormat="1" x14ac:dyDescent="0.35">
      <c r="D2142" s="222"/>
      <c r="E2142" s="222"/>
      <c r="F2142" s="222"/>
      <c r="G2142" s="222"/>
      <c r="H2142" s="222"/>
    </row>
    <row r="2143" spans="4:8" s="223" customFormat="1" x14ac:dyDescent="0.35">
      <c r="D2143" s="222"/>
      <c r="E2143" s="222"/>
      <c r="F2143" s="222"/>
      <c r="G2143" s="222"/>
      <c r="H2143" s="222"/>
    </row>
    <row r="2144" spans="4:8" s="223" customFormat="1" x14ac:dyDescent="0.35">
      <c r="D2144" s="222"/>
      <c r="E2144" s="222"/>
      <c r="F2144" s="222"/>
      <c r="G2144" s="222"/>
      <c r="H2144" s="222"/>
    </row>
    <row r="2145" spans="4:8" s="223" customFormat="1" x14ac:dyDescent="0.35">
      <c r="D2145" s="222"/>
      <c r="E2145" s="222"/>
      <c r="F2145" s="222"/>
      <c r="G2145" s="222"/>
      <c r="H2145" s="222"/>
    </row>
    <row r="2146" spans="4:8" s="223" customFormat="1" x14ac:dyDescent="0.35">
      <c r="D2146" s="222"/>
      <c r="E2146" s="222"/>
      <c r="F2146" s="222"/>
      <c r="G2146" s="222"/>
      <c r="H2146" s="222"/>
    </row>
    <row r="2147" spans="4:8" s="223" customFormat="1" x14ac:dyDescent="0.35">
      <c r="D2147" s="222"/>
      <c r="E2147" s="222"/>
      <c r="F2147" s="222"/>
      <c r="G2147" s="222"/>
      <c r="H2147" s="222"/>
    </row>
    <row r="2148" spans="4:8" s="223" customFormat="1" x14ac:dyDescent="0.35">
      <c r="D2148" s="222"/>
      <c r="E2148" s="222"/>
      <c r="F2148" s="222"/>
      <c r="G2148" s="222"/>
      <c r="H2148" s="222"/>
    </row>
    <row r="2149" spans="4:8" s="223" customFormat="1" x14ac:dyDescent="0.35">
      <c r="D2149" s="222"/>
      <c r="E2149" s="222"/>
      <c r="F2149" s="222"/>
      <c r="G2149" s="222"/>
      <c r="H2149" s="222"/>
    </row>
    <row r="2150" spans="4:8" s="223" customFormat="1" x14ac:dyDescent="0.35">
      <c r="D2150" s="222"/>
      <c r="E2150" s="222"/>
      <c r="F2150" s="222"/>
      <c r="G2150" s="222"/>
      <c r="H2150" s="222"/>
    </row>
    <row r="2151" spans="4:8" s="223" customFormat="1" x14ac:dyDescent="0.35">
      <c r="D2151" s="222"/>
      <c r="E2151" s="222"/>
      <c r="F2151" s="222"/>
      <c r="G2151" s="222"/>
      <c r="H2151" s="222"/>
    </row>
    <row r="2152" spans="4:8" s="223" customFormat="1" x14ac:dyDescent="0.35">
      <c r="D2152" s="222"/>
      <c r="E2152" s="222"/>
      <c r="F2152" s="222"/>
      <c r="G2152" s="222"/>
      <c r="H2152" s="222"/>
    </row>
    <row r="2153" spans="4:8" s="223" customFormat="1" x14ac:dyDescent="0.35">
      <c r="D2153" s="222"/>
      <c r="E2153" s="222"/>
      <c r="F2153" s="222"/>
      <c r="G2153" s="222"/>
      <c r="H2153" s="222"/>
    </row>
    <row r="2154" spans="4:8" s="223" customFormat="1" x14ac:dyDescent="0.35">
      <c r="D2154" s="222"/>
      <c r="E2154" s="222"/>
      <c r="F2154" s="222"/>
      <c r="G2154" s="222"/>
      <c r="H2154" s="222"/>
    </row>
    <row r="2155" spans="4:8" s="223" customFormat="1" x14ac:dyDescent="0.35">
      <c r="D2155" s="222"/>
      <c r="E2155" s="222"/>
      <c r="F2155" s="222"/>
      <c r="G2155" s="222"/>
      <c r="H2155" s="222"/>
    </row>
    <row r="2156" spans="4:8" s="223" customFormat="1" x14ac:dyDescent="0.35">
      <c r="D2156" s="222"/>
      <c r="E2156" s="222"/>
      <c r="F2156" s="222"/>
      <c r="G2156" s="222"/>
      <c r="H2156" s="222"/>
    </row>
    <row r="2157" spans="4:8" s="223" customFormat="1" x14ac:dyDescent="0.35">
      <c r="D2157" s="222"/>
      <c r="E2157" s="222"/>
      <c r="F2157" s="222"/>
      <c r="G2157" s="222"/>
      <c r="H2157" s="222"/>
    </row>
    <row r="2158" spans="4:8" s="223" customFormat="1" x14ac:dyDescent="0.35">
      <c r="D2158" s="222"/>
      <c r="E2158" s="222"/>
      <c r="F2158" s="222"/>
      <c r="G2158" s="222"/>
      <c r="H2158" s="222"/>
    </row>
    <row r="2159" spans="4:8" s="223" customFormat="1" x14ac:dyDescent="0.35">
      <c r="D2159" s="222"/>
      <c r="E2159" s="222"/>
      <c r="F2159" s="222"/>
      <c r="G2159" s="222"/>
      <c r="H2159" s="222"/>
    </row>
    <row r="2160" spans="4:8" s="223" customFormat="1" x14ac:dyDescent="0.35">
      <c r="D2160" s="222"/>
      <c r="E2160" s="222"/>
      <c r="F2160" s="222"/>
      <c r="G2160" s="222"/>
      <c r="H2160" s="222"/>
    </row>
    <row r="2161" spans="4:8" s="223" customFormat="1" x14ac:dyDescent="0.35">
      <c r="D2161" s="222"/>
      <c r="E2161" s="222"/>
      <c r="F2161" s="222"/>
      <c r="G2161" s="222"/>
      <c r="H2161" s="222"/>
    </row>
    <row r="2162" spans="4:8" s="223" customFormat="1" x14ac:dyDescent="0.35">
      <c r="D2162" s="222"/>
      <c r="E2162" s="222"/>
      <c r="F2162" s="222"/>
      <c r="G2162" s="222"/>
      <c r="H2162" s="222"/>
    </row>
    <row r="2163" spans="4:8" s="223" customFormat="1" x14ac:dyDescent="0.35">
      <c r="D2163" s="222"/>
      <c r="E2163" s="222"/>
      <c r="F2163" s="222"/>
      <c r="G2163" s="222"/>
      <c r="H2163" s="222"/>
    </row>
    <row r="2164" spans="4:8" s="223" customFormat="1" x14ac:dyDescent="0.35">
      <c r="D2164" s="222"/>
      <c r="E2164" s="222"/>
      <c r="F2164" s="222"/>
      <c r="G2164" s="222"/>
      <c r="H2164" s="222"/>
    </row>
    <row r="2165" spans="4:8" s="223" customFormat="1" x14ac:dyDescent="0.35">
      <c r="D2165" s="222"/>
      <c r="E2165" s="222"/>
      <c r="F2165" s="222"/>
      <c r="G2165" s="222"/>
      <c r="H2165" s="222"/>
    </row>
    <row r="2166" spans="4:8" s="223" customFormat="1" x14ac:dyDescent="0.35">
      <c r="D2166" s="222"/>
      <c r="E2166" s="222"/>
      <c r="F2166" s="222"/>
      <c r="G2166" s="222"/>
      <c r="H2166" s="222"/>
    </row>
    <row r="2167" spans="4:8" s="223" customFormat="1" x14ac:dyDescent="0.35">
      <c r="D2167" s="222"/>
      <c r="E2167" s="222"/>
      <c r="F2167" s="222"/>
      <c r="G2167" s="222"/>
      <c r="H2167" s="222"/>
    </row>
    <row r="2168" spans="4:8" s="223" customFormat="1" x14ac:dyDescent="0.35">
      <c r="D2168" s="222"/>
      <c r="E2168" s="222"/>
      <c r="F2168" s="222"/>
      <c r="G2168" s="222"/>
      <c r="H2168" s="222"/>
    </row>
    <row r="2169" spans="4:8" s="223" customFormat="1" x14ac:dyDescent="0.35">
      <c r="D2169" s="222"/>
      <c r="E2169" s="222"/>
      <c r="F2169" s="222"/>
      <c r="G2169" s="222"/>
      <c r="H2169" s="222"/>
    </row>
    <row r="2170" spans="4:8" s="223" customFormat="1" x14ac:dyDescent="0.35">
      <c r="D2170" s="222"/>
      <c r="E2170" s="222"/>
      <c r="F2170" s="222"/>
      <c r="G2170" s="222"/>
      <c r="H2170" s="222"/>
    </row>
    <row r="2171" spans="4:8" s="223" customFormat="1" x14ac:dyDescent="0.35">
      <c r="D2171" s="222"/>
      <c r="E2171" s="222"/>
      <c r="F2171" s="222"/>
      <c r="G2171" s="222"/>
      <c r="H2171" s="222"/>
    </row>
    <row r="2172" spans="4:8" s="223" customFormat="1" x14ac:dyDescent="0.35">
      <c r="D2172" s="222"/>
      <c r="E2172" s="222"/>
      <c r="F2172" s="222"/>
      <c r="G2172" s="222"/>
      <c r="H2172" s="222"/>
    </row>
    <row r="2173" spans="4:8" s="223" customFormat="1" x14ac:dyDescent="0.35">
      <c r="D2173" s="222"/>
      <c r="E2173" s="222"/>
      <c r="F2173" s="222"/>
      <c r="G2173" s="222"/>
      <c r="H2173" s="222"/>
    </row>
    <row r="2174" spans="4:8" s="223" customFormat="1" x14ac:dyDescent="0.35">
      <c r="D2174" s="222"/>
      <c r="E2174" s="222"/>
      <c r="F2174" s="222"/>
      <c r="G2174" s="222"/>
      <c r="H2174" s="222"/>
    </row>
    <row r="2175" spans="4:8" s="223" customFormat="1" x14ac:dyDescent="0.35">
      <c r="D2175" s="222"/>
      <c r="E2175" s="222"/>
      <c r="F2175" s="222"/>
      <c r="G2175" s="222"/>
      <c r="H2175" s="222"/>
    </row>
    <row r="2176" spans="4:8" s="223" customFormat="1" x14ac:dyDescent="0.35">
      <c r="D2176" s="222"/>
      <c r="E2176" s="222"/>
      <c r="F2176" s="222"/>
      <c r="G2176" s="222"/>
      <c r="H2176" s="222"/>
    </row>
    <row r="2177" spans="4:8" s="223" customFormat="1" x14ac:dyDescent="0.35">
      <c r="D2177" s="222"/>
      <c r="E2177" s="222"/>
      <c r="F2177" s="222"/>
      <c r="G2177" s="222"/>
      <c r="H2177" s="222"/>
    </row>
    <row r="2178" spans="4:8" s="223" customFormat="1" x14ac:dyDescent="0.35">
      <c r="D2178" s="222"/>
      <c r="E2178" s="222"/>
      <c r="F2178" s="222"/>
      <c r="G2178" s="222"/>
      <c r="H2178" s="222"/>
    </row>
    <row r="2179" spans="4:8" s="223" customFormat="1" x14ac:dyDescent="0.35">
      <c r="D2179" s="222"/>
      <c r="E2179" s="222"/>
      <c r="F2179" s="222"/>
      <c r="G2179" s="222"/>
      <c r="H2179" s="222"/>
    </row>
    <row r="2180" spans="4:8" s="223" customFormat="1" x14ac:dyDescent="0.35">
      <c r="D2180" s="222"/>
      <c r="E2180" s="222"/>
      <c r="F2180" s="222"/>
      <c r="G2180" s="222"/>
      <c r="H2180" s="222"/>
    </row>
    <row r="2181" spans="4:8" s="223" customFormat="1" x14ac:dyDescent="0.35">
      <c r="D2181" s="222"/>
      <c r="E2181" s="222"/>
      <c r="F2181" s="222"/>
      <c r="G2181" s="222"/>
      <c r="H2181" s="222"/>
    </row>
    <row r="2182" spans="4:8" s="223" customFormat="1" x14ac:dyDescent="0.35">
      <c r="D2182" s="222"/>
      <c r="E2182" s="222"/>
      <c r="F2182" s="222"/>
      <c r="G2182" s="222"/>
      <c r="H2182" s="222"/>
    </row>
    <row r="2183" spans="4:8" s="223" customFormat="1" x14ac:dyDescent="0.35">
      <c r="D2183" s="222"/>
      <c r="E2183" s="222"/>
      <c r="F2183" s="222"/>
      <c r="G2183" s="222"/>
      <c r="H2183" s="222"/>
    </row>
    <row r="2184" spans="4:8" s="223" customFormat="1" x14ac:dyDescent="0.35">
      <c r="D2184" s="222"/>
      <c r="E2184" s="222"/>
      <c r="F2184" s="222"/>
      <c r="G2184" s="222"/>
      <c r="H2184" s="222"/>
    </row>
    <row r="2185" spans="4:8" s="223" customFormat="1" x14ac:dyDescent="0.35">
      <c r="D2185" s="222"/>
      <c r="E2185" s="222"/>
      <c r="F2185" s="222"/>
      <c r="G2185" s="222"/>
      <c r="H2185" s="222"/>
    </row>
    <row r="2186" spans="4:8" s="223" customFormat="1" x14ac:dyDescent="0.35">
      <c r="D2186" s="222"/>
      <c r="E2186" s="222"/>
      <c r="F2186" s="222"/>
      <c r="G2186" s="222"/>
      <c r="H2186" s="222"/>
    </row>
    <row r="2187" spans="4:8" s="223" customFormat="1" x14ac:dyDescent="0.35">
      <c r="D2187" s="222"/>
      <c r="E2187" s="222"/>
      <c r="F2187" s="222"/>
      <c r="G2187" s="222"/>
      <c r="H2187" s="222"/>
    </row>
    <row r="2188" spans="4:8" s="223" customFormat="1" x14ac:dyDescent="0.35">
      <c r="D2188" s="222"/>
      <c r="E2188" s="222"/>
      <c r="F2188" s="222"/>
      <c r="G2188" s="222"/>
      <c r="H2188" s="222"/>
    </row>
    <row r="2189" spans="4:8" s="223" customFormat="1" x14ac:dyDescent="0.35">
      <c r="D2189" s="222"/>
      <c r="E2189" s="222"/>
      <c r="F2189" s="222"/>
      <c r="G2189" s="222"/>
      <c r="H2189" s="222"/>
    </row>
    <row r="2190" spans="4:8" s="223" customFormat="1" x14ac:dyDescent="0.35">
      <c r="D2190" s="222"/>
      <c r="E2190" s="222"/>
      <c r="F2190" s="222"/>
      <c r="G2190" s="222"/>
      <c r="H2190" s="222"/>
    </row>
    <row r="2191" spans="4:8" s="223" customFormat="1" x14ac:dyDescent="0.35">
      <c r="D2191" s="222"/>
      <c r="E2191" s="222"/>
      <c r="F2191" s="222"/>
      <c r="G2191" s="222"/>
      <c r="H2191" s="222"/>
    </row>
    <row r="2192" spans="4:8" s="223" customFormat="1" x14ac:dyDescent="0.35">
      <c r="D2192" s="222"/>
      <c r="E2192" s="222"/>
      <c r="F2192" s="222"/>
      <c r="G2192" s="222"/>
      <c r="H2192" s="222"/>
    </row>
    <row r="2193" spans="4:8" s="223" customFormat="1" x14ac:dyDescent="0.35">
      <c r="D2193" s="222"/>
      <c r="E2193" s="222"/>
      <c r="F2193" s="222"/>
      <c r="G2193" s="222"/>
      <c r="H2193" s="222"/>
    </row>
    <row r="2194" spans="4:8" s="223" customFormat="1" x14ac:dyDescent="0.35">
      <c r="D2194" s="222"/>
      <c r="E2194" s="222"/>
      <c r="F2194" s="222"/>
      <c r="G2194" s="222"/>
      <c r="H2194" s="222"/>
    </row>
    <row r="2195" spans="4:8" s="223" customFormat="1" x14ac:dyDescent="0.35">
      <c r="D2195" s="222"/>
      <c r="E2195" s="222"/>
      <c r="F2195" s="222"/>
      <c r="G2195" s="222"/>
      <c r="H2195" s="222"/>
    </row>
    <row r="2196" spans="4:8" s="223" customFormat="1" x14ac:dyDescent="0.35">
      <c r="D2196" s="222"/>
      <c r="E2196" s="222"/>
      <c r="F2196" s="222"/>
      <c r="G2196" s="222"/>
      <c r="H2196" s="222"/>
    </row>
    <row r="2197" spans="4:8" s="223" customFormat="1" x14ac:dyDescent="0.35">
      <c r="D2197" s="222"/>
      <c r="E2197" s="222"/>
      <c r="F2197" s="222"/>
      <c r="G2197" s="222"/>
      <c r="H2197" s="222"/>
    </row>
    <row r="2198" spans="4:8" s="223" customFormat="1" x14ac:dyDescent="0.35">
      <c r="D2198" s="222"/>
      <c r="E2198" s="222"/>
      <c r="F2198" s="222"/>
      <c r="G2198" s="222"/>
      <c r="H2198" s="222"/>
    </row>
    <row r="2199" spans="4:8" s="223" customFormat="1" x14ac:dyDescent="0.35">
      <c r="D2199" s="222"/>
      <c r="E2199" s="222"/>
      <c r="F2199" s="222"/>
      <c r="G2199" s="222"/>
      <c r="H2199" s="222"/>
    </row>
    <row r="2200" spans="4:8" s="223" customFormat="1" x14ac:dyDescent="0.35">
      <c r="D2200" s="222"/>
      <c r="E2200" s="222"/>
      <c r="F2200" s="222"/>
      <c r="G2200" s="222"/>
      <c r="H2200" s="222"/>
    </row>
    <row r="2201" spans="4:8" s="223" customFormat="1" x14ac:dyDescent="0.35">
      <c r="D2201" s="222"/>
      <c r="E2201" s="222"/>
      <c r="F2201" s="222"/>
      <c r="G2201" s="222"/>
      <c r="H2201" s="222"/>
    </row>
    <row r="2202" spans="4:8" s="223" customFormat="1" x14ac:dyDescent="0.35">
      <c r="D2202" s="222"/>
      <c r="E2202" s="222"/>
      <c r="F2202" s="222"/>
      <c r="G2202" s="222"/>
      <c r="H2202" s="222"/>
    </row>
    <row r="2203" spans="4:8" s="223" customFormat="1" x14ac:dyDescent="0.35">
      <c r="D2203" s="222"/>
      <c r="E2203" s="222"/>
      <c r="F2203" s="222"/>
      <c r="G2203" s="222"/>
      <c r="H2203" s="222"/>
    </row>
    <row r="2204" spans="4:8" s="223" customFormat="1" x14ac:dyDescent="0.35">
      <c r="D2204" s="222"/>
      <c r="E2204" s="222"/>
      <c r="F2204" s="222"/>
      <c r="G2204" s="222"/>
      <c r="H2204" s="222"/>
    </row>
    <row r="2205" spans="4:8" s="223" customFormat="1" x14ac:dyDescent="0.35">
      <c r="D2205" s="222"/>
      <c r="E2205" s="222"/>
      <c r="F2205" s="222"/>
      <c r="G2205" s="222"/>
      <c r="H2205" s="222"/>
    </row>
    <row r="2206" spans="4:8" s="223" customFormat="1" x14ac:dyDescent="0.35">
      <c r="D2206" s="222"/>
      <c r="E2206" s="222"/>
      <c r="F2206" s="222"/>
      <c r="G2206" s="222"/>
      <c r="H2206" s="222"/>
    </row>
    <row r="2207" spans="4:8" s="223" customFormat="1" x14ac:dyDescent="0.35">
      <c r="D2207" s="222"/>
      <c r="E2207" s="222"/>
      <c r="F2207" s="222"/>
      <c r="G2207" s="222"/>
      <c r="H2207" s="222"/>
    </row>
    <row r="2208" spans="4:8" s="223" customFormat="1" x14ac:dyDescent="0.35">
      <c r="D2208" s="222"/>
      <c r="E2208" s="222"/>
      <c r="F2208" s="222"/>
      <c r="G2208" s="222"/>
      <c r="H2208" s="222"/>
    </row>
    <row r="2209" spans="4:8" s="223" customFormat="1" x14ac:dyDescent="0.35">
      <c r="D2209" s="222"/>
      <c r="E2209" s="222"/>
      <c r="F2209" s="222"/>
      <c r="G2209" s="222"/>
      <c r="H2209" s="222"/>
    </row>
    <row r="2210" spans="4:8" s="223" customFormat="1" x14ac:dyDescent="0.35">
      <c r="D2210" s="222"/>
      <c r="E2210" s="222"/>
      <c r="F2210" s="222"/>
      <c r="G2210" s="222"/>
      <c r="H2210" s="222"/>
    </row>
    <row r="2211" spans="4:8" s="223" customFormat="1" x14ac:dyDescent="0.35">
      <c r="D2211" s="222"/>
      <c r="E2211" s="222"/>
      <c r="F2211" s="222"/>
      <c r="G2211" s="222"/>
      <c r="H2211" s="222"/>
    </row>
    <row r="2212" spans="4:8" s="223" customFormat="1" x14ac:dyDescent="0.35">
      <c r="D2212" s="222"/>
      <c r="E2212" s="222"/>
      <c r="F2212" s="222"/>
      <c r="G2212" s="222"/>
      <c r="H2212" s="222"/>
    </row>
    <row r="2213" spans="4:8" s="223" customFormat="1" x14ac:dyDescent="0.35">
      <c r="D2213" s="222"/>
      <c r="E2213" s="222"/>
      <c r="F2213" s="222"/>
      <c r="G2213" s="222"/>
      <c r="H2213" s="222"/>
    </row>
    <row r="2214" spans="4:8" s="223" customFormat="1" x14ac:dyDescent="0.35">
      <c r="D2214" s="222"/>
      <c r="E2214" s="222"/>
      <c r="F2214" s="222"/>
      <c r="G2214" s="222"/>
      <c r="H2214" s="222"/>
    </row>
    <row r="2215" spans="4:8" s="223" customFormat="1" x14ac:dyDescent="0.35">
      <c r="D2215" s="222"/>
      <c r="E2215" s="222"/>
      <c r="F2215" s="222"/>
      <c r="G2215" s="222"/>
      <c r="H2215" s="222"/>
    </row>
    <row r="2216" spans="4:8" s="223" customFormat="1" x14ac:dyDescent="0.35">
      <c r="D2216" s="222"/>
      <c r="E2216" s="222"/>
      <c r="F2216" s="222"/>
      <c r="G2216" s="222"/>
      <c r="H2216" s="222"/>
    </row>
    <row r="2217" spans="4:8" s="223" customFormat="1" x14ac:dyDescent="0.35">
      <c r="D2217" s="222"/>
      <c r="E2217" s="222"/>
      <c r="F2217" s="222"/>
      <c r="G2217" s="222"/>
      <c r="H2217" s="222"/>
    </row>
    <row r="2218" spans="4:8" s="223" customFormat="1" x14ac:dyDescent="0.35">
      <c r="D2218" s="222"/>
      <c r="E2218" s="222"/>
      <c r="F2218" s="222"/>
      <c r="G2218" s="222"/>
      <c r="H2218" s="222"/>
    </row>
    <row r="2219" spans="4:8" s="223" customFormat="1" x14ac:dyDescent="0.35">
      <c r="D2219" s="222"/>
      <c r="E2219" s="222"/>
      <c r="F2219" s="222"/>
      <c r="G2219" s="222"/>
      <c r="H2219" s="222"/>
    </row>
    <row r="2220" spans="4:8" s="223" customFormat="1" x14ac:dyDescent="0.35">
      <c r="D2220" s="222"/>
      <c r="E2220" s="222"/>
      <c r="F2220" s="222"/>
      <c r="G2220" s="222"/>
      <c r="H2220" s="222"/>
    </row>
    <row r="2221" spans="4:8" s="223" customFormat="1" x14ac:dyDescent="0.35">
      <c r="D2221" s="222"/>
      <c r="E2221" s="222"/>
      <c r="F2221" s="222"/>
      <c r="G2221" s="222"/>
      <c r="H2221" s="222"/>
    </row>
    <row r="2222" spans="4:8" s="223" customFormat="1" x14ac:dyDescent="0.35">
      <c r="D2222" s="222"/>
      <c r="E2222" s="222"/>
      <c r="F2222" s="222"/>
      <c r="G2222" s="222"/>
      <c r="H2222" s="222"/>
    </row>
    <row r="2223" spans="4:8" s="223" customFormat="1" x14ac:dyDescent="0.35">
      <c r="D2223" s="222"/>
      <c r="E2223" s="222"/>
      <c r="F2223" s="222"/>
      <c r="G2223" s="222"/>
      <c r="H2223" s="222"/>
    </row>
    <row r="2224" spans="4:8" s="223" customFormat="1" x14ac:dyDescent="0.35">
      <c r="D2224" s="222"/>
      <c r="E2224" s="222"/>
      <c r="F2224" s="222"/>
      <c r="G2224" s="222"/>
      <c r="H2224" s="222"/>
    </row>
    <row r="2225" spans="4:8" s="223" customFormat="1" x14ac:dyDescent="0.35">
      <c r="D2225" s="222"/>
      <c r="E2225" s="222"/>
      <c r="F2225" s="222"/>
      <c r="G2225" s="222"/>
      <c r="H2225" s="222"/>
    </row>
    <row r="2226" spans="4:8" s="223" customFormat="1" x14ac:dyDescent="0.35">
      <c r="D2226" s="222"/>
      <c r="E2226" s="222"/>
      <c r="F2226" s="222"/>
      <c r="G2226" s="222"/>
      <c r="H2226" s="222"/>
    </row>
    <row r="2227" spans="4:8" s="223" customFormat="1" x14ac:dyDescent="0.35">
      <c r="D2227" s="222"/>
      <c r="E2227" s="222"/>
      <c r="F2227" s="222"/>
      <c r="G2227" s="222"/>
      <c r="H2227" s="222"/>
    </row>
    <row r="2228" spans="4:8" s="223" customFormat="1" x14ac:dyDescent="0.35">
      <c r="D2228" s="222"/>
      <c r="E2228" s="222"/>
      <c r="F2228" s="222"/>
      <c r="G2228" s="222"/>
      <c r="H2228" s="222"/>
    </row>
    <row r="2229" spans="4:8" s="223" customFormat="1" x14ac:dyDescent="0.35">
      <c r="D2229" s="222"/>
      <c r="E2229" s="222"/>
      <c r="F2229" s="222"/>
      <c r="G2229" s="222"/>
      <c r="H2229" s="222"/>
    </row>
    <row r="2230" spans="4:8" s="223" customFormat="1" x14ac:dyDescent="0.35">
      <c r="D2230" s="222"/>
      <c r="E2230" s="222"/>
      <c r="F2230" s="222"/>
      <c r="G2230" s="222"/>
      <c r="H2230" s="222"/>
    </row>
    <row r="2231" spans="4:8" s="223" customFormat="1" x14ac:dyDescent="0.35">
      <c r="D2231" s="222"/>
      <c r="E2231" s="222"/>
      <c r="F2231" s="222"/>
      <c r="G2231" s="222"/>
      <c r="H2231" s="222"/>
    </row>
    <row r="2232" spans="4:8" s="223" customFormat="1" x14ac:dyDescent="0.35">
      <c r="D2232" s="222"/>
      <c r="E2232" s="222"/>
      <c r="F2232" s="222"/>
      <c r="G2232" s="222"/>
      <c r="H2232" s="222"/>
    </row>
    <row r="2233" spans="4:8" s="223" customFormat="1" x14ac:dyDescent="0.35">
      <c r="D2233" s="222"/>
      <c r="E2233" s="222"/>
      <c r="F2233" s="222"/>
      <c r="G2233" s="222"/>
      <c r="H2233" s="222"/>
    </row>
    <row r="2234" spans="4:8" s="223" customFormat="1" x14ac:dyDescent="0.35">
      <c r="D2234" s="222"/>
      <c r="E2234" s="222"/>
      <c r="F2234" s="222"/>
      <c r="G2234" s="222"/>
      <c r="H2234" s="222"/>
    </row>
    <row r="2235" spans="4:8" s="223" customFormat="1" x14ac:dyDescent="0.35">
      <c r="D2235" s="222"/>
      <c r="E2235" s="222"/>
      <c r="F2235" s="222"/>
      <c r="G2235" s="222"/>
      <c r="H2235" s="222"/>
    </row>
    <row r="2236" spans="4:8" s="223" customFormat="1" x14ac:dyDescent="0.35">
      <c r="D2236" s="222"/>
      <c r="E2236" s="222"/>
      <c r="F2236" s="222"/>
      <c r="G2236" s="222"/>
      <c r="H2236" s="222"/>
    </row>
    <row r="2237" spans="4:8" s="223" customFormat="1" x14ac:dyDescent="0.35">
      <c r="D2237" s="222"/>
      <c r="E2237" s="222"/>
      <c r="F2237" s="222"/>
      <c r="G2237" s="222"/>
      <c r="H2237" s="222"/>
    </row>
    <row r="2238" spans="4:8" s="223" customFormat="1" x14ac:dyDescent="0.35">
      <c r="D2238" s="222"/>
      <c r="E2238" s="222"/>
      <c r="F2238" s="222"/>
      <c r="G2238" s="222"/>
      <c r="H2238" s="222"/>
    </row>
    <row r="2239" spans="4:8" s="223" customFormat="1" x14ac:dyDescent="0.35">
      <c r="D2239" s="222"/>
      <c r="E2239" s="222"/>
      <c r="F2239" s="222"/>
      <c r="G2239" s="222"/>
      <c r="H2239" s="222"/>
    </row>
    <row r="2240" spans="4:8" s="223" customFormat="1" x14ac:dyDescent="0.35">
      <c r="D2240" s="222"/>
      <c r="E2240" s="222"/>
      <c r="F2240" s="222"/>
      <c r="G2240" s="222"/>
      <c r="H2240" s="222"/>
    </row>
    <row r="2241" spans="4:8" s="223" customFormat="1" x14ac:dyDescent="0.35">
      <c r="D2241" s="222"/>
      <c r="E2241" s="222"/>
      <c r="F2241" s="222"/>
      <c r="G2241" s="222"/>
      <c r="H2241" s="222"/>
    </row>
    <row r="2242" spans="4:8" s="223" customFormat="1" x14ac:dyDescent="0.35">
      <c r="D2242" s="222"/>
      <c r="E2242" s="222"/>
      <c r="F2242" s="222"/>
      <c r="G2242" s="222"/>
      <c r="H2242" s="222"/>
    </row>
    <row r="2243" spans="4:8" s="223" customFormat="1" x14ac:dyDescent="0.35">
      <c r="D2243" s="222"/>
      <c r="E2243" s="222"/>
      <c r="F2243" s="222"/>
      <c r="G2243" s="222"/>
      <c r="H2243" s="222"/>
    </row>
    <row r="2244" spans="4:8" s="223" customFormat="1" x14ac:dyDescent="0.35">
      <c r="D2244" s="222"/>
      <c r="E2244" s="222"/>
      <c r="F2244" s="222"/>
      <c r="G2244" s="222"/>
      <c r="H2244" s="222"/>
    </row>
    <row r="2245" spans="4:8" s="223" customFormat="1" x14ac:dyDescent="0.35">
      <c r="D2245" s="222"/>
      <c r="E2245" s="222"/>
      <c r="F2245" s="222"/>
      <c r="G2245" s="222"/>
      <c r="H2245" s="222"/>
    </row>
    <row r="2246" spans="4:8" s="223" customFormat="1" x14ac:dyDescent="0.35">
      <c r="D2246" s="222"/>
      <c r="E2246" s="222"/>
      <c r="F2246" s="222"/>
      <c r="G2246" s="222"/>
      <c r="H2246" s="222"/>
    </row>
    <row r="2247" spans="4:8" s="223" customFormat="1" x14ac:dyDescent="0.35">
      <c r="D2247" s="222"/>
      <c r="E2247" s="222"/>
      <c r="F2247" s="222"/>
      <c r="G2247" s="222"/>
      <c r="H2247" s="222"/>
    </row>
    <row r="2248" spans="4:8" s="223" customFormat="1" x14ac:dyDescent="0.35">
      <c r="D2248" s="222"/>
      <c r="E2248" s="222"/>
      <c r="F2248" s="222"/>
      <c r="G2248" s="222"/>
      <c r="H2248" s="222"/>
    </row>
    <row r="2249" spans="4:8" s="223" customFormat="1" x14ac:dyDescent="0.35">
      <c r="D2249" s="222"/>
      <c r="E2249" s="222"/>
      <c r="F2249" s="222"/>
      <c r="G2249" s="222"/>
      <c r="H2249" s="222"/>
    </row>
    <row r="2250" spans="4:8" s="223" customFormat="1" x14ac:dyDescent="0.35">
      <c r="D2250" s="222"/>
      <c r="E2250" s="222"/>
      <c r="F2250" s="222"/>
      <c r="G2250" s="222"/>
      <c r="H2250" s="222"/>
    </row>
    <row r="2251" spans="4:8" s="223" customFormat="1" x14ac:dyDescent="0.35">
      <c r="D2251" s="222"/>
      <c r="E2251" s="222"/>
      <c r="F2251" s="222"/>
      <c r="G2251" s="222"/>
      <c r="H2251" s="222"/>
    </row>
    <row r="2252" spans="4:8" s="223" customFormat="1" x14ac:dyDescent="0.35">
      <c r="D2252" s="222"/>
      <c r="E2252" s="222"/>
      <c r="F2252" s="222"/>
      <c r="G2252" s="222"/>
      <c r="H2252" s="222"/>
    </row>
    <row r="2253" spans="4:8" s="223" customFormat="1" x14ac:dyDescent="0.35">
      <c r="D2253" s="222"/>
      <c r="E2253" s="222"/>
      <c r="F2253" s="222"/>
      <c r="G2253" s="222"/>
      <c r="H2253" s="222"/>
    </row>
    <row r="2254" spans="4:8" s="223" customFormat="1" x14ac:dyDescent="0.35">
      <c r="D2254" s="222"/>
      <c r="E2254" s="222"/>
      <c r="F2254" s="222"/>
      <c r="G2254" s="222"/>
      <c r="H2254" s="222"/>
    </row>
    <row r="2255" spans="4:8" s="223" customFormat="1" x14ac:dyDescent="0.35">
      <c r="D2255" s="222"/>
      <c r="E2255" s="222"/>
      <c r="F2255" s="222"/>
      <c r="G2255" s="222"/>
      <c r="H2255" s="222"/>
    </row>
    <row r="2256" spans="4:8" s="223" customFormat="1" x14ac:dyDescent="0.35">
      <c r="D2256" s="222"/>
      <c r="E2256" s="222"/>
      <c r="F2256" s="222"/>
      <c r="G2256" s="222"/>
      <c r="H2256" s="222"/>
    </row>
    <row r="2257" spans="4:8" s="223" customFormat="1" x14ac:dyDescent="0.35">
      <c r="D2257" s="222"/>
      <c r="E2257" s="222"/>
      <c r="F2257" s="222"/>
      <c r="G2257" s="222"/>
      <c r="H2257" s="222"/>
    </row>
    <row r="2258" spans="4:8" s="223" customFormat="1" x14ac:dyDescent="0.35">
      <c r="D2258" s="222"/>
      <c r="E2258" s="222"/>
      <c r="F2258" s="222"/>
      <c r="G2258" s="222"/>
      <c r="H2258" s="222"/>
    </row>
    <row r="2259" spans="4:8" s="223" customFormat="1" x14ac:dyDescent="0.35">
      <c r="D2259" s="222"/>
      <c r="E2259" s="222"/>
      <c r="F2259" s="222"/>
      <c r="G2259" s="222"/>
      <c r="H2259" s="222"/>
    </row>
    <row r="2260" spans="4:8" s="223" customFormat="1" x14ac:dyDescent="0.35">
      <c r="D2260" s="222"/>
      <c r="E2260" s="222"/>
      <c r="F2260" s="222"/>
      <c r="G2260" s="222"/>
      <c r="H2260" s="222"/>
    </row>
    <row r="2261" spans="4:8" s="223" customFormat="1" x14ac:dyDescent="0.35">
      <c r="D2261" s="222"/>
      <c r="E2261" s="222"/>
      <c r="F2261" s="222"/>
      <c r="G2261" s="222"/>
      <c r="H2261" s="222"/>
    </row>
    <row r="2262" spans="4:8" s="223" customFormat="1" x14ac:dyDescent="0.35">
      <c r="D2262" s="222"/>
      <c r="E2262" s="222"/>
      <c r="F2262" s="222"/>
      <c r="G2262" s="222"/>
      <c r="H2262" s="222"/>
    </row>
    <row r="2263" spans="4:8" s="223" customFormat="1" x14ac:dyDescent="0.35">
      <c r="D2263" s="222"/>
      <c r="E2263" s="222"/>
      <c r="F2263" s="222"/>
      <c r="G2263" s="222"/>
      <c r="H2263" s="222"/>
    </row>
    <row r="2264" spans="4:8" s="223" customFormat="1" x14ac:dyDescent="0.35">
      <c r="D2264" s="222"/>
      <c r="E2264" s="222"/>
      <c r="F2264" s="222"/>
      <c r="G2264" s="222"/>
      <c r="H2264" s="222"/>
    </row>
    <row r="2265" spans="4:8" s="223" customFormat="1" x14ac:dyDescent="0.35">
      <c r="D2265" s="222"/>
      <c r="E2265" s="222"/>
      <c r="F2265" s="222"/>
      <c r="G2265" s="222"/>
      <c r="H2265" s="222"/>
    </row>
    <row r="2266" spans="4:8" s="223" customFormat="1" x14ac:dyDescent="0.35">
      <c r="D2266" s="222"/>
      <c r="E2266" s="222"/>
      <c r="F2266" s="222"/>
      <c r="G2266" s="222"/>
      <c r="H2266" s="222"/>
    </row>
    <row r="2267" spans="4:8" s="223" customFormat="1" x14ac:dyDescent="0.35">
      <c r="D2267" s="222"/>
      <c r="E2267" s="222"/>
      <c r="F2267" s="222"/>
      <c r="G2267" s="222"/>
      <c r="H2267" s="222"/>
    </row>
    <row r="2268" spans="4:8" s="223" customFormat="1" x14ac:dyDescent="0.35">
      <c r="D2268" s="222"/>
      <c r="E2268" s="222"/>
      <c r="F2268" s="222"/>
      <c r="G2268" s="222"/>
      <c r="H2268" s="222"/>
    </row>
    <row r="2269" spans="4:8" s="223" customFormat="1" x14ac:dyDescent="0.35">
      <c r="D2269" s="222"/>
      <c r="E2269" s="222"/>
      <c r="F2269" s="222"/>
      <c r="G2269" s="222"/>
      <c r="H2269" s="222"/>
    </row>
    <row r="2270" spans="4:8" s="223" customFormat="1" x14ac:dyDescent="0.35">
      <c r="D2270" s="222"/>
      <c r="E2270" s="222"/>
      <c r="F2270" s="222"/>
      <c r="G2270" s="222"/>
      <c r="H2270" s="222"/>
    </row>
    <row r="2271" spans="4:8" s="223" customFormat="1" x14ac:dyDescent="0.35">
      <c r="D2271" s="222"/>
      <c r="E2271" s="222"/>
      <c r="F2271" s="222"/>
      <c r="G2271" s="222"/>
      <c r="H2271" s="222"/>
    </row>
    <row r="2272" spans="4:8" s="223" customFormat="1" x14ac:dyDescent="0.35">
      <c r="D2272" s="222"/>
      <c r="E2272" s="222"/>
      <c r="F2272" s="222"/>
      <c r="G2272" s="222"/>
      <c r="H2272" s="222"/>
    </row>
    <row r="2273" spans="4:8" s="223" customFormat="1" x14ac:dyDescent="0.35">
      <c r="D2273" s="222"/>
      <c r="E2273" s="222"/>
      <c r="F2273" s="222"/>
      <c r="G2273" s="222"/>
      <c r="H2273" s="222"/>
    </row>
    <row r="2274" spans="4:8" s="223" customFormat="1" x14ac:dyDescent="0.35">
      <c r="D2274" s="222"/>
      <c r="E2274" s="222"/>
      <c r="F2274" s="222"/>
      <c r="G2274" s="222"/>
      <c r="H2274" s="222"/>
    </row>
    <row r="2275" spans="4:8" s="223" customFormat="1" x14ac:dyDescent="0.35">
      <c r="D2275" s="222"/>
      <c r="E2275" s="222"/>
      <c r="F2275" s="222"/>
      <c r="G2275" s="222"/>
      <c r="H2275" s="222"/>
    </row>
    <row r="2276" spans="4:8" s="223" customFormat="1" x14ac:dyDescent="0.35">
      <c r="D2276" s="222"/>
      <c r="E2276" s="222"/>
      <c r="F2276" s="222"/>
      <c r="G2276" s="222"/>
      <c r="H2276" s="222"/>
    </row>
    <row r="2277" spans="4:8" s="223" customFormat="1" x14ac:dyDescent="0.35">
      <c r="D2277" s="222"/>
      <c r="E2277" s="222"/>
      <c r="F2277" s="222"/>
      <c r="G2277" s="222"/>
      <c r="H2277" s="222"/>
    </row>
    <row r="2278" spans="4:8" s="223" customFormat="1" x14ac:dyDescent="0.35">
      <c r="D2278" s="222"/>
      <c r="E2278" s="222"/>
      <c r="F2278" s="222"/>
      <c r="G2278" s="222"/>
      <c r="H2278" s="222"/>
    </row>
    <row r="2279" spans="4:8" s="223" customFormat="1" x14ac:dyDescent="0.35">
      <c r="D2279" s="222"/>
      <c r="E2279" s="222"/>
      <c r="F2279" s="222"/>
      <c r="G2279" s="222"/>
      <c r="H2279" s="222"/>
    </row>
    <row r="2280" spans="4:8" s="223" customFormat="1" x14ac:dyDescent="0.35">
      <c r="D2280" s="222"/>
      <c r="E2280" s="222"/>
      <c r="F2280" s="222"/>
      <c r="G2280" s="222"/>
      <c r="H2280" s="222"/>
    </row>
    <row r="2281" spans="4:8" s="223" customFormat="1" x14ac:dyDescent="0.35">
      <c r="D2281" s="222"/>
      <c r="E2281" s="222"/>
      <c r="F2281" s="222"/>
      <c r="G2281" s="222"/>
      <c r="H2281" s="222"/>
    </row>
    <row r="2282" spans="4:8" s="223" customFormat="1" x14ac:dyDescent="0.35">
      <c r="D2282" s="222"/>
      <c r="E2282" s="222"/>
      <c r="F2282" s="222"/>
      <c r="G2282" s="222"/>
      <c r="H2282" s="222"/>
    </row>
    <row r="2283" spans="4:8" s="223" customFormat="1" x14ac:dyDescent="0.35">
      <c r="D2283" s="222"/>
      <c r="E2283" s="222"/>
      <c r="F2283" s="222"/>
      <c r="G2283" s="222"/>
      <c r="H2283" s="222"/>
    </row>
    <row r="2284" spans="4:8" s="223" customFormat="1" x14ac:dyDescent="0.35">
      <c r="D2284" s="222"/>
      <c r="E2284" s="222"/>
      <c r="F2284" s="222"/>
      <c r="G2284" s="222"/>
      <c r="H2284" s="222"/>
    </row>
    <row r="2285" spans="4:8" s="223" customFormat="1" x14ac:dyDescent="0.35">
      <c r="D2285" s="222"/>
      <c r="E2285" s="222"/>
      <c r="F2285" s="222"/>
      <c r="G2285" s="222"/>
      <c r="H2285" s="222"/>
    </row>
    <row r="2286" spans="4:8" s="223" customFormat="1" x14ac:dyDescent="0.35">
      <c r="D2286" s="222"/>
      <c r="E2286" s="222"/>
      <c r="F2286" s="222"/>
      <c r="G2286" s="222"/>
      <c r="H2286" s="222"/>
    </row>
    <row r="2287" spans="4:8" s="223" customFormat="1" x14ac:dyDescent="0.35">
      <c r="D2287" s="222"/>
      <c r="E2287" s="222"/>
      <c r="F2287" s="222"/>
      <c r="G2287" s="222"/>
      <c r="H2287" s="222"/>
    </row>
    <row r="2288" spans="4:8" s="223" customFormat="1" x14ac:dyDescent="0.35">
      <c r="D2288" s="222"/>
      <c r="E2288" s="222"/>
      <c r="F2288" s="222"/>
      <c r="G2288" s="222"/>
      <c r="H2288" s="222"/>
    </row>
    <row r="2289" spans="4:8" s="223" customFormat="1" x14ac:dyDescent="0.35">
      <c r="D2289" s="222"/>
      <c r="E2289" s="222"/>
      <c r="F2289" s="222"/>
      <c r="G2289" s="222"/>
      <c r="H2289" s="222"/>
    </row>
    <row r="2290" spans="4:8" s="223" customFormat="1" x14ac:dyDescent="0.35">
      <c r="D2290" s="222"/>
      <c r="E2290" s="222"/>
      <c r="F2290" s="222"/>
      <c r="G2290" s="222"/>
      <c r="H2290" s="222"/>
    </row>
    <row r="2291" spans="4:8" s="223" customFormat="1" x14ac:dyDescent="0.35">
      <c r="D2291" s="222"/>
      <c r="E2291" s="222"/>
      <c r="F2291" s="222"/>
      <c r="G2291" s="222"/>
      <c r="H2291" s="222"/>
    </row>
    <row r="2292" spans="4:8" s="223" customFormat="1" x14ac:dyDescent="0.35">
      <c r="D2292" s="222"/>
      <c r="E2292" s="222"/>
      <c r="F2292" s="222"/>
      <c r="G2292" s="222"/>
      <c r="H2292" s="222"/>
    </row>
    <row r="2293" spans="4:8" s="223" customFormat="1" x14ac:dyDescent="0.35">
      <c r="D2293" s="222"/>
      <c r="E2293" s="222"/>
      <c r="F2293" s="222"/>
      <c r="G2293" s="222"/>
      <c r="H2293" s="222"/>
    </row>
    <row r="2294" spans="4:8" s="223" customFormat="1" x14ac:dyDescent="0.35">
      <c r="D2294" s="222"/>
      <c r="E2294" s="222"/>
      <c r="F2294" s="222"/>
      <c r="G2294" s="222"/>
      <c r="H2294" s="222"/>
    </row>
    <row r="2295" spans="4:8" s="223" customFormat="1" x14ac:dyDescent="0.35">
      <c r="D2295" s="222"/>
      <c r="E2295" s="222"/>
      <c r="F2295" s="222"/>
      <c r="G2295" s="222"/>
      <c r="H2295" s="222"/>
    </row>
    <row r="2296" spans="4:8" s="223" customFormat="1" x14ac:dyDescent="0.35">
      <c r="D2296" s="222"/>
      <c r="E2296" s="222"/>
      <c r="F2296" s="222"/>
      <c r="G2296" s="222"/>
      <c r="H2296" s="222"/>
    </row>
    <row r="2297" spans="4:8" s="223" customFormat="1" x14ac:dyDescent="0.35">
      <c r="D2297" s="222"/>
      <c r="E2297" s="222"/>
      <c r="F2297" s="222"/>
      <c r="G2297" s="222"/>
      <c r="H2297" s="222"/>
    </row>
    <row r="2298" spans="4:8" s="223" customFormat="1" x14ac:dyDescent="0.35">
      <c r="D2298" s="222"/>
      <c r="E2298" s="222"/>
      <c r="F2298" s="222"/>
      <c r="G2298" s="222"/>
      <c r="H2298" s="222"/>
    </row>
    <row r="2299" spans="4:8" s="223" customFormat="1" x14ac:dyDescent="0.35">
      <c r="D2299" s="222"/>
      <c r="E2299" s="222"/>
      <c r="F2299" s="222"/>
      <c r="G2299" s="222"/>
      <c r="H2299" s="222"/>
    </row>
    <row r="2300" spans="4:8" s="223" customFormat="1" x14ac:dyDescent="0.35">
      <c r="D2300" s="222"/>
      <c r="E2300" s="222"/>
      <c r="F2300" s="222"/>
      <c r="G2300" s="222"/>
      <c r="H2300" s="222"/>
    </row>
    <row r="2301" spans="4:8" s="223" customFormat="1" x14ac:dyDescent="0.35">
      <c r="D2301" s="222"/>
      <c r="E2301" s="222"/>
      <c r="F2301" s="222"/>
      <c r="G2301" s="222"/>
      <c r="H2301" s="222"/>
    </row>
    <row r="2302" spans="4:8" s="223" customFormat="1" x14ac:dyDescent="0.35">
      <c r="D2302" s="222"/>
      <c r="E2302" s="222"/>
      <c r="F2302" s="222"/>
      <c r="G2302" s="222"/>
      <c r="H2302" s="222"/>
    </row>
    <row r="2303" spans="4:8" s="223" customFormat="1" x14ac:dyDescent="0.35">
      <c r="D2303" s="222"/>
      <c r="E2303" s="222"/>
      <c r="F2303" s="222"/>
      <c r="G2303" s="222"/>
      <c r="H2303" s="222"/>
    </row>
    <row r="2304" spans="4:8" s="223" customFormat="1" x14ac:dyDescent="0.35">
      <c r="D2304" s="222"/>
      <c r="E2304" s="222"/>
      <c r="F2304" s="222"/>
      <c r="G2304" s="222"/>
      <c r="H2304" s="222"/>
    </row>
    <row r="2305" spans="4:8" s="223" customFormat="1" x14ac:dyDescent="0.35">
      <c r="D2305" s="222"/>
      <c r="E2305" s="222"/>
      <c r="F2305" s="222"/>
      <c r="G2305" s="222"/>
      <c r="H2305" s="222"/>
    </row>
    <row r="2306" spans="4:8" s="223" customFormat="1" x14ac:dyDescent="0.35">
      <c r="D2306" s="222"/>
      <c r="E2306" s="222"/>
      <c r="F2306" s="222"/>
      <c r="G2306" s="222"/>
      <c r="H2306" s="222"/>
    </row>
    <row r="2307" spans="4:8" s="223" customFormat="1" x14ac:dyDescent="0.35">
      <c r="D2307" s="222"/>
      <c r="E2307" s="222"/>
      <c r="F2307" s="222"/>
      <c r="G2307" s="222"/>
      <c r="H2307" s="222"/>
    </row>
    <row r="2308" spans="4:8" s="223" customFormat="1" x14ac:dyDescent="0.35">
      <c r="D2308" s="222"/>
      <c r="E2308" s="222"/>
      <c r="F2308" s="222"/>
      <c r="G2308" s="222"/>
      <c r="H2308" s="222"/>
    </row>
    <row r="2309" spans="4:8" s="223" customFormat="1" x14ac:dyDescent="0.35">
      <c r="D2309" s="222"/>
      <c r="E2309" s="222"/>
      <c r="F2309" s="222"/>
      <c r="G2309" s="222"/>
      <c r="H2309" s="222"/>
    </row>
    <row r="2310" spans="4:8" s="223" customFormat="1" x14ac:dyDescent="0.35">
      <c r="D2310" s="222"/>
      <c r="E2310" s="222"/>
      <c r="F2310" s="222"/>
      <c r="G2310" s="222"/>
      <c r="H2310" s="222"/>
    </row>
    <row r="2311" spans="4:8" s="223" customFormat="1" x14ac:dyDescent="0.35">
      <c r="D2311" s="222"/>
      <c r="E2311" s="222"/>
      <c r="F2311" s="222"/>
      <c r="G2311" s="222"/>
      <c r="H2311" s="222"/>
    </row>
    <row r="2312" spans="4:8" s="223" customFormat="1" x14ac:dyDescent="0.35">
      <c r="D2312" s="222"/>
      <c r="E2312" s="222"/>
      <c r="F2312" s="222"/>
      <c r="G2312" s="222"/>
      <c r="H2312" s="222"/>
    </row>
    <row r="2313" spans="4:8" s="223" customFormat="1" x14ac:dyDescent="0.35">
      <c r="D2313" s="222"/>
      <c r="E2313" s="222"/>
      <c r="F2313" s="222"/>
      <c r="G2313" s="222"/>
      <c r="H2313" s="222"/>
    </row>
    <row r="2314" spans="4:8" s="223" customFormat="1" x14ac:dyDescent="0.35">
      <c r="D2314" s="222"/>
      <c r="E2314" s="222"/>
      <c r="F2314" s="222"/>
      <c r="G2314" s="222"/>
      <c r="H2314" s="222"/>
    </row>
    <row r="2315" spans="4:8" s="223" customFormat="1" x14ac:dyDescent="0.35">
      <c r="D2315" s="222"/>
      <c r="E2315" s="222"/>
      <c r="F2315" s="222"/>
      <c r="G2315" s="222"/>
      <c r="H2315" s="222"/>
    </row>
    <row r="2316" spans="4:8" s="223" customFormat="1" x14ac:dyDescent="0.35">
      <c r="D2316" s="222"/>
      <c r="E2316" s="222"/>
      <c r="F2316" s="222"/>
      <c r="G2316" s="222"/>
      <c r="H2316" s="222"/>
    </row>
    <row r="2317" spans="4:8" s="223" customFormat="1" x14ac:dyDescent="0.35">
      <c r="D2317" s="222"/>
      <c r="E2317" s="222"/>
      <c r="F2317" s="222"/>
      <c r="G2317" s="222"/>
      <c r="H2317" s="222"/>
    </row>
    <row r="2318" spans="4:8" s="223" customFormat="1" x14ac:dyDescent="0.35">
      <c r="D2318" s="222"/>
      <c r="E2318" s="222"/>
      <c r="F2318" s="222"/>
      <c r="G2318" s="222"/>
      <c r="H2318" s="222"/>
    </row>
    <row r="2319" spans="4:8" s="223" customFormat="1" x14ac:dyDescent="0.35">
      <c r="D2319" s="222"/>
      <c r="E2319" s="222"/>
      <c r="F2319" s="222"/>
      <c r="G2319" s="222"/>
      <c r="H2319" s="222"/>
    </row>
    <row r="2320" spans="4:8" s="223" customFormat="1" x14ac:dyDescent="0.35">
      <c r="D2320" s="222"/>
      <c r="E2320" s="222"/>
      <c r="F2320" s="222"/>
      <c r="G2320" s="222"/>
      <c r="H2320" s="222"/>
    </row>
    <row r="2321" spans="4:8" s="223" customFormat="1" x14ac:dyDescent="0.35">
      <c r="D2321" s="222"/>
      <c r="E2321" s="222"/>
      <c r="F2321" s="222"/>
      <c r="G2321" s="222"/>
      <c r="H2321" s="222"/>
    </row>
    <row r="2322" spans="4:8" s="223" customFormat="1" x14ac:dyDescent="0.35">
      <c r="D2322" s="222"/>
      <c r="E2322" s="222"/>
      <c r="F2322" s="222"/>
      <c r="G2322" s="222"/>
      <c r="H2322" s="222"/>
    </row>
    <row r="2323" spans="4:8" s="223" customFormat="1" x14ac:dyDescent="0.35">
      <c r="D2323" s="222"/>
      <c r="E2323" s="222"/>
      <c r="F2323" s="222"/>
      <c r="G2323" s="222"/>
      <c r="H2323" s="222"/>
    </row>
    <row r="2324" spans="4:8" s="223" customFormat="1" x14ac:dyDescent="0.35">
      <c r="D2324" s="222"/>
      <c r="E2324" s="222"/>
      <c r="F2324" s="222"/>
      <c r="G2324" s="222"/>
      <c r="H2324" s="222"/>
    </row>
    <row r="2325" spans="4:8" s="223" customFormat="1" x14ac:dyDescent="0.35">
      <c r="D2325" s="222"/>
      <c r="E2325" s="222"/>
      <c r="F2325" s="222"/>
      <c r="G2325" s="222"/>
      <c r="H2325" s="222"/>
    </row>
    <row r="2326" spans="4:8" s="223" customFormat="1" x14ac:dyDescent="0.35">
      <c r="D2326" s="222"/>
      <c r="E2326" s="222"/>
      <c r="F2326" s="222"/>
      <c r="G2326" s="222"/>
      <c r="H2326" s="222"/>
    </row>
    <row r="2327" spans="4:8" s="223" customFormat="1" x14ac:dyDescent="0.35">
      <c r="D2327" s="222"/>
      <c r="E2327" s="222"/>
      <c r="F2327" s="222"/>
      <c r="G2327" s="222"/>
      <c r="H2327" s="222"/>
    </row>
    <row r="2328" spans="4:8" s="223" customFormat="1" x14ac:dyDescent="0.35">
      <c r="D2328" s="222"/>
      <c r="E2328" s="222"/>
      <c r="F2328" s="222"/>
      <c r="G2328" s="222"/>
      <c r="H2328" s="222"/>
    </row>
    <row r="2329" spans="4:8" s="223" customFormat="1" x14ac:dyDescent="0.35">
      <c r="D2329" s="222"/>
      <c r="E2329" s="222"/>
      <c r="F2329" s="222"/>
      <c r="G2329" s="222"/>
      <c r="H2329" s="222"/>
    </row>
    <row r="2330" spans="4:8" s="223" customFormat="1" x14ac:dyDescent="0.35">
      <c r="D2330" s="222"/>
      <c r="E2330" s="222"/>
      <c r="F2330" s="222"/>
      <c r="G2330" s="222"/>
      <c r="H2330" s="222"/>
    </row>
    <row r="2331" spans="4:8" s="223" customFormat="1" x14ac:dyDescent="0.35">
      <c r="D2331" s="222"/>
      <c r="E2331" s="222"/>
      <c r="F2331" s="222"/>
      <c r="G2331" s="222"/>
      <c r="H2331" s="222"/>
    </row>
    <row r="2332" spans="4:8" s="223" customFormat="1" x14ac:dyDescent="0.35">
      <c r="D2332" s="222"/>
      <c r="E2332" s="222"/>
      <c r="F2332" s="222"/>
      <c r="G2332" s="222"/>
      <c r="H2332" s="222"/>
    </row>
    <row r="2333" spans="4:8" s="223" customFormat="1" x14ac:dyDescent="0.35">
      <c r="D2333" s="222"/>
      <c r="E2333" s="222"/>
      <c r="F2333" s="222"/>
      <c r="G2333" s="222"/>
      <c r="H2333" s="222"/>
    </row>
    <row r="2334" spans="4:8" s="223" customFormat="1" x14ac:dyDescent="0.35">
      <c r="D2334" s="222"/>
      <c r="E2334" s="222"/>
      <c r="F2334" s="222"/>
      <c r="G2334" s="222"/>
      <c r="H2334" s="222"/>
    </row>
    <row r="2335" spans="4:8" s="223" customFormat="1" x14ac:dyDescent="0.35">
      <c r="D2335" s="222"/>
      <c r="E2335" s="222"/>
      <c r="F2335" s="222"/>
      <c r="G2335" s="222"/>
      <c r="H2335" s="222"/>
    </row>
    <row r="2336" spans="4:8" s="223" customFormat="1" x14ac:dyDescent="0.35">
      <c r="D2336" s="222"/>
      <c r="E2336" s="222"/>
      <c r="F2336" s="222"/>
      <c r="G2336" s="222"/>
      <c r="H2336" s="222"/>
    </row>
    <row r="2337" spans="4:8" s="223" customFormat="1" x14ac:dyDescent="0.35">
      <c r="D2337" s="222"/>
      <c r="E2337" s="222"/>
      <c r="F2337" s="222"/>
      <c r="G2337" s="222"/>
      <c r="H2337" s="222"/>
    </row>
    <row r="2338" spans="4:8" s="223" customFormat="1" x14ac:dyDescent="0.35">
      <c r="D2338" s="222"/>
      <c r="E2338" s="222"/>
      <c r="F2338" s="222"/>
      <c r="G2338" s="222"/>
      <c r="H2338" s="222"/>
    </row>
    <row r="2339" spans="4:8" s="223" customFormat="1" x14ac:dyDescent="0.35">
      <c r="D2339" s="222"/>
      <c r="E2339" s="222"/>
      <c r="F2339" s="222"/>
      <c r="G2339" s="222"/>
      <c r="H2339" s="222"/>
    </row>
    <row r="2340" spans="4:8" s="223" customFormat="1" x14ac:dyDescent="0.35">
      <c r="D2340" s="222"/>
      <c r="E2340" s="222"/>
      <c r="F2340" s="222"/>
      <c r="G2340" s="222"/>
      <c r="H2340" s="222"/>
    </row>
    <row r="2341" spans="4:8" s="223" customFormat="1" x14ac:dyDescent="0.35">
      <c r="D2341" s="222"/>
      <c r="E2341" s="222"/>
      <c r="F2341" s="222"/>
      <c r="G2341" s="222"/>
      <c r="H2341" s="222"/>
    </row>
    <row r="2342" spans="4:8" s="223" customFormat="1" x14ac:dyDescent="0.35">
      <c r="D2342" s="222"/>
      <c r="E2342" s="222"/>
      <c r="F2342" s="222"/>
      <c r="G2342" s="222"/>
      <c r="H2342" s="222"/>
    </row>
    <row r="2343" spans="4:8" s="223" customFormat="1" x14ac:dyDescent="0.35">
      <c r="D2343" s="222"/>
      <c r="E2343" s="222"/>
      <c r="F2343" s="222"/>
      <c r="G2343" s="222"/>
      <c r="H2343" s="222"/>
    </row>
    <row r="2344" spans="4:8" s="223" customFormat="1" x14ac:dyDescent="0.35">
      <c r="D2344" s="222"/>
      <c r="E2344" s="222"/>
      <c r="F2344" s="222"/>
      <c r="G2344" s="222"/>
      <c r="H2344" s="222"/>
    </row>
    <row r="2345" spans="4:8" s="223" customFormat="1" x14ac:dyDescent="0.35">
      <c r="D2345" s="222"/>
      <c r="E2345" s="222"/>
      <c r="F2345" s="222"/>
      <c r="G2345" s="222"/>
      <c r="H2345" s="222"/>
    </row>
    <row r="2346" spans="4:8" s="223" customFormat="1" x14ac:dyDescent="0.35">
      <c r="D2346" s="222"/>
      <c r="E2346" s="222"/>
      <c r="F2346" s="222"/>
      <c r="G2346" s="222"/>
      <c r="H2346" s="222"/>
    </row>
    <row r="2347" spans="4:8" s="223" customFormat="1" x14ac:dyDescent="0.35">
      <c r="D2347" s="222"/>
      <c r="E2347" s="222"/>
      <c r="F2347" s="222"/>
      <c r="G2347" s="222"/>
      <c r="H2347" s="222"/>
    </row>
    <row r="2348" spans="4:8" s="223" customFormat="1" x14ac:dyDescent="0.35">
      <c r="D2348" s="222"/>
      <c r="E2348" s="222"/>
      <c r="F2348" s="222"/>
      <c r="G2348" s="222"/>
      <c r="H2348" s="222"/>
    </row>
    <row r="2349" spans="4:8" s="223" customFormat="1" x14ac:dyDescent="0.35">
      <c r="D2349" s="222"/>
      <c r="E2349" s="222"/>
      <c r="F2349" s="222"/>
      <c r="G2349" s="222"/>
      <c r="H2349" s="222"/>
    </row>
    <row r="2350" spans="4:8" s="223" customFormat="1" x14ac:dyDescent="0.35">
      <c r="D2350" s="222"/>
      <c r="E2350" s="222"/>
      <c r="F2350" s="222"/>
      <c r="G2350" s="222"/>
      <c r="H2350" s="222"/>
    </row>
    <row r="2351" spans="4:8" s="223" customFormat="1" x14ac:dyDescent="0.35">
      <c r="D2351" s="222"/>
      <c r="E2351" s="222"/>
      <c r="F2351" s="222"/>
      <c r="G2351" s="222"/>
      <c r="H2351" s="222"/>
    </row>
    <row r="2352" spans="4:8" s="223" customFormat="1" x14ac:dyDescent="0.35">
      <c r="D2352" s="222"/>
      <c r="E2352" s="222"/>
      <c r="F2352" s="222"/>
      <c r="G2352" s="222"/>
      <c r="H2352" s="222"/>
    </row>
    <row r="2353" spans="4:8" s="223" customFormat="1" x14ac:dyDescent="0.35">
      <c r="D2353" s="222"/>
      <c r="E2353" s="222"/>
      <c r="F2353" s="222"/>
      <c r="G2353" s="222"/>
      <c r="H2353" s="222"/>
    </row>
    <row r="2354" spans="4:8" s="223" customFormat="1" x14ac:dyDescent="0.35">
      <c r="D2354" s="222"/>
      <c r="E2354" s="222"/>
      <c r="F2354" s="222"/>
      <c r="G2354" s="222"/>
      <c r="H2354" s="222"/>
    </row>
    <row r="2355" spans="4:8" s="223" customFormat="1" x14ac:dyDescent="0.35">
      <c r="D2355" s="222"/>
      <c r="E2355" s="222"/>
      <c r="F2355" s="222"/>
      <c r="G2355" s="222"/>
      <c r="H2355" s="222"/>
    </row>
    <row r="2356" spans="4:8" s="223" customFormat="1" x14ac:dyDescent="0.35">
      <c r="D2356" s="222"/>
      <c r="E2356" s="222"/>
      <c r="F2356" s="222"/>
      <c r="G2356" s="222"/>
      <c r="H2356" s="222"/>
    </row>
    <row r="2357" spans="4:8" s="223" customFormat="1" x14ac:dyDescent="0.35">
      <c r="D2357" s="222"/>
      <c r="E2357" s="222"/>
      <c r="F2357" s="222"/>
      <c r="G2357" s="222"/>
      <c r="H2357" s="222"/>
    </row>
    <row r="2358" spans="4:8" s="223" customFormat="1" x14ac:dyDescent="0.35">
      <c r="D2358" s="222"/>
      <c r="E2358" s="222"/>
      <c r="F2358" s="222"/>
      <c r="G2358" s="222"/>
      <c r="H2358" s="222"/>
    </row>
    <row r="2359" spans="4:8" s="223" customFormat="1" x14ac:dyDescent="0.35">
      <c r="D2359" s="222"/>
      <c r="E2359" s="222"/>
      <c r="F2359" s="222"/>
      <c r="G2359" s="222"/>
      <c r="H2359" s="222"/>
    </row>
    <row r="2360" spans="4:8" s="223" customFormat="1" x14ac:dyDescent="0.35">
      <c r="D2360" s="222"/>
      <c r="E2360" s="222"/>
      <c r="F2360" s="222"/>
      <c r="G2360" s="222"/>
      <c r="H2360" s="222"/>
    </row>
    <row r="2361" spans="4:8" s="223" customFormat="1" x14ac:dyDescent="0.35">
      <c r="D2361" s="222"/>
      <c r="E2361" s="222"/>
      <c r="F2361" s="222"/>
      <c r="G2361" s="222"/>
      <c r="H2361" s="222"/>
    </row>
    <row r="2362" spans="4:8" s="223" customFormat="1" x14ac:dyDescent="0.35">
      <c r="D2362" s="222"/>
      <c r="E2362" s="222"/>
      <c r="F2362" s="222"/>
      <c r="G2362" s="222"/>
      <c r="H2362" s="222"/>
    </row>
    <row r="2363" spans="4:8" s="223" customFormat="1" x14ac:dyDescent="0.35">
      <c r="D2363" s="222"/>
      <c r="E2363" s="222"/>
      <c r="F2363" s="222"/>
      <c r="G2363" s="222"/>
      <c r="H2363" s="222"/>
    </row>
    <row r="2364" spans="4:8" s="223" customFormat="1" x14ac:dyDescent="0.35">
      <c r="D2364" s="222"/>
      <c r="E2364" s="222"/>
      <c r="F2364" s="222"/>
      <c r="G2364" s="222"/>
      <c r="H2364" s="222"/>
    </row>
    <row r="2365" spans="4:8" s="223" customFormat="1" x14ac:dyDescent="0.35">
      <c r="D2365" s="222"/>
      <c r="E2365" s="222"/>
      <c r="F2365" s="222"/>
      <c r="G2365" s="222"/>
      <c r="H2365" s="222"/>
    </row>
    <row r="2366" spans="4:8" s="223" customFormat="1" x14ac:dyDescent="0.35">
      <c r="D2366" s="222"/>
      <c r="E2366" s="222"/>
      <c r="F2366" s="222"/>
      <c r="G2366" s="222"/>
      <c r="H2366" s="222"/>
    </row>
    <row r="2367" spans="4:8" s="223" customFormat="1" x14ac:dyDescent="0.35">
      <c r="D2367" s="222"/>
      <c r="E2367" s="222"/>
      <c r="F2367" s="222"/>
      <c r="G2367" s="222"/>
      <c r="H2367" s="222"/>
    </row>
    <row r="2368" spans="4:8" s="223" customFormat="1" x14ac:dyDescent="0.35">
      <c r="D2368" s="222"/>
      <c r="E2368" s="222"/>
      <c r="F2368" s="222"/>
      <c r="G2368" s="222"/>
      <c r="H2368" s="222"/>
    </row>
    <row r="2369" spans="4:8" s="223" customFormat="1" x14ac:dyDescent="0.35">
      <c r="D2369" s="222"/>
      <c r="E2369" s="222"/>
      <c r="F2369" s="222"/>
      <c r="G2369" s="222"/>
      <c r="H2369" s="222"/>
    </row>
    <row r="2370" spans="4:8" s="223" customFormat="1" x14ac:dyDescent="0.35">
      <c r="D2370" s="222"/>
      <c r="E2370" s="222"/>
      <c r="F2370" s="222"/>
      <c r="G2370" s="222"/>
      <c r="H2370" s="222"/>
    </row>
    <row r="2371" spans="4:8" s="223" customFormat="1" x14ac:dyDescent="0.35">
      <c r="D2371" s="222"/>
      <c r="E2371" s="222"/>
      <c r="F2371" s="222"/>
      <c r="G2371" s="222"/>
      <c r="H2371" s="222"/>
    </row>
    <row r="2372" spans="4:8" s="223" customFormat="1" x14ac:dyDescent="0.35">
      <c r="D2372" s="222"/>
      <c r="E2372" s="222"/>
      <c r="F2372" s="222"/>
      <c r="G2372" s="222"/>
      <c r="H2372" s="222"/>
    </row>
    <row r="2373" spans="4:8" s="223" customFormat="1" x14ac:dyDescent="0.35">
      <c r="D2373" s="222"/>
      <c r="E2373" s="222"/>
      <c r="F2373" s="222"/>
      <c r="G2373" s="222"/>
      <c r="H2373" s="222"/>
    </row>
    <row r="2374" spans="4:8" s="223" customFormat="1" x14ac:dyDescent="0.35">
      <c r="D2374" s="222"/>
      <c r="E2374" s="222"/>
      <c r="F2374" s="222"/>
      <c r="G2374" s="222"/>
      <c r="H2374" s="222"/>
    </row>
    <row r="2375" spans="4:8" s="223" customFormat="1" x14ac:dyDescent="0.35">
      <c r="D2375" s="222"/>
      <c r="E2375" s="222"/>
      <c r="F2375" s="222"/>
      <c r="G2375" s="222"/>
      <c r="H2375" s="222"/>
    </row>
    <row r="2376" spans="4:8" s="223" customFormat="1" x14ac:dyDescent="0.35">
      <c r="D2376" s="222"/>
      <c r="E2376" s="222"/>
      <c r="F2376" s="222"/>
      <c r="G2376" s="222"/>
      <c r="H2376" s="222"/>
    </row>
    <row r="2377" spans="4:8" s="223" customFormat="1" x14ac:dyDescent="0.35">
      <c r="D2377" s="222"/>
      <c r="E2377" s="222"/>
      <c r="F2377" s="222"/>
      <c r="G2377" s="222"/>
      <c r="H2377" s="222"/>
    </row>
    <row r="2378" spans="4:8" s="223" customFormat="1" x14ac:dyDescent="0.35">
      <c r="D2378" s="222"/>
      <c r="E2378" s="222"/>
      <c r="F2378" s="222"/>
      <c r="G2378" s="222"/>
      <c r="H2378" s="222"/>
    </row>
    <row r="2379" spans="4:8" s="223" customFormat="1" x14ac:dyDescent="0.35">
      <c r="D2379" s="222"/>
      <c r="E2379" s="222"/>
      <c r="F2379" s="222"/>
      <c r="G2379" s="222"/>
      <c r="H2379" s="222"/>
    </row>
    <row r="2380" spans="4:8" s="223" customFormat="1" x14ac:dyDescent="0.35">
      <c r="D2380" s="222"/>
      <c r="E2380" s="222"/>
      <c r="F2380" s="222"/>
      <c r="G2380" s="222"/>
      <c r="H2380" s="222"/>
    </row>
    <row r="2381" spans="4:8" s="223" customFormat="1" x14ac:dyDescent="0.35">
      <c r="D2381" s="222"/>
      <c r="E2381" s="222"/>
      <c r="F2381" s="222"/>
      <c r="G2381" s="222"/>
      <c r="H2381" s="222"/>
    </row>
    <row r="2382" spans="4:8" s="223" customFormat="1" x14ac:dyDescent="0.35">
      <c r="D2382" s="222"/>
      <c r="E2382" s="222"/>
      <c r="F2382" s="222"/>
      <c r="G2382" s="222"/>
      <c r="H2382" s="222"/>
    </row>
    <row r="2383" spans="4:8" s="223" customFormat="1" x14ac:dyDescent="0.35">
      <c r="D2383" s="222"/>
      <c r="E2383" s="222"/>
      <c r="F2383" s="222"/>
      <c r="G2383" s="222"/>
      <c r="H2383" s="222"/>
    </row>
    <row r="2384" spans="4:8" s="223" customFormat="1" x14ac:dyDescent="0.35">
      <c r="D2384" s="222"/>
      <c r="E2384" s="222"/>
      <c r="F2384" s="222"/>
      <c r="G2384" s="222"/>
      <c r="H2384" s="222"/>
    </row>
    <row r="2385" spans="4:8" s="223" customFormat="1" x14ac:dyDescent="0.35">
      <c r="D2385" s="222"/>
      <c r="E2385" s="222"/>
      <c r="F2385" s="222"/>
      <c r="G2385" s="222"/>
      <c r="H2385" s="222"/>
    </row>
    <row r="2386" spans="4:8" s="223" customFormat="1" x14ac:dyDescent="0.35">
      <c r="D2386" s="222"/>
      <c r="E2386" s="222"/>
      <c r="F2386" s="222"/>
      <c r="G2386" s="222"/>
      <c r="H2386" s="222"/>
    </row>
    <row r="2387" spans="4:8" s="223" customFormat="1" x14ac:dyDescent="0.35">
      <c r="D2387" s="222"/>
      <c r="E2387" s="222"/>
      <c r="F2387" s="222"/>
      <c r="G2387" s="222"/>
      <c r="H2387" s="222"/>
    </row>
    <row r="2388" spans="4:8" s="223" customFormat="1" x14ac:dyDescent="0.35">
      <c r="D2388" s="222"/>
      <c r="E2388" s="222"/>
      <c r="F2388" s="222"/>
      <c r="G2388" s="222"/>
      <c r="H2388" s="222"/>
    </row>
    <row r="2389" spans="4:8" s="223" customFormat="1" x14ac:dyDescent="0.35">
      <c r="D2389" s="222"/>
      <c r="E2389" s="222"/>
      <c r="F2389" s="222"/>
      <c r="G2389" s="222"/>
      <c r="H2389" s="222"/>
    </row>
    <row r="2390" spans="4:8" s="223" customFormat="1" x14ac:dyDescent="0.35">
      <c r="D2390" s="222"/>
      <c r="E2390" s="222"/>
      <c r="F2390" s="222"/>
      <c r="G2390" s="222"/>
      <c r="H2390" s="222"/>
    </row>
    <row r="2391" spans="4:8" s="223" customFormat="1" x14ac:dyDescent="0.35">
      <c r="D2391" s="222"/>
      <c r="E2391" s="222"/>
      <c r="F2391" s="222"/>
      <c r="G2391" s="222"/>
      <c r="H2391" s="222"/>
    </row>
    <row r="2392" spans="4:8" s="223" customFormat="1" x14ac:dyDescent="0.35">
      <c r="D2392" s="222"/>
      <c r="E2392" s="222"/>
      <c r="F2392" s="222"/>
      <c r="G2392" s="222"/>
      <c r="H2392" s="222"/>
    </row>
    <row r="2393" spans="4:8" s="223" customFormat="1" x14ac:dyDescent="0.35">
      <c r="D2393" s="222"/>
      <c r="E2393" s="222"/>
      <c r="F2393" s="222"/>
      <c r="G2393" s="222"/>
      <c r="H2393" s="222"/>
    </row>
    <row r="2394" spans="4:8" s="223" customFormat="1" x14ac:dyDescent="0.35">
      <c r="D2394" s="222"/>
      <c r="E2394" s="222"/>
      <c r="F2394" s="222"/>
      <c r="G2394" s="222"/>
      <c r="H2394" s="222"/>
    </row>
    <row r="2395" spans="4:8" s="223" customFormat="1" x14ac:dyDescent="0.35">
      <c r="D2395" s="222"/>
      <c r="E2395" s="222"/>
      <c r="F2395" s="222"/>
      <c r="G2395" s="222"/>
      <c r="H2395" s="222"/>
    </row>
    <row r="2396" spans="4:8" s="223" customFormat="1" x14ac:dyDescent="0.35">
      <c r="D2396" s="222"/>
      <c r="E2396" s="222"/>
      <c r="F2396" s="222"/>
      <c r="G2396" s="222"/>
      <c r="H2396" s="222"/>
    </row>
    <row r="2397" spans="4:8" s="223" customFormat="1" x14ac:dyDescent="0.35">
      <c r="D2397" s="222"/>
      <c r="E2397" s="222"/>
      <c r="F2397" s="222"/>
      <c r="G2397" s="222"/>
      <c r="H2397" s="222"/>
    </row>
    <row r="2398" spans="4:8" s="223" customFormat="1" x14ac:dyDescent="0.35">
      <c r="D2398" s="222"/>
      <c r="E2398" s="222"/>
      <c r="F2398" s="222"/>
      <c r="G2398" s="222"/>
      <c r="H2398" s="222"/>
    </row>
    <row r="2399" spans="4:8" s="223" customFormat="1" x14ac:dyDescent="0.35">
      <c r="D2399" s="222"/>
      <c r="E2399" s="222"/>
      <c r="F2399" s="222"/>
      <c r="G2399" s="222"/>
      <c r="H2399" s="222"/>
    </row>
    <row r="2400" spans="4:8" s="223" customFormat="1" x14ac:dyDescent="0.35">
      <c r="D2400" s="222"/>
      <c r="E2400" s="222"/>
      <c r="F2400" s="222"/>
      <c r="G2400" s="222"/>
      <c r="H2400" s="222"/>
    </row>
    <row r="2401" spans="4:8" s="223" customFormat="1" x14ac:dyDescent="0.35">
      <c r="D2401" s="222"/>
      <c r="E2401" s="222"/>
      <c r="F2401" s="222"/>
      <c r="G2401" s="222"/>
      <c r="H2401" s="222"/>
    </row>
    <row r="2402" spans="4:8" s="223" customFormat="1" x14ac:dyDescent="0.35">
      <c r="D2402" s="222"/>
      <c r="E2402" s="222"/>
      <c r="F2402" s="222"/>
      <c r="G2402" s="222"/>
      <c r="H2402" s="222"/>
    </row>
    <row r="2403" spans="4:8" s="223" customFormat="1" x14ac:dyDescent="0.35">
      <c r="D2403" s="222"/>
      <c r="E2403" s="222"/>
      <c r="F2403" s="222"/>
      <c r="G2403" s="222"/>
      <c r="H2403" s="222"/>
    </row>
    <row r="2404" spans="4:8" s="223" customFormat="1" x14ac:dyDescent="0.35">
      <c r="D2404" s="222"/>
      <c r="E2404" s="222"/>
      <c r="F2404" s="222"/>
      <c r="G2404" s="222"/>
      <c r="H2404" s="222"/>
    </row>
    <row r="2405" spans="4:8" s="223" customFormat="1" x14ac:dyDescent="0.35">
      <c r="D2405" s="222"/>
      <c r="E2405" s="222"/>
      <c r="F2405" s="222"/>
      <c r="G2405" s="222"/>
      <c r="H2405" s="222"/>
    </row>
    <row r="2406" spans="4:8" s="223" customFormat="1" x14ac:dyDescent="0.35">
      <c r="D2406" s="222"/>
      <c r="E2406" s="222"/>
      <c r="F2406" s="222"/>
      <c r="G2406" s="222"/>
      <c r="H2406" s="222"/>
    </row>
    <row r="2407" spans="4:8" s="223" customFormat="1" x14ac:dyDescent="0.35">
      <c r="D2407" s="222"/>
      <c r="E2407" s="222"/>
      <c r="F2407" s="222"/>
      <c r="G2407" s="222"/>
      <c r="H2407" s="222"/>
    </row>
    <row r="2408" spans="4:8" s="223" customFormat="1" x14ac:dyDescent="0.35">
      <c r="D2408" s="222"/>
      <c r="E2408" s="222"/>
      <c r="F2408" s="222"/>
      <c r="G2408" s="222"/>
      <c r="H2408" s="222"/>
    </row>
    <row r="2409" spans="4:8" s="223" customFormat="1" x14ac:dyDescent="0.35">
      <c r="D2409" s="222"/>
      <c r="E2409" s="222"/>
      <c r="F2409" s="222"/>
      <c r="G2409" s="222"/>
      <c r="H2409" s="222"/>
    </row>
    <row r="2410" spans="4:8" s="223" customFormat="1" x14ac:dyDescent="0.35">
      <c r="D2410" s="222"/>
      <c r="E2410" s="222"/>
      <c r="F2410" s="222"/>
      <c r="G2410" s="222"/>
      <c r="H2410" s="222"/>
    </row>
    <row r="2411" spans="4:8" s="223" customFormat="1" x14ac:dyDescent="0.35">
      <c r="D2411" s="222"/>
      <c r="E2411" s="222"/>
      <c r="F2411" s="222"/>
      <c r="G2411" s="222"/>
      <c r="H2411" s="222"/>
    </row>
    <row r="2412" spans="4:8" s="223" customFormat="1" x14ac:dyDescent="0.35">
      <c r="D2412" s="222"/>
      <c r="E2412" s="222"/>
      <c r="F2412" s="222"/>
      <c r="G2412" s="222"/>
      <c r="H2412" s="222"/>
    </row>
    <row r="2413" spans="4:8" s="223" customFormat="1" x14ac:dyDescent="0.35">
      <c r="D2413" s="222"/>
      <c r="E2413" s="222"/>
      <c r="F2413" s="222"/>
      <c r="G2413" s="222"/>
      <c r="H2413" s="222"/>
    </row>
    <row r="2414" spans="4:8" s="223" customFormat="1" x14ac:dyDescent="0.35">
      <c r="D2414" s="222"/>
      <c r="E2414" s="222"/>
      <c r="F2414" s="222"/>
      <c r="G2414" s="222"/>
      <c r="H2414" s="222"/>
    </row>
    <row r="2415" spans="4:8" s="223" customFormat="1" x14ac:dyDescent="0.35">
      <c r="D2415" s="222"/>
      <c r="E2415" s="222"/>
      <c r="F2415" s="222"/>
      <c r="G2415" s="222"/>
      <c r="H2415" s="222"/>
    </row>
    <row r="2416" spans="4:8" s="223" customFormat="1" x14ac:dyDescent="0.35">
      <c r="D2416" s="222"/>
      <c r="E2416" s="222"/>
      <c r="F2416" s="222"/>
      <c r="G2416" s="222"/>
      <c r="H2416" s="222"/>
    </row>
    <row r="2417" spans="4:8" s="223" customFormat="1" x14ac:dyDescent="0.35">
      <c r="D2417" s="222"/>
      <c r="E2417" s="222"/>
      <c r="F2417" s="222"/>
      <c r="G2417" s="222"/>
      <c r="H2417" s="222"/>
    </row>
    <row r="2418" spans="4:8" s="223" customFormat="1" x14ac:dyDescent="0.35">
      <c r="D2418" s="222"/>
      <c r="E2418" s="222"/>
      <c r="F2418" s="222"/>
      <c r="G2418" s="222"/>
      <c r="H2418" s="222"/>
    </row>
    <row r="2419" spans="4:8" s="223" customFormat="1" x14ac:dyDescent="0.35">
      <c r="D2419" s="222"/>
      <c r="E2419" s="222"/>
      <c r="F2419" s="222"/>
      <c r="G2419" s="222"/>
      <c r="H2419" s="222"/>
    </row>
    <row r="2420" spans="4:8" s="223" customFormat="1" x14ac:dyDescent="0.35">
      <c r="D2420" s="222"/>
      <c r="E2420" s="222"/>
      <c r="F2420" s="222"/>
      <c r="G2420" s="222"/>
      <c r="H2420" s="222"/>
    </row>
    <row r="2421" spans="4:8" s="223" customFormat="1" x14ac:dyDescent="0.35">
      <c r="D2421" s="222"/>
      <c r="E2421" s="222"/>
      <c r="F2421" s="222"/>
      <c r="G2421" s="222"/>
      <c r="H2421" s="222"/>
    </row>
    <row r="2422" spans="4:8" s="223" customFormat="1" x14ac:dyDescent="0.35">
      <c r="D2422" s="222"/>
      <c r="E2422" s="222"/>
      <c r="F2422" s="222"/>
      <c r="G2422" s="222"/>
      <c r="H2422" s="222"/>
    </row>
    <row r="2423" spans="4:8" s="223" customFormat="1" x14ac:dyDescent="0.35">
      <c r="D2423" s="222"/>
      <c r="E2423" s="222"/>
      <c r="F2423" s="222"/>
      <c r="G2423" s="222"/>
      <c r="H2423" s="222"/>
    </row>
    <row r="2424" spans="4:8" s="223" customFormat="1" x14ac:dyDescent="0.35">
      <c r="D2424" s="222"/>
      <c r="E2424" s="222"/>
      <c r="F2424" s="222"/>
      <c r="G2424" s="222"/>
      <c r="H2424" s="222"/>
    </row>
    <row r="2425" spans="4:8" s="223" customFormat="1" x14ac:dyDescent="0.35">
      <c r="D2425" s="222"/>
      <c r="E2425" s="222"/>
      <c r="F2425" s="222"/>
      <c r="G2425" s="222"/>
      <c r="H2425" s="222"/>
    </row>
    <row r="2426" spans="4:8" s="223" customFormat="1" x14ac:dyDescent="0.35">
      <c r="D2426" s="222"/>
      <c r="E2426" s="222"/>
      <c r="F2426" s="222"/>
      <c r="G2426" s="222"/>
      <c r="H2426" s="222"/>
    </row>
    <row r="2427" spans="4:8" s="223" customFormat="1" x14ac:dyDescent="0.35">
      <c r="D2427" s="222"/>
      <c r="E2427" s="222"/>
      <c r="F2427" s="222"/>
      <c r="G2427" s="222"/>
      <c r="H2427" s="222"/>
    </row>
    <row r="2428" spans="4:8" s="223" customFormat="1" x14ac:dyDescent="0.35">
      <c r="D2428" s="222"/>
      <c r="E2428" s="222"/>
      <c r="F2428" s="222"/>
      <c r="G2428" s="222"/>
      <c r="H2428" s="222"/>
    </row>
    <row r="2429" spans="4:8" s="223" customFormat="1" x14ac:dyDescent="0.35">
      <c r="D2429" s="222"/>
      <c r="E2429" s="222"/>
      <c r="F2429" s="222"/>
      <c r="G2429" s="222"/>
      <c r="H2429" s="222"/>
    </row>
    <row r="2430" spans="4:8" s="223" customFormat="1" x14ac:dyDescent="0.35">
      <c r="D2430" s="222"/>
      <c r="E2430" s="222"/>
      <c r="F2430" s="222"/>
      <c r="G2430" s="222"/>
      <c r="H2430" s="222"/>
    </row>
    <row r="2431" spans="4:8" s="223" customFormat="1" x14ac:dyDescent="0.35">
      <c r="D2431" s="222"/>
      <c r="E2431" s="222"/>
      <c r="F2431" s="222"/>
      <c r="G2431" s="222"/>
      <c r="H2431" s="222"/>
    </row>
    <row r="2432" spans="4:8" s="223" customFormat="1" x14ac:dyDescent="0.35">
      <c r="D2432" s="222"/>
      <c r="E2432" s="222"/>
      <c r="F2432" s="222"/>
      <c r="G2432" s="222"/>
      <c r="H2432" s="222"/>
    </row>
    <row r="2433" spans="4:8" s="223" customFormat="1" x14ac:dyDescent="0.35">
      <c r="D2433" s="222"/>
      <c r="E2433" s="222"/>
      <c r="F2433" s="222"/>
      <c r="G2433" s="222"/>
      <c r="H2433" s="222"/>
    </row>
    <row r="2434" spans="4:8" s="223" customFormat="1" x14ac:dyDescent="0.35">
      <c r="D2434" s="222"/>
      <c r="E2434" s="222"/>
      <c r="F2434" s="222"/>
      <c r="G2434" s="222"/>
      <c r="H2434" s="222"/>
    </row>
    <row r="2435" spans="4:8" s="223" customFormat="1" x14ac:dyDescent="0.35">
      <c r="D2435" s="222"/>
      <c r="E2435" s="222"/>
      <c r="F2435" s="222"/>
      <c r="G2435" s="222"/>
      <c r="H2435" s="222"/>
    </row>
    <row r="2436" spans="4:8" s="223" customFormat="1" x14ac:dyDescent="0.35">
      <c r="D2436" s="222"/>
      <c r="E2436" s="222"/>
      <c r="F2436" s="222"/>
      <c r="G2436" s="222"/>
      <c r="H2436" s="222"/>
    </row>
    <row r="2437" spans="4:8" s="223" customFormat="1" x14ac:dyDescent="0.35">
      <c r="D2437" s="222"/>
      <c r="E2437" s="222"/>
      <c r="F2437" s="222"/>
      <c r="G2437" s="222"/>
      <c r="H2437" s="222"/>
    </row>
    <row r="2438" spans="4:8" s="223" customFormat="1" x14ac:dyDescent="0.35">
      <c r="D2438" s="222"/>
      <c r="E2438" s="222"/>
      <c r="F2438" s="222"/>
      <c r="G2438" s="222"/>
      <c r="H2438" s="222"/>
    </row>
    <row r="2439" spans="4:8" s="223" customFormat="1" x14ac:dyDescent="0.35">
      <c r="D2439" s="222"/>
      <c r="E2439" s="222"/>
      <c r="F2439" s="222"/>
      <c r="G2439" s="222"/>
      <c r="H2439" s="222"/>
    </row>
    <row r="2440" spans="4:8" s="223" customFormat="1" x14ac:dyDescent="0.35">
      <c r="D2440" s="222"/>
      <c r="E2440" s="222"/>
      <c r="F2440" s="222"/>
      <c r="G2440" s="222"/>
      <c r="H2440" s="222"/>
    </row>
    <row r="2441" spans="4:8" s="223" customFormat="1" x14ac:dyDescent="0.35">
      <c r="D2441" s="222"/>
      <c r="E2441" s="222"/>
      <c r="F2441" s="222"/>
      <c r="G2441" s="222"/>
      <c r="H2441" s="222"/>
    </row>
    <row r="2442" spans="4:8" s="223" customFormat="1" x14ac:dyDescent="0.35">
      <c r="D2442" s="222"/>
      <c r="E2442" s="222"/>
      <c r="F2442" s="222"/>
      <c r="G2442" s="222"/>
      <c r="H2442" s="222"/>
    </row>
    <row r="2443" spans="4:8" s="223" customFormat="1" x14ac:dyDescent="0.35">
      <c r="D2443" s="222"/>
      <c r="E2443" s="222"/>
      <c r="F2443" s="222"/>
      <c r="G2443" s="222"/>
      <c r="H2443" s="222"/>
    </row>
    <row r="2444" spans="4:8" s="223" customFormat="1" x14ac:dyDescent="0.35">
      <c r="D2444" s="222"/>
      <c r="E2444" s="222"/>
      <c r="F2444" s="222"/>
      <c r="G2444" s="222"/>
      <c r="H2444" s="222"/>
    </row>
    <row r="2445" spans="4:8" s="223" customFormat="1" x14ac:dyDescent="0.35">
      <c r="D2445" s="222"/>
      <c r="E2445" s="222"/>
      <c r="F2445" s="222"/>
      <c r="G2445" s="222"/>
      <c r="H2445" s="222"/>
    </row>
    <row r="2446" spans="4:8" s="223" customFormat="1" x14ac:dyDescent="0.35">
      <c r="D2446" s="222"/>
      <c r="E2446" s="222"/>
      <c r="F2446" s="222"/>
      <c r="G2446" s="222"/>
      <c r="H2446" s="222"/>
    </row>
    <row r="2447" spans="4:8" s="223" customFormat="1" x14ac:dyDescent="0.35">
      <c r="D2447" s="222"/>
      <c r="E2447" s="222"/>
      <c r="F2447" s="222"/>
      <c r="G2447" s="222"/>
      <c r="H2447" s="222"/>
    </row>
    <row r="2448" spans="4:8" s="223" customFormat="1" x14ac:dyDescent="0.35">
      <c r="D2448" s="222"/>
      <c r="E2448" s="222"/>
      <c r="F2448" s="222"/>
      <c r="G2448" s="222"/>
      <c r="H2448" s="222"/>
    </row>
    <row r="2449" spans="4:8" s="223" customFormat="1" x14ac:dyDescent="0.35">
      <c r="D2449" s="222"/>
      <c r="E2449" s="222"/>
      <c r="F2449" s="222"/>
      <c r="G2449" s="222"/>
      <c r="H2449" s="222"/>
    </row>
    <row r="2450" spans="4:8" s="223" customFormat="1" x14ac:dyDescent="0.35">
      <c r="D2450" s="222"/>
      <c r="E2450" s="222"/>
      <c r="F2450" s="222"/>
      <c r="G2450" s="222"/>
      <c r="H2450" s="222"/>
    </row>
    <row r="2451" spans="4:8" s="223" customFormat="1" x14ac:dyDescent="0.35">
      <c r="D2451" s="222"/>
      <c r="E2451" s="222"/>
      <c r="F2451" s="222"/>
      <c r="G2451" s="222"/>
      <c r="H2451" s="222"/>
    </row>
    <row r="2452" spans="4:8" s="223" customFormat="1" x14ac:dyDescent="0.35">
      <c r="D2452" s="222"/>
      <c r="E2452" s="222"/>
      <c r="F2452" s="222"/>
      <c r="G2452" s="222"/>
      <c r="H2452" s="222"/>
    </row>
    <row r="2453" spans="4:8" s="223" customFormat="1" x14ac:dyDescent="0.35">
      <c r="D2453" s="222"/>
      <c r="E2453" s="222"/>
      <c r="F2453" s="222"/>
      <c r="G2453" s="222"/>
      <c r="H2453" s="222"/>
    </row>
    <row r="2454" spans="4:8" s="223" customFormat="1" x14ac:dyDescent="0.35">
      <c r="D2454" s="222"/>
      <c r="E2454" s="222"/>
      <c r="F2454" s="222"/>
      <c r="G2454" s="222"/>
      <c r="H2454" s="222"/>
    </row>
    <row r="2455" spans="4:8" s="223" customFormat="1" x14ac:dyDescent="0.35">
      <c r="D2455" s="222"/>
      <c r="E2455" s="222"/>
      <c r="F2455" s="222"/>
      <c r="G2455" s="222"/>
      <c r="H2455" s="222"/>
    </row>
    <row r="2456" spans="4:8" s="223" customFormat="1" x14ac:dyDescent="0.35">
      <c r="D2456" s="222"/>
      <c r="E2456" s="222"/>
      <c r="F2456" s="222"/>
      <c r="G2456" s="222"/>
      <c r="H2456" s="222"/>
    </row>
    <row r="2457" spans="4:8" s="223" customFormat="1" x14ac:dyDescent="0.35">
      <c r="D2457" s="222"/>
      <c r="E2457" s="222"/>
      <c r="F2457" s="222"/>
      <c r="G2457" s="222"/>
      <c r="H2457" s="222"/>
    </row>
    <row r="2458" spans="4:8" s="223" customFormat="1" x14ac:dyDescent="0.35">
      <c r="D2458" s="222"/>
      <c r="E2458" s="222"/>
      <c r="F2458" s="222"/>
      <c r="G2458" s="222"/>
      <c r="H2458" s="222"/>
    </row>
    <row r="2459" spans="4:8" s="223" customFormat="1" x14ac:dyDescent="0.35">
      <c r="D2459" s="222"/>
      <c r="E2459" s="222"/>
      <c r="F2459" s="222"/>
      <c r="G2459" s="222"/>
      <c r="H2459" s="222"/>
    </row>
    <row r="2460" spans="4:8" s="223" customFormat="1" x14ac:dyDescent="0.35">
      <c r="D2460" s="222"/>
      <c r="E2460" s="222"/>
      <c r="F2460" s="222"/>
      <c r="G2460" s="222"/>
      <c r="H2460" s="222"/>
    </row>
    <row r="2461" spans="4:8" s="223" customFormat="1" x14ac:dyDescent="0.35">
      <c r="D2461" s="222"/>
      <c r="E2461" s="222"/>
      <c r="F2461" s="222"/>
      <c r="G2461" s="222"/>
      <c r="H2461" s="222"/>
    </row>
    <row r="2462" spans="4:8" s="223" customFormat="1" x14ac:dyDescent="0.35">
      <c r="D2462" s="222"/>
      <c r="E2462" s="222"/>
      <c r="F2462" s="222"/>
      <c r="G2462" s="222"/>
      <c r="H2462" s="222"/>
    </row>
    <row r="2463" spans="4:8" s="223" customFormat="1" x14ac:dyDescent="0.35">
      <c r="D2463" s="222"/>
      <c r="E2463" s="222"/>
      <c r="F2463" s="222"/>
      <c r="G2463" s="222"/>
      <c r="H2463" s="222"/>
    </row>
    <row r="2464" spans="4:8" s="223" customFormat="1" x14ac:dyDescent="0.35">
      <c r="D2464" s="222"/>
      <c r="E2464" s="222"/>
      <c r="F2464" s="222"/>
      <c r="G2464" s="222"/>
      <c r="H2464" s="222"/>
    </row>
    <row r="2465" spans="4:8" s="223" customFormat="1" x14ac:dyDescent="0.35">
      <c r="D2465" s="222"/>
      <c r="E2465" s="222"/>
      <c r="F2465" s="222"/>
      <c r="G2465" s="222"/>
      <c r="H2465" s="222"/>
    </row>
    <row r="2466" spans="4:8" s="223" customFormat="1" x14ac:dyDescent="0.35">
      <c r="D2466" s="222"/>
      <c r="E2466" s="222"/>
      <c r="F2466" s="222"/>
      <c r="G2466" s="222"/>
      <c r="H2466" s="222"/>
    </row>
    <row r="2467" spans="4:8" s="223" customFormat="1" x14ac:dyDescent="0.35">
      <c r="D2467" s="222"/>
      <c r="E2467" s="222"/>
      <c r="F2467" s="222"/>
      <c r="G2467" s="222"/>
      <c r="H2467" s="222"/>
    </row>
    <row r="2468" spans="4:8" s="223" customFormat="1" x14ac:dyDescent="0.35">
      <c r="D2468" s="222"/>
      <c r="E2468" s="222"/>
      <c r="F2468" s="222"/>
      <c r="G2468" s="222"/>
      <c r="H2468" s="222"/>
    </row>
    <row r="2469" spans="4:8" s="223" customFormat="1" x14ac:dyDescent="0.35">
      <c r="D2469" s="222"/>
      <c r="E2469" s="222"/>
      <c r="F2469" s="222"/>
      <c r="G2469" s="222"/>
      <c r="H2469" s="222"/>
    </row>
    <row r="2470" spans="4:8" s="223" customFormat="1" x14ac:dyDescent="0.35">
      <c r="D2470" s="222"/>
      <c r="E2470" s="222"/>
      <c r="F2470" s="222"/>
      <c r="G2470" s="222"/>
      <c r="H2470" s="222"/>
    </row>
    <row r="2471" spans="4:8" s="223" customFormat="1" x14ac:dyDescent="0.35">
      <c r="D2471" s="222"/>
      <c r="E2471" s="222"/>
      <c r="F2471" s="222"/>
      <c r="G2471" s="222"/>
      <c r="H2471" s="222"/>
    </row>
    <row r="2472" spans="4:8" s="223" customFormat="1" x14ac:dyDescent="0.35">
      <c r="D2472" s="222"/>
      <c r="E2472" s="222"/>
      <c r="F2472" s="222"/>
      <c r="G2472" s="222"/>
      <c r="H2472" s="222"/>
    </row>
    <row r="2473" spans="4:8" s="223" customFormat="1" x14ac:dyDescent="0.35">
      <c r="D2473" s="222"/>
      <c r="E2473" s="222"/>
      <c r="F2473" s="222"/>
      <c r="G2473" s="222"/>
      <c r="H2473" s="222"/>
    </row>
    <row r="2474" spans="4:8" s="223" customFormat="1" x14ac:dyDescent="0.35">
      <c r="D2474" s="222"/>
      <c r="E2474" s="222"/>
      <c r="F2474" s="222"/>
      <c r="G2474" s="222"/>
      <c r="H2474" s="222"/>
    </row>
    <row r="2475" spans="4:8" s="223" customFormat="1" x14ac:dyDescent="0.35">
      <c r="D2475" s="222"/>
      <c r="E2475" s="222"/>
      <c r="F2475" s="222"/>
      <c r="G2475" s="222"/>
      <c r="H2475" s="222"/>
    </row>
    <row r="2476" spans="4:8" s="223" customFormat="1" x14ac:dyDescent="0.35">
      <c r="D2476" s="222"/>
      <c r="E2476" s="222"/>
      <c r="F2476" s="222"/>
      <c r="G2476" s="222"/>
      <c r="H2476" s="222"/>
    </row>
    <row r="2477" spans="4:8" s="223" customFormat="1" x14ac:dyDescent="0.35">
      <c r="D2477" s="222"/>
      <c r="E2477" s="222"/>
      <c r="F2477" s="222"/>
      <c r="G2477" s="222"/>
      <c r="H2477" s="222"/>
    </row>
    <row r="2478" spans="4:8" s="223" customFormat="1" x14ac:dyDescent="0.35">
      <c r="D2478" s="222"/>
      <c r="E2478" s="222"/>
      <c r="F2478" s="222"/>
      <c r="G2478" s="222"/>
      <c r="H2478" s="222"/>
    </row>
    <row r="2479" spans="4:8" s="223" customFormat="1" x14ac:dyDescent="0.35">
      <c r="D2479" s="222"/>
      <c r="E2479" s="222"/>
      <c r="F2479" s="222"/>
      <c r="G2479" s="222"/>
      <c r="H2479" s="222"/>
    </row>
    <row r="2480" spans="4:8" s="223" customFormat="1" x14ac:dyDescent="0.35">
      <c r="D2480" s="222"/>
      <c r="E2480" s="222"/>
      <c r="F2480" s="222"/>
      <c r="G2480" s="222"/>
      <c r="H2480" s="222"/>
    </row>
    <row r="2481" spans="4:8" s="223" customFormat="1" x14ac:dyDescent="0.35">
      <c r="D2481" s="222"/>
      <c r="E2481" s="222"/>
      <c r="F2481" s="222"/>
      <c r="G2481" s="222"/>
      <c r="H2481" s="222"/>
    </row>
    <row r="2482" spans="4:8" s="223" customFormat="1" x14ac:dyDescent="0.35">
      <c r="D2482" s="222"/>
      <c r="E2482" s="222"/>
      <c r="F2482" s="222"/>
      <c r="G2482" s="222"/>
      <c r="H2482" s="222"/>
    </row>
    <row r="2483" spans="4:8" s="223" customFormat="1" x14ac:dyDescent="0.35">
      <c r="D2483" s="222"/>
      <c r="E2483" s="222"/>
      <c r="F2483" s="222"/>
      <c r="G2483" s="222"/>
      <c r="H2483" s="222"/>
    </row>
    <row r="2484" spans="4:8" s="223" customFormat="1" x14ac:dyDescent="0.35">
      <c r="D2484" s="222"/>
      <c r="E2484" s="222"/>
      <c r="F2484" s="222"/>
      <c r="G2484" s="222"/>
      <c r="H2484" s="222"/>
    </row>
    <row r="2485" spans="4:8" s="223" customFormat="1" x14ac:dyDescent="0.35">
      <c r="D2485" s="222"/>
      <c r="E2485" s="222"/>
      <c r="F2485" s="222"/>
      <c r="G2485" s="222"/>
      <c r="H2485" s="222"/>
    </row>
    <row r="2486" spans="4:8" s="223" customFormat="1" x14ac:dyDescent="0.35">
      <c r="D2486" s="222"/>
      <c r="E2486" s="222"/>
      <c r="F2486" s="222"/>
      <c r="G2486" s="222"/>
      <c r="H2486" s="222"/>
    </row>
    <row r="2487" spans="4:8" s="223" customFormat="1" x14ac:dyDescent="0.35">
      <c r="D2487" s="222"/>
      <c r="E2487" s="222"/>
      <c r="F2487" s="222"/>
      <c r="G2487" s="222"/>
      <c r="H2487" s="222"/>
    </row>
    <row r="2488" spans="4:8" s="223" customFormat="1" x14ac:dyDescent="0.35">
      <c r="D2488" s="222"/>
      <c r="E2488" s="222"/>
      <c r="F2488" s="222"/>
      <c r="G2488" s="222"/>
      <c r="H2488" s="222"/>
    </row>
    <row r="2489" spans="4:8" s="223" customFormat="1" x14ac:dyDescent="0.35">
      <c r="D2489" s="222"/>
      <c r="E2489" s="222"/>
      <c r="F2489" s="222"/>
      <c r="G2489" s="222"/>
      <c r="H2489" s="222"/>
    </row>
    <row r="2490" spans="4:8" s="223" customFormat="1" x14ac:dyDescent="0.35">
      <c r="D2490" s="222"/>
      <c r="E2490" s="222"/>
      <c r="F2490" s="222"/>
      <c r="G2490" s="222"/>
      <c r="H2490" s="222"/>
    </row>
    <row r="2491" spans="4:8" s="223" customFormat="1" x14ac:dyDescent="0.35">
      <c r="D2491" s="222"/>
      <c r="E2491" s="222"/>
      <c r="F2491" s="222"/>
      <c r="G2491" s="222"/>
      <c r="H2491" s="222"/>
    </row>
    <row r="2492" spans="4:8" s="223" customFormat="1" x14ac:dyDescent="0.35">
      <c r="D2492" s="222"/>
      <c r="E2492" s="222"/>
      <c r="F2492" s="222"/>
      <c r="G2492" s="222"/>
      <c r="H2492" s="222"/>
    </row>
    <row r="2493" spans="4:8" s="223" customFormat="1" x14ac:dyDescent="0.35">
      <c r="D2493" s="222"/>
      <c r="E2493" s="222"/>
      <c r="F2493" s="222"/>
      <c r="G2493" s="222"/>
      <c r="H2493" s="222"/>
    </row>
    <row r="2494" spans="4:8" s="223" customFormat="1" x14ac:dyDescent="0.35">
      <c r="D2494" s="222"/>
      <c r="E2494" s="222"/>
      <c r="F2494" s="222"/>
      <c r="G2494" s="222"/>
      <c r="H2494" s="222"/>
    </row>
    <row r="2495" spans="4:8" s="223" customFormat="1" x14ac:dyDescent="0.35">
      <c r="D2495" s="222"/>
      <c r="E2495" s="222"/>
      <c r="F2495" s="222"/>
      <c r="G2495" s="222"/>
      <c r="H2495" s="222"/>
    </row>
    <row r="2496" spans="4:8" s="223" customFormat="1" x14ac:dyDescent="0.35">
      <c r="D2496" s="222"/>
      <c r="E2496" s="222"/>
      <c r="F2496" s="222"/>
      <c r="G2496" s="222"/>
      <c r="H2496" s="222"/>
    </row>
    <row r="2497" spans="4:8" s="223" customFormat="1" x14ac:dyDescent="0.35">
      <c r="D2497" s="222"/>
      <c r="E2497" s="222"/>
      <c r="F2497" s="222"/>
      <c r="G2497" s="222"/>
      <c r="H2497" s="222"/>
    </row>
    <row r="2498" spans="4:8" s="223" customFormat="1" x14ac:dyDescent="0.35">
      <c r="D2498" s="222"/>
      <c r="E2498" s="222"/>
      <c r="F2498" s="222"/>
      <c r="G2498" s="222"/>
      <c r="H2498" s="222"/>
    </row>
    <row r="2499" spans="4:8" s="223" customFormat="1" x14ac:dyDescent="0.35">
      <c r="D2499" s="222"/>
      <c r="E2499" s="222"/>
      <c r="F2499" s="222"/>
      <c r="G2499" s="222"/>
      <c r="H2499" s="222"/>
    </row>
    <row r="2500" spans="4:8" s="223" customFormat="1" x14ac:dyDescent="0.35">
      <c r="D2500" s="222"/>
      <c r="E2500" s="222"/>
      <c r="F2500" s="222"/>
      <c r="G2500" s="222"/>
      <c r="H2500" s="222"/>
    </row>
    <row r="2501" spans="4:8" s="223" customFormat="1" x14ac:dyDescent="0.35">
      <c r="D2501" s="222"/>
      <c r="E2501" s="222"/>
      <c r="F2501" s="222"/>
      <c r="G2501" s="222"/>
      <c r="H2501" s="222"/>
    </row>
    <row r="2502" spans="4:8" s="223" customFormat="1" x14ac:dyDescent="0.35">
      <c r="D2502" s="222"/>
      <c r="E2502" s="222"/>
      <c r="F2502" s="222"/>
      <c r="G2502" s="222"/>
      <c r="H2502" s="222"/>
    </row>
    <row r="2503" spans="4:8" s="223" customFormat="1" x14ac:dyDescent="0.35">
      <c r="D2503" s="222"/>
      <c r="E2503" s="222"/>
      <c r="F2503" s="222"/>
      <c r="G2503" s="222"/>
      <c r="H2503" s="222"/>
    </row>
    <row r="2504" spans="4:8" s="223" customFormat="1" x14ac:dyDescent="0.35">
      <c r="D2504" s="222"/>
      <c r="E2504" s="222"/>
      <c r="F2504" s="222"/>
      <c r="G2504" s="222"/>
      <c r="H2504" s="222"/>
    </row>
    <row r="2505" spans="4:8" s="223" customFormat="1" x14ac:dyDescent="0.35">
      <c r="D2505" s="222"/>
      <c r="E2505" s="222"/>
      <c r="F2505" s="222"/>
      <c r="G2505" s="222"/>
      <c r="H2505" s="222"/>
    </row>
    <row r="2506" spans="4:8" s="223" customFormat="1" x14ac:dyDescent="0.35">
      <c r="D2506" s="222"/>
      <c r="E2506" s="222"/>
      <c r="F2506" s="222"/>
      <c r="G2506" s="222"/>
      <c r="H2506" s="222"/>
    </row>
    <row r="2507" spans="4:8" s="223" customFormat="1" x14ac:dyDescent="0.35">
      <c r="D2507" s="222"/>
      <c r="E2507" s="222"/>
      <c r="F2507" s="222"/>
      <c r="G2507" s="222"/>
      <c r="H2507" s="222"/>
    </row>
    <row r="2508" spans="4:8" s="223" customFormat="1" x14ac:dyDescent="0.35">
      <c r="D2508" s="222"/>
      <c r="E2508" s="222"/>
      <c r="F2508" s="222"/>
      <c r="G2508" s="222"/>
      <c r="H2508" s="222"/>
    </row>
    <row r="2509" spans="4:8" s="223" customFormat="1" x14ac:dyDescent="0.35">
      <c r="D2509" s="222"/>
      <c r="E2509" s="222"/>
      <c r="F2509" s="222"/>
      <c r="G2509" s="222"/>
      <c r="H2509" s="222"/>
    </row>
    <row r="2510" spans="4:8" s="223" customFormat="1" x14ac:dyDescent="0.35">
      <c r="D2510" s="222"/>
      <c r="E2510" s="222"/>
      <c r="F2510" s="222"/>
      <c r="G2510" s="222"/>
      <c r="H2510" s="222"/>
    </row>
    <row r="2511" spans="4:8" s="223" customFormat="1" x14ac:dyDescent="0.35">
      <c r="D2511" s="222"/>
      <c r="E2511" s="222"/>
      <c r="F2511" s="222"/>
      <c r="G2511" s="222"/>
      <c r="H2511" s="222"/>
    </row>
    <row r="2512" spans="4:8" s="223" customFormat="1" x14ac:dyDescent="0.35">
      <c r="D2512" s="222"/>
      <c r="E2512" s="222"/>
      <c r="F2512" s="222"/>
      <c r="G2512" s="222"/>
      <c r="H2512" s="222"/>
    </row>
    <row r="2513" spans="4:8" s="223" customFormat="1" x14ac:dyDescent="0.35">
      <c r="D2513" s="222"/>
      <c r="E2513" s="222"/>
      <c r="F2513" s="222"/>
      <c r="G2513" s="222"/>
      <c r="H2513" s="222"/>
    </row>
    <row r="2514" spans="4:8" s="223" customFormat="1" x14ac:dyDescent="0.35">
      <c r="D2514" s="222"/>
      <c r="E2514" s="222"/>
      <c r="F2514" s="222"/>
      <c r="G2514" s="222"/>
      <c r="H2514" s="222"/>
    </row>
    <row r="2515" spans="4:8" s="223" customFormat="1" x14ac:dyDescent="0.35">
      <c r="D2515" s="222"/>
      <c r="E2515" s="222"/>
      <c r="F2515" s="222"/>
      <c r="G2515" s="222"/>
      <c r="H2515" s="222"/>
    </row>
    <row r="2516" spans="4:8" s="223" customFormat="1" x14ac:dyDescent="0.35">
      <c r="D2516" s="222"/>
      <c r="E2516" s="222"/>
      <c r="F2516" s="222"/>
      <c r="G2516" s="222"/>
      <c r="H2516" s="222"/>
    </row>
    <row r="2517" spans="4:8" s="223" customFormat="1" x14ac:dyDescent="0.35">
      <c r="D2517" s="222"/>
      <c r="E2517" s="222"/>
      <c r="F2517" s="222"/>
      <c r="G2517" s="222"/>
      <c r="H2517" s="222"/>
    </row>
    <row r="2518" spans="4:8" s="223" customFormat="1" x14ac:dyDescent="0.35">
      <c r="D2518" s="222"/>
      <c r="E2518" s="222"/>
      <c r="F2518" s="222"/>
      <c r="G2518" s="222"/>
      <c r="H2518" s="222"/>
    </row>
    <row r="2519" spans="4:8" s="223" customFormat="1" x14ac:dyDescent="0.35">
      <c r="D2519" s="222"/>
      <c r="E2519" s="222"/>
      <c r="F2519" s="222"/>
      <c r="G2519" s="222"/>
      <c r="H2519" s="222"/>
    </row>
    <row r="2520" spans="4:8" s="223" customFormat="1" x14ac:dyDescent="0.35">
      <c r="D2520" s="222"/>
      <c r="E2520" s="222"/>
      <c r="F2520" s="222"/>
      <c r="G2520" s="222"/>
      <c r="H2520" s="222"/>
    </row>
    <row r="2521" spans="4:8" s="223" customFormat="1" x14ac:dyDescent="0.35">
      <c r="D2521" s="222"/>
      <c r="E2521" s="222"/>
      <c r="F2521" s="222"/>
      <c r="G2521" s="222"/>
      <c r="H2521" s="222"/>
    </row>
    <row r="2522" spans="4:8" s="223" customFormat="1" x14ac:dyDescent="0.35">
      <c r="D2522" s="222"/>
      <c r="E2522" s="222"/>
      <c r="F2522" s="222"/>
      <c r="G2522" s="222"/>
      <c r="H2522" s="222"/>
    </row>
    <row r="2523" spans="4:8" s="223" customFormat="1" x14ac:dyDescent="0.35">
      <c r="D2523" s="222"/>
      <c r="E2523" s="222"/>
      <c r="F2523" s="222"/>
      <c r="G2523" s="222"/>
      <c r="H2523" s="222"/>
    </row>
    <row r="2524" spans="4:8" s="223" customFormat="1" x14ac:dyDescent="0.35">
      <c r="D2524" s="222"/>
      <c r="E2524" s="222"/>
      <c r="F2524" s="222"/>
      <c r="G2524" s="222"/>
      <c r="H2524" s="222"/>
    </row>
    <row r="2525" spans="4:8" s="223" customFormat="1" x14ac:dyDescent="0.35">
      <c r="D2525" s="222"/>
      <c r="E2525" s="222"/>
      <c r="F2525" s="222"/>
      <c r="G2525" s="222"/>
      <c r="H2525" s="222"/>
    </row>
    <row r="2526" spans="4:8" s="223" customFormat="1" x14ac:dyDescent="0.35">
      <c r="D2526" s="222"/>
      <c r="E2526" s="222"/>
      <c r="F2526" s="222"/>
      <c r="G2526" s="222"/>
      <c r="H2526" s="222"/>
    </row>
    <row r="2527" spans="4:8" s="223" customFormat="1" x14ac:dyDescent="0.35">
      <c r="D2527" s="222"/>
      <c r="E2527" s="222"/>
      <c r="F2527" s="222"/>
      <c r="G2527" s="222"/>
      <c r="H2527" s="222"/>
    </row>
    <row r="2528" spans="4:8" s="223" customFormat="1" x14ac:dyDescent="0.35">
      <c r="D2528" s="222"/>
      <c r="E2528" s="222"/>
      <c r="F2528" s="222"/>
      <c r="G2528" s="222"/>
      <c r="H2528" s="222"/>
    </row>
    <row r="2529" spans="4:8" s="223" customFormat="1" x14ac:dyDescent="0.35">
      <c r="D2529" s="222"/>
      <c r="E2529" s="222"/>
      <c r="F2529" s="222"/>
      <c r="G2529" s="222"/>
      <c r="H2529" s="222"/>
    </row>
    <row r="2530" spans="4:8" s="223" customFormat="1" x14ac:dyDescent="0.35">
      <c r="D2530" s="222"/>
      <c r="E2530" s="222"/>
      <c r="F2530" s="222"/>
      <c r="G2530" s="222"/>
      <c r="H2530" s="222"/>
    </row>
    <row r="2531" spans="4:8" s="223" customFormat="1" x14ac:dyDescent="0.35">
      <c r="D2531" s="222"/>
      <c r="E2531" s="222"/>
      <c r="F2531" s="222"/>
      <c r="G2531" s="222"/>
      <c r="H2531" s="222"/>
    </row>
    <row r="2532" spans="4:8" s="223" customFormat="1" x14ac:dyDescent="0.35">
      <c r="D2532" s="222"/>
      <c r="E2532" s="222"/>
      <c r="F2532" s="222"/>
      <c r="G2532" s="222"/>
      <c r="H2532" s="222"/>
    </row>
    <row r="2533" spans="4:8" s="223" customFormat="1" x14ac:dyDescent="0.35">
      <c r="D2533" s="222"/>
      <c r="E2533" s="222"/>
      <c r="F2533" s="222"/>
      <c r="G2533" s="222"/>
      <c r="H2533" s="222"/>
    </row>
    <row r="2534" spans="4:8" s="223" customFormat="1" x14ac:dyDescent="0.35">
      <c r="D2534" s="222"/>
      <c r="E2534" s="222"/>
      <c r="F2534" s="222"/>
      <c r="G2534" s="222"/>
      <c r="H2534" s="222"/>
    </row>
    <row r="2535" spans="4:8" s="223" customFormat="1" x14ac:dyDescent="0.35">
      <c r="D2535" s="222"/>
      <c r="E2535" s="222"/>
      <c r="F2535" s="222"/>
      <c r="G2535" s="222"/>
      <c r="H2535" s="222"/>
    </row>
    <row r="2536" spans="4:8" s="223" customFormat="1" x14ac:dyDescent="0.35">
      <c r="D2536" s="222"/>
      <c r="E2536" s="222"/>
      <c r="F2536" s="222"/>
      <c r="G2536" s="222"/>
      <c r="H2536" s="222"/>
    </row>
    <row r="2537" spans="4:8" s="223" customFormat="1" x14ac:dyDescent="0.35">
      <c r="D2537" s="222"/>
      <c r="E2537" s="222"/>
      <c r="F2537" s="222"/>
      <c r="G2537" s="222"/>
      <c r="H2537" s="222"/>
    </row>
    <row r="2538" spans="4:8" s="223" customFormat="1" x14ac:dyDescent="0.35">
      <c r="D2538" s="222"/>
      <c r="E2538" s="222"/>
      <c r="F2538" s="222"/>
      <c r="G2538" s="222"/>
      <c r="H2538" s="222"/>
    </row>
    <row r="2539" spans="4:8" s="223" customFormat="1" x14ac:dyDescent="0.35">
      <c r="D2539" s="222"/>
      <c r="E2539" s="222"/>
      <c r="F2539" s="222"/>
      <c r="G2539" s="222"/>
      <c r="H2539" s="222"/>
    </row>
    <row r="2540" spans="4:8" s="223" customFormat="1" x14ac:dyDescent="0.35">
      <c r="D2540" s="222"/>
      <c r="E2540" s="222"/>
      <c r="F2540" s="222"/>
      <c r="G2540" s="222"/>
      <c r="H2540" s="222"/>
    </row>
    <row r="2541" spans="4:8" s="223" customFormat="1" x14ac:dyDescent="0.35">
      <c r="D2541" s="222"/>
      <c r="E2541" s="222"/>
      <c r="F2541" s="222"/>
      <c r="G2541" s="222"/>
      <c r="H2541" s="222"/>
    </row>
    <row r="2542" spans="4:8" s="223" customFormat="1" x14ac:dyDescent="0.35">
      <c r="D2542" s="222"/>
      <c r="E2542" s="222"/>
      <c r="F2542" s="222"/>
      <c r="G2542" s="222"/>
      <c r="H2542" s="222"/>
    </row>
    <row r="2543" spans="4:8" s="223" customFormat="1" x14ac:dyDescent="0.35">
      <c r="D2543" s="222"/>
      <c r="E2543" s="222"/>
      <c r="F2543" s="222"/>
      <c r="G2543" s="222"/>
      <c r="H2543" s="222"/>
    </row>
    <row r="2544" spans="4:8" s="223" customFormat="1" x14ac:dyDescent="0.35">
      <c r="D2544" s="222"/>
      <c r="E2544" s="222"/>
      <c r="F2544" s="222"/>
      <c r="G2544" s="222"/>
      <c r="H2544" s="222"/>
    </row>
    <row r="2545" spans="4:8" s="223" customFormat="1" x14ac:dyDescent="0.35">
      <c r="D2545" s="222"/>
      <c r="E2545" s="222"/>
      <c r="F2545" s="222"/>
      <c r="G2545" s="222"/>
      <c r="H2545" s="222"/>
    </row>
    <row r="2546" spans="4:8" s="223" customFormat="1" x14ac:dyDescent="0.35">
      <c r="D2546" s="222"/>
      <c r="E2546" s="222"/>
      <c r="F2546" s="222"/>
      <c r="G2546" s="222"/>
      <c r="H2546" s="222"/>
    </row>
    <row r="2547" spans="4:8" s="223" customFormat="1" x14ac:dyDescent="0.35">
      <c r="D2547" s="222"/>
      <c r="E2547" s="222"/>
      <c r="F2547" s="222"/>
      <c r="G2547" s="222"/>
      <c r="H2547" s="222"/>
    </row>
    <row r="2548" spans="4:8" s="223" customFormat="1" x14ac:dyDescent="0.35">
      <c r="D2548" s="222"/>
      <c r="E2548" s="222"/>
      <c r="F2548" s="222"/>
      <c r="G2548" s="222"/>
      <c r="H2548" s="222"/>
    </row>
    <row r="2549" spans="4:8" s="223" customFormat="1" x14ac:dyDescent="0.35">
      <c r="D2549" s="222"/>
      <c r="E2549" s="222"/>
      <c r="F2549" s="222"/>
      <c r="G2549" s="222"/>
      <c r="H2549" s="222"/>
    </row>
    <row r="2550" spans="4:8" s="223" customFormat="1" x14ac:dyDescent="0.35">
      <c r="D2550" s="222"/>
      <c r="E2550" s="222"/>
      <c r="F2550" s="222"/>
      <c r="G2550" s="222"/>
      <c r="H2550" s="222"/>
    </row>
    <row r="2551" spans="4:8" s="223" customFormat="1" x14ac:dyDescent="0.35">
      <c r="D2551" s="222"/>
      <c r="E2551" s="222"/>
      <c r="F2551" s="222"/>
      <c r="G2551" s="222"/>
      <c r="H2551" s="222"/>
    </row>
    <row r="2552" spans="4:8" s="223" customFormat="1" x14ac:dyDescent="0.35">
      <c r="D2552" s="222"/>
      <c r="E2552" s="222"/>
      <c r="F2552" s="222"/>
      <c r="G2552" s="222"/>
      <c r="H2552" s="222"/>
    </row>
    <row r="2553" spans="4:8" s="223" customFormat="1" x14ac:dyDescent="0.35">
      <c r="D2553" s="222"/>
      <c r="E2553" s="222"/>
      <c r="F2553" s="222"/>
      <c r="G2553" s="222"/>
      <c r="H2553" s="222"/>
    </row>
    <row r="2554" spans="4:8" s="223" customFormat="1" x14ac:dyDescent="0.35">
      <c r="D2554" s="222"/>
      <c r="E2554" s="222"/>
      <c r="F2554" s="222"/>
      <c r="G2554" s="222"/>
      <c r="H2554" s="222"/>
    </row>
    <row r="2555" spans="4:8" s="223" customFormat="1" x14ac:dyDescent="0.35">
      <c r="D2555" s="222"/>
      <c r="E2555" s="222"/>
      <c r="F2555" s="222"/>
      <c r="G2555" s="222"/>
      <c r="H2555" s="222"/>
    </row>
    <row r="2556" spans="4:8" s="223" customFormat="1" x14ac:dyDescent="0.35">
      <c r="D2556" s="222"/>
      <c r="E2556" s="222"/>
      <c r="F2556" s="222"/>
      <c r="G2556" s="222"/>
      <c r="H2556" s="222"/>
    </row>
    <row r="2557" spans="4:8" s="223" customFormat="1" x14ac:dyDescent="0.35">
      <c r="D2557" s="222"/>
      <c r="E2557" s="222"/>
      <c r="F2557" s="222"/>
      <c r="G2557" s="222"/>
      <c r="H2557" s="222"/>
    </row>
    <row r="2558" spans="4:8" s="223" customFormat="1" x14ac:dyDescent="0.35">
      <c r="D2558" s="222"/>
      <c r="E2558" s="222"/>
      <c r="F2558" s="222"/>
      <c r="G2558" s="222"/>
      <c r="H2558" s="222"/>
    </row>
    <row r="2559" spans="4:8" s="223" customFormat="1" x14ac:dyDescent="0.35">
      <c r="D2559" s="222"/>
      <c r="E2559" s="222"/>
      <c r="F2559" s="222"/>
      <c r="G2559" s="222"/>
      <c r="H2559" s="222"/>
    </row>
    <row r="2560" spans="4:8" s="223" customFormat="1" x14ac:dyDescent="0.35">
      <c r="D2560" s="222"/>
      <c r="E2560" s="222"/>
      <c r="F2560" s="222"/>
      <c r="G2560" s="222"/>
      <c r="H2560" s="222"/>
    </row>
    <row r="2561" spans="4:8" s="223" customFormat="1" x14ac:dyDescent="0.35">
      <c r="D2561" s="222"/>
      <c r="E2561" s="222"/>
      <c r="F2561" s="222"/>
      <c r="G2561" s="222"/>
      <c r="H2561" s="222"/>
    </row>
    <row r="2562" spans="4:8" s="223" customFormat="1" x14ac:dyDescent="0.35">
      <c r="D2562" s="222"/>
      <c r="E2562" s="222"/>
      <c r="F2562" s="222"/>
      <c r="G2562" s="222"/>
      <c r="H2562" s="222"/>
    </row>
    <row r="2563" spans="4:8" s="223" customFormat="1" x14ac:dyDescent="0.35">
      <c r="D2563" s="222"/>
      <c r="E2563" s="222"/>
      <c r="F2563" s="222"/>
      <c r="G2563" s="222"/>
      <c r="H2563" s="222"/>
    </row>
    <row r="2564" spans="4:8" s="223" customFormat="1" x14ac:dyDescent="0.35">
      <c r="D2564" s="222"/>
      <c r="E2564" s="222"/>
      <c r="F2564" s="222"/>
      <c r="G2564" s="222"/>
      <c r="H2564" s="222"/>
    </row>
    <row r="2565" spans="4:8" s="223" customFormat="1" x14ac:dyDescent="0.35">
      <c r="D2565" s="222"/>
      <c r="E2565" s="222"/>
      <c r="F2565" s="222"/>
      <c r="G2565" s="222"/>
      <c r="H2565" s="222"/>
    </row>
    <row r="2566" spans="4:8" s="223" customFormat="1" x14ac:dyDescent="0.35">
      <c r="D2566" s="222"/>
      <c r="E2566" s="222"/>
      <c r="F2566" s="222"/>
      <c r="G2566" s="222"/>
      <c r="H2566" s="222"/>
    </row>
    <row r="2567" spans="4:8" s="223" customFormat="1" x14ac:dyDescent="0.35">
      <c r="D2567" s="222"/>
      <c r="E2567" s="222"/>
      <c r="F2567" s="222"/>
      <c r="G2567" s="222"/>
      <c r="H2567" s="222"/>
    </row>
    <row r="2568" spans="4:8" s="223" customFormat="1" x14ac:dyDescent="0.35">
      <c r="D2568" s="222"/>
      <c r="E2568" s="222"/>
      <c r="F2568" s="222"/>
      <c r="G2568" s="222"/>
      <c r="H2568" s="222"/>
    </row>
    <row r="2569" spans="4:8" s="223" customFormat="1" x14ac:dyDescent="0.35">
      <c r="D2569" s="222"/>
      <c r="E2569" s="222"/>
      <c r="F2569" s="222"/>
      <c r="G2569" s="222"/>
      <c r="H2569" s="222"/>
    </row>
    <row r="2570" spans="4:8" s="223" customFormat="1" x14ac:dyDescent="0.35">
      <c r="D2570" s="222"/>
      <c r="E2570" s="222"/>
      <c r="F2570" s="222"/>
      <c r="G2570" s="222"/>
      <c r="H2570" s="222"/>
    </row>
    <row r="2571" spans="4:8" s="223" customFormat="1" x14ac:dyDescent="0.35">
      <c r="D2571" s="222"/>
      <c r="E2571" s="222"/>
      <c r="F2571" s="222"/>
      <c r="G2571" s="222"/>
      <c r="H2571" s="222"/>
    </row>
    <row r="2572" spans="4:8" s="223" customFormat="1" x14ac:dyDescent="0.35">
      <c r="D2572" s="222"/>
      <c r="E2572" s="222"/>
      <c r="F2572" s="222"/>
      <c r="G2572" s="222"/>
      <c r="H2572" s="222"/>
    </row>
    <row r="2573" spans="4:8" s="223" customFormat="1" x14ac:dyDescent="0.35">
      <c r="D2573" s="222"/>
      <c r="E2573" s="222"/>
      <c r="F2573" s="222"/>
      <c r="G2573" s="222"/>
      <c r="H2573" s="222"/>
    </row>
    <row r="2574" spans="4:8" s="223" customFormat="1" x14ac:dyDescent="0.35">
      <c r="D2574" s="222"/>
      <c r="E2574" s="222"/>
      <c r="F2574" s="222"/>
      <c r="G2574" s="222"/>
      <c r="H2574" s="222"/>
    </row>
    <row r="2575" spans="4:8" s="223" customFormat="1" x14ac:dyDescent="0.35">
      <c r="D2575" s="222"/>
      <c r="E2575" s="222"/>
      <c r="F2575" s="222"/>
      <c r="G2575" s="222"/>
      <c r="H2575" s="222"/>
    </row>
    <row r="2576" spans="4:8" s="223" customFormat="1" x14ac:dyDescent="0.35">
      <c r="D2576" s="222"/>
      <c r="E2576" s="222"/>
      <c r="F2576" s="222"/>
      <c r="G2576" s="222"/>
      <c r="H2576" s="222"/>
    </row>
    <row r="2577" spans="4:8" s="223" customFormat="1" x14ac:dyDescent="0.35">
      <c r="D2577" s="222"/>
      <c r="E2577" s="222"/>
      <c r="F2577" s="222"/>
      <c r="G2577" s="222"/>
      <c r="H2577" s="222"/>
    </row>
    <row r="2578" spans="4:8" s="223" customFormat="1" x14ac:dyDescent="0.35">
      <c r="D2578" s="222"/>
      <c r="E2578" s="222"/>
      <c r="F2578" s="222"/>
      <c r="G2578" s="222"/>
      <c r="H2578" s="222"/>
    </row>
    <row r="2579" spans="4:8" s="223" customFormat="1" x14ac:dyDescent="0.35">
      <c r="D2579" s="222"/>
      <c r="E2579" s="222"/>
      <c r="F2579" s="222"/>
      <c r="G2579" s="222"/>
      <c r="H2579" s="222"/>
    </row>
    <row r="2580" spans="4:8" s="223" customFormat="1" x14ac:dyDescent="0.35">
      <c r="D2580" s="222"/>
      <c r="E2580" s="222"/>
      <c r="F2580" s="222"/>
      <c r="G2580" s="222"/>
      <c r="H2580" s="222"/>
    </row>
    <row r="2581" spans="4:8" s="223" customFormat="1" x14ac:dyDescent="0.35">
      <c r="D2581" s="222"/>
      <c r="E2581" s="222"/>
      <c r="F2581" s="222"/>
      <c r="G2581" s="222"/>
      <c r="H2581" s="222"/>
    </row>
    <row r="2582" spans="4:8" s="223" customFormat="1" x14ac:dyDescent="0.35">
      <c r="D2582" s="222"/>
      <c r="E2582" s="222"/>
      <c r="F2582" s="222"/>
      <c r="G2582" s="222"/>
      <c r="H2582" s="222"/>
    </row>
    <row r="2583" spans="4:8" s="223" customFormat="1" x14ac:dyDescent="0.35">
      <c r="D2583" s="222"/>
      <c r="E2583" s="222"/>
      <c r="F2583" s="222"/>
      <c r="G2583" s="222"/>
      <c r="H2583" s="222"/>
    </row>
    <row r="2584" spans="4:8" s="223" customFormat="1" x14ac:dyDescent="0.35">
      <c r="D2584" s="222"/>
      <c r="E2584" s="222"/>
      <c r="F2584" s="222"/>
      <c r="G2584" s="222"/>
      <c r="H2584" s="222"/>
    </row>
    <row r="2585" spans="4:8" s="223" customFormat="1" x14ac:dyDescent="0.35">
      <c r="D2585" s="222"/>
      <c r="E2585" s="222"/>
      <c r="F2585" s="222"/>
      <c r="G2585" s="222"/>
      <c r="H2585" s="222"/>
    </row>
    <row r="2586" spans="4:8" s="223" customFormat="1" x14ac:dyDescent="0.35">
      <c r="D2586" s="222"/>
      <c r="E2586" s="222"/>
      <c r="F2586" s="222"/>
      <c r="G2586" s="222"/>
      <c r="H2586" s="222"/>
    </row>
    <row r="2587" spans="4:8" s="223" customFormat="1" x14ac:dyDescent="0.35">
      <c r="D2587" s="222"/>
      <c r="E2587" s="222"/>
      <c r="F2587" s="222"/>
      <c r="G2587" s="222"/>
      <c r="H2587" s="222"/>
    </row>
    <row r="2588" spans="4:8" s="223" customFormat="1" x14ac:dyDescent="0.35">
      <c r="D2588" s="222"/>
      <c r="E2588" s="222"/>
      <c r="F2588" s="222"/>
      <c r="G2588" s="222"/>
      <c r="H2588" s="222"/>
    </row>
    <row r="2589" spans="4:8" s="223" customFormat="1" x14ac:dyDescent="0.35">
      <c r="D2589" s="222"/>
      <c r="E2589" s="222"/>
      <c r="F2589" s="222"/>
      <c r="G2589" s="222"/>
      <c r="H2589" s="222"/>
    </row>
    <row r="2590" spans="4:8" s="223" customFormat="1" x14ac:dyDescent="0.35">
      <c r="D2590" s="222"/>
      <c r="E2590" s="222"/>
      <c r="F2590" s="222"/>
      <c r="G2590" s="222"/>
      <c r="H2590" s="222"/>
    </row>
    <row r="2591" spans="4:8" s="223" customFormat="1" x14ac:dyDescent="0.35">
      <c r="D2591" s="222"/>
      <c r="E2591" s="222"/>
      <c r="F2591" s="222"/>
      <c r="G2591" s="222"/>
      <c r="H2591" s="222"/>
    </row>
    <row r="2592" spans="4:8" s="223" customFormat="1" x14ac:dyDescent="0.35">
      <c r="D2592" s="222"/>
      <c r="E2592" s="222"/>
      <c r="F2592" s="222"/>
      <c r="G2592" s="222"/>
      <c r="H2592" s="222"/>
    </row>
    <row r="2593" spans="4:8" s="223" customFormat="1" x14ac:dyDescent="0.35">
      <c r="D2593" s="222"/>
      <c r="E2593" s="222"/>
      <c r="F2593" s="222"/>
      <c r="G2593" s="222"/>
      <c r="H2593" s="222"/>
    </row>
    <row r="2594" spans="4:8" s="223" customFormat="1" x14ac:dyDescent="0.35">
      <c r="D2594" s="222"/>
      <c r="E2594" s="222"/>
      <c r="F2594" s="222"/>
      <c r="G2594" s="222"/>
      <c r="H2594" s="222"/>
    </row>
    <row r="2595" spans="4:8" s="223" customFormat="1" x14ac:dyDescent="0.35">
      <c r="D2595" s="222"/>
      <c r="E2595" s="222"/>
      <c r="F2595" s="222"/>
      <c r="G2595" s="222"/>
      <c r="H2595" s="222"/>
    </row>
    <row r="2596" spans="4:8" s="223" customFormat="1" x14ac:dyDescent="0.35">
      <c r="D2596" s="222"/>
      <c r="E2596" s="222"/>
      <c r="F2596" s="222"/>
      <c r="G2596" s="222"/>
      <c r="H2596" s="222"/>
    </row>
    <row r="2597" spans="4:8" s="223" customFormat="1" x14ac:dyDescent="0.35">
      <c r="D2597" s="222"/>
      <c r="E2597" s="222"/>
      <c r="F2597" s="222"/>
      <c r="G2597" s="222"/>
      <c r="H2597" s="222"/>
    </row>
    <row r="2598" spans="4:8" s="223" customFormat="1" x14ac:dyDescent="0.35">
      <c r="D2598" s="222"/>
      <c r="E2598" s="222"/>
      <c r="F2598" s="222"/>
      <c r="G2598" s="222"/>
      <c r="H2598" s="222"/>
    </row>
    <row r="2599" spans="4:8" s="223" customFormat="1" x14ac:dyDescent="0.35">
      <c r="D2599" s="222"/>
      <c r="E2599" s="222"/>
      <c r="F2599" s="222"/>
      <c r="G2599" s="222"/>
      <c r="H2599" s="222"/>
    </row>
    <row r="2600" spans="4:8" s="223" customFormat="1" x14ac:dyDescent="0.35">
      <c r="D2600" s="222"/>
      <c r="E2600" s="222"/>
      <c r="F2600" s="222"/>
      <c r="G2600" s="222"/>
      <c r="H2600" s="222"/>
    </row>
    <row r="2601" spans="4:8" s="223" customFormat="1" x14ac:dyDescent="0.35">
      <c r="D2601" s="222"/>
      <c r="E2601" s="222"/>
      <c r="F2601" s="222"/>
      <c r="G2601" s="222"/>
      <c r="H2601" s="222"/>
    </row>
    <row r="2602" spans="4:8" s="223" customFormat="1" x14ac:dyDescent="0.35">
      <c r="D2602" s="222"/>
      <c r="E2602" s="222"/>
      <c r="F2602" s="222"/>
      <c r="G2602" s="222"/>
      <c r="H2602" s="222"/>
    </row>
    <row r="2603" spans="4:8" s="223" customFormat="1" x14ac:dyDescent="0.35">
      <c r="D2603" s="222"/>
      <c r="E2603" s="222"/>
      <c r="F2603" s="222"/>
      <c r="G2603" s="222"/>
      <c r="H2603" s="222"/>
    </row>
    <row r="2604" spans="4:8" s="223" customFormat="1" x14ac:dyDescent="0.35">
      <c r="D2604" s="222"/>
      <c r="E2604" s="222"/>
      <c r="F2604" s="222"/>
      <c r="G2604" s="222"/>
      <c r="H2604" s="222"/>
    </row>
    <row r="2605" spans="4:8" s="223" customFormat="1" x14ac:dyDescent="0.35">
      <c r="D2605" s="222"/>
      <c r="E2605" s="222"/>
      <c r="F2605" s="222"/>
      <c r="G2605" s="222"/>
      <c r="H2605" s="222"/>
    </row>
    <row r="2606" spans="4:8" s="223" customFormat="1" x14ac:dyDescent="0.35">
      <c r="D2606" s="222"/>
      <c r="E2606" s="222"/>
      <c r="F2606" s="222"/>
      <c r="G2606" s="222"/>
      <c r="H2606" s="222"/>
    </row>
    <row r="2607" spans="4:8" s="223" customFormat="1" x14ac:dyDescent="0.35">
      <c r="D2607" s="222"/>
      <c r="E2607" s="222"/>
      <c r="F2607" s="222"/>
      <c r="G2607" s="222"/>
      <c r="H2607" s="222"/>
    </row>
    <row r="2608" spans="4:8" s="223" customFormat="1" x14ac:dyDescent="0.35">
      <c r="D2608" s="222"/>
      <c r="E2608" s="222"/>
      <c r="F2608" s="222"/>
      <c r="G2608" s="222"/>
      <c r="H2608" s="222"/>
    </row>
    <row r="2609" spans="4:8" s="223" customFormat="1" x14ac:dyDescent="0.35">
      <c r="D2609" s="222"/>
      <c r="E2609" s="222"/>
      <c r="F2609" s="222"/>
      <c r="G2609" s="222"/>
      <c r="H2609" s="222"/>
    </row>
    <row r="2610" spans="4:8" s="223" customFormat="1" x14ac:dyDescent="0.35">
      <c r="D2610" s="222"/>
      <c r="E2610" s="222"/>
      <c r="F2610" s="222"/>
      <c r="G2610" s="222"/>
      <c r="H2610" s="222"/>
    </row>
    <row r="2611" spans="4:8" s="223" customFormat="1" x14ac:dyDescent="0.35">
      <c r="D2611" s="222"/>
      <c r="E2611" s="222"/>
      <c r="F2611" s="222"/>
      <c r="G2611" s="222"/>
      <c r="H2611" s="222"/>
    </row>
    <row r="2612" spans="4:8" s="223" customFormat="1" x14ac:dyDescent="0.35">
      <c r="D2612" s="222"/>
      <c r="E2612" s="222"/>
      <c r="F2612" s="222"/>
      <c r="G2612" s="222"/>
      <c r="H2612" s="222"/>
    </row>
    <row r="2613" spans="4:8" s="223" customFormat="1" x14ac:dyDescent="0.35">
      <c r="D2613" s="222"/>
      <c r="E2613" s="222"/>
      <c r="F2613" s="222"/>
      <c r="G2613" s="222"/>
      <c r="H2613" s="222"/>
    </row>
    <row r="2614" spans="4:8" s="223" customFormat="1" x14ac:dyDescent="0.35">
      <c r="D2614" s="222"/>
      <c r="E2614" s="222"/>
      <c r="F2614" s="222"/>
      <c r="G2614" s="222"/>
      <c r="H2614" s="222"/>
    </row>
    <row r="2615" spans="4:8" s="223" customFormat="1" x14ac:dyDescent="0.35">
      <c r="D2615" s="222"/>
      <c r="E2615" s="222"/>
      <c r="F2615" s="222"/>
      <c r="G2615" s="222"/>
      <c r="H2615" s="222"/>
    </row>
    <row r="2616" spans="4:8" s="223" customFormat="1" x14ac:dyDescent="0.35">
      <c r="D2616" s="222"/>
      <c r="E2616" s="222"/>
      <c r="F2616" s="222"/>
      <c r="G2616" s="222"/>
      <c r="H2616" s="222"/>
    </row>
    <row r="2617" spans="4:8" s="223" customFormat="1" x14ac:dyDescent="0.35">
      <c r="D2617" s="222"/>
      <c r="E2617" s="222"/>
      <c r="F2617" s="222"/>
      <c r="G2617" s="222"/>
      <c r="H2617" s="222"/>
    </row>
    <row r="2618" spans="4:8" s="223" customFormat="1" x14ac:dyDescent="0.35">
      <c r="D2618" s="222"/>
      <c r="E2618" s="222"/>
      <c r="F2618" s="222"/>
      <c r="G2618" s="222"/>
      <c r="H2618" s="222"/>
    </row>
    <row r="2619" spans="4:8" s="223" customFormat="1" x14ac:dyDescent="0.35">
      <c r="D2619" s="222"/>
      <c r="E2619" s="222"/>
      <c r="F2619" s="222"/>
      <c r="G2619" s="222"/>
      <c r="H2619" s="222"/>
    </row>
    <row r="2620" spans="4:8" s="223" customFormat="1" x14ac:dyDescent="0.35">
      <c r="D2620" s="222"/>
      <c r="E2620" s="222"/>
      <c r="F2620" s="222"/>
      <c r="G2620" s="222"/>
      <c r="H2620" s="222"/>
    </row>
    <row r="2621" spans="4:8" s="223" customFormat="1" x14ac:dyDescent="0.35">
      <c r="D2621" s="222"/>
      <c r="E2621" s="222"/>
      <c r="F2621" s="222"/>
      <c r="G2621" s="222"/>
      <c r="H2621" s="222"/>
    </row>
    <row r="2622" spans="4:8" s="223" customFormat="1" x14ac:dyDescent="0.35">
      <c r="D2622" s="222"/>
      <c r="E2622" s="222"/>
      <c r="F2622" s="222"/>
      <c r="G2622" s="222"/>
      <c r="H2622" s="222"/>
    </row>
    <row r="2623" spans="4:8" s="223" customFormat="1" x14ac:dyDescent="0.35">
      <c r="D2623" s="222"/>
      <c r="E2623" s="222"/>
      <c r="F2623" s="222"/>
      <c r="G2623" s="222"/>
      <c r="H2623" s="222"/>
    </row>
    <row r="2624" spans="4:8" s="223" customFormat="1" x14ac:dyDescent="0.35">
      <c r="D2624" s="222"/>
      <c r="E2624" s="222"/>
      <c r="F2624" s="222"/>
      <c r="G2624" s="222"/>
      <c r="H2624" s="222"/>
    </row>
    <row r="2625" spans="4:8" s="223" customFormat="1" x14ac:dyDescent="0.35">
      <c r="D2625" s="222"/>
      <c r="E2625" s="222"/>
      <c r="F2625" s="222"/>
      <c r="G2625" s="222"/>
      <c r="H2625" s="222"/>
    </row>
    <row r="2626" spans="4:8" s="223" customFormat="1" x14ac:dyDescent="0.35">
      <c r="D2626" s="222"/>
      <c r="E2626" s="222"/>
      <c r="F2626" s="222"/>
      <c r="G2626" s="222"/>
      <c r="H2626" s="222"/>
    </row>
    <row r="2627" spans="4:8" s="223" customFormat="1" x14ac:dyDescent="0.35">
      <c r="D2627" s="222"/>
      <c r="E2627" s="222"/>
      <c r="F2627" s="222"/>
      <c r="G2627" s="222"/>
      <c r="H2627" s="222"/>
    </row>
    <row r="2628" spans="4:8" s="223" customFormat="1" x14ac:dyDescent="0.35">
      <c r="D2628" s="222"/>
      <c r="E2628" s="222"/>
      <c r="F2628" s="222"/>
      <c r="G2628" s="222"/>
      <c r="H2628" s="222"/>
    </row>
    <row r="2629" spans="4:8" s="223" customFormat="1" x14ac:dyDescent="0.35">
      <c r="D2629" s="222"/>
      <c r="E2629" s="222"/>
      <c r="F2629" s="222"/>
      <c r="G2629" s="222"/>
      <c r="H2629" s="222"/>
    </row>
    <row r="2630" spans="4:8" s="223" customFormat="1" x14ac:dyDescent="0.35">
      <c r="D2630" s="222"/>
      <c r="E2630" s="222"/>
      <c r="F2630" s="222"/>
      <c r="G2630" s="222"/>
      <c r="H2630" s="222"/>
    </row>
    <row r="2631" spans="4:8" s="223" customFormat="1" x14ac:dyDescent="0.35">
      <c r="D2631" s="222"/>
      <c r="E2631" s="222"/>
      <c r="F2631" s="222"/>
      <c r="G2631" s="222"/>
      <c r="H2631" s="222"/>
    </row>
    <row r="2632" spans="4:8" s="223" customFormat="1" x14ac:dyDescent="0.35">
      <c r="D2632" s="222"/>
      <c r="E2632" s="222"/>
      <c r="F2632" s="222"/>
      <c r="G2632" s="222"/>
      <c r="H2632" s="222"/>
    </row>
    <row r="2633" spans="4:8" s="223" customFormat="1" x14ac:dyDescent="0.35">
      <c r="D2633" s="222"/>
      <c r="E2633" s="222"/>
      <c r="F2633" s="222"/>
      <c r="G2633" s="222"/>
      <c r="H2633" s="222"/>
    </row>
    <row r="2634" spans="4:8" s="223" customFormat="1" x14ac:dyDescent="0.35">
      <c r="D2634" s="222"/>
      <c r="E2634" s="222"/>
      <c r="F2634" s="222"/>
      <c r="G2634" s="222"/>
      <c r="H2634" s="222"/>
    </row>
    <row r="2635" spans="4:8" s="223" customFormat="1" x14ac:dyDescent="0.35">
      <c r="D2635" s="222"/>
      <c r="E2635" s="222"/>
      <c r="F2635" s="222"/>
      <c r="G2635" s="222"/>
      <c r="H2635" s="222"/>
    </row>
    <row r="2636" spans="4:8" s="223" customFormat="1" x14ac:dyDescent="0.35">
      <c r="D2636" s="222"/>
      <c r="E2636" s="222"/>
      <c r="F2636" s="222"/>
      <c r="G2636" s="222"/>
      <c r="H2636" s="222"/>
    </row>
    <row r="2637" spans="4:8" s="223" customFormat="1" x14ac:dyDescent="0.35">
      <c r="D2637" s="222"/>
      <c r="E2637" s="222"/>
      <c r="F2637" s="222"/>
      <c r="G2637" s="222"/>
      <c r="H2637" s="222"/>
    </row>
    <row r="2638" spans="4:8" s="223" customFormat="1" x14ac:dyDescent="0.35">
      <c r="D2638" s="222"/>
      <c r="E2638" s="222"/>
      <c r="F2638" s="222"/>
      <c r="G2638" s="222"/>
      <c r="H2638" s="222"/>
    </row>
    <row r="2639" spans="4:8" s="223" customFormat="1" x14ac:dyDescent="0.35">
      <c r="D2639" s="222"/>
      <c r="E2639" s="222"/>
      <c r="F2639" s="222"/>
      <c r="G2639" s="222"/>
      <c r="H2639" s="222"/>
    </row>
    <row r="2640" spans="4:8" s="223" customFormat="1" x14ac:dyDescent="0.35">
      <c r="D2640" s="222"/>
      <c r="E2640" s="222"/>
      <c r="F2640" s="222"/>
      <c r="G2640" s="222"/>
      <c r="H2640" s="222"/>
    </row>
    <row r="2641" spans="4:8" s="223" customFormat="1" x14ac:dyDescent="0.35">
      <c r="D2641" s="222"/>
      <c r="E2641" s="222"/>
      <c r="F2641" s="222"/>
      <c r="G2641" s="222"/>
      <c r="H2641" s="222"/>
    </row>
    <row r="2642" spans="4:8" s="223" customFormat="1" x14ac:dyDescent="0.35">
      <c r="D2642" s="222"/>
      <c r="E2642" s="222"/>
      <c r="F2642" s="222"/>
      <c r="G2642" s="222"/>
      <c r="H2642" s="222"/>
    </row>
    <row r="2643" spans="4:8" s="223" customFormat="1" x14ac:dyDescent="0.35">
      <c r="D2643" s="222"/>
      <c r="E2643" s="222"/>
      <c r="F2643" s="222"/>
      <c r="G2643" s="222"/>
      <c r="H2643" s="222"/>
    </row>
    <row r="2644" spans="4:8" s="223" customFormat="1" x14ac:dyDescent="0.35">
      <c r="D2644" s="222"/>
      <c r="E2644" s="222"/>
      <c r="F2644" s="222"/>
      <c r="G2644" s="222"/>
      <c r="H2644" s="222"/>
    </row>
    <row r="2645" spans="4:8" s="223" customFormat="1" x14ac:dyDescent="0.35">
      <c r="D2645" s="222"/>
      <c r="E2645" s="222"/>
      <c r="F2645" s="222"/>
      <c r="G2645" s="222"/>
      <c r="H2645" s="222"/>
    </row>
    <row r="2646" spans="4:8" s="223" customFormat="1" x14ac:dyDescent="0.35">
      <c r="D2646" s="222"/>
      <c r="E2646" s="222"/>
      <c r="F2646" s="222"/>
      <c r="G2646" s="222"/>
      <c r="H2646" s="222"/>
    </row>
    <row r="2647" spans="4:8" s="223" customFormat="1" x14ac:dyDescent="0.35">
      <c r="D2647" s="222"/>
      <c r="E2647" s="222"/>
      <c r="F2647" s="222"/>
      <c r="G2647" s="222"/>
      <c r="H2647" s="222"/>
    </row>
    <row r="2648" spans="4:8" s="223" customFormat="1" x14ac:dyDescent="0.35">
      <c r="D2648" s="222"/>
      <c r="E2648" s="222"/>
      <c r="F2648" s="222"/>
      <c r="G2648" s="222"/>
      <c r="H2648" s="222"/>
    </row>
    <row r="2649" spans="4:8" s="223" customFormat="1" x14ac:dyDescent="0.35">
      <c r="D2649" s="222"/>
      <c r="E2649" s="222"/>
      <c r="F2649" s="222"/>
      <c r="G2649" s="222"/>
      <c r="H2649" s="222"/>
    </row>
    <row r="2650" spans="4:8" s="223" customFormat="1" x14ac:dyDescent="0.35">
      <c r="D2650" s="222"/>
      <c r="E2650" s="222"/>
      <c r="F2650" s="222"/>
      <c r="G2650" s="222"/>
      <c r="H2650" s="222"/>
    </row>
    <row r="2651" spans="4:8" s="223" customFormat="1" x14ac:dyDescent="0.35">
      <c r="D2651" s="222"/>
      <c r="E2651" s="222"/>
      <c r="F2651" s="222"/>
      <c r="G2651" s="222"/>
      <c r="H2651" s="222"/>
    </row>
    <row r="2652" spans="4:8" s="223" customFormat="1" x14ac:dyDescent="0.35">
      <c r="D2652" s="222"/>
      <c r="E2652" s="222"/>
      <c r="F2652" s="222"/>
      <c r="G2652" s="222"/>
      <c r="H2652" s="222"/>
    </row>
    <row r="2653" spans="4:8" s="223" customFormat="1" x14ac:dyDescent="0.35">
      <c r="D2653" s="222"/>
      <c r="E2653" s="222"/>
      <c r="F2653" s="222"/>
      <c r="G2653" s="222"/>
      <c r="H2653" s="222"/>
    </row>
    <row r="2654" spans="4:8" s="223" customFormat="1" x14ac:dyDescent="0.35">
      <c r="D2654" s="222"/>
      <c r="E2654" s="222"/>
      <c r="F2654" s="222"/>
      <c r="G2654" s="222"/>
      <c r="H2654" s="222"/>
    </row>
    <row r="2655" spans="4:8" s="223" customFormat="1" x14ac:dyDescent="0.35">
      <c r="D2655" s="222"/>
      <c r="E2655" s="222"/>
      <c r="F2655" s="222"/>
      <c r="G2655" s="222"/>
      <c r="H2655" s="222"/>
    </row>
    <row r="2656" spans="4:8" s="223" customFormat="1" x14ac:dyDescent="0.35">
      <c r="D2656" s="222"/>
      <c r="E2656" s="222"/>
      <c r="F2656" s="222"/>
      <c r="G2656" s="222"/>
      <c r="H2656" s="222"/>
    </row>
    <row r="2657" spans="4:8" s="223" customFormat="1" x14ac:dyDescent="0.35">
      <c r="D2657" s="222"/>
      <c r="E2657" s="222"/>
      <c r="F2657" s="222"/>
      <c r="G2657" s="222"/>
      <c r="H2657" s="222"/>
    </row>
    <row r="2658" spans="4:8" s="223" customFormat="1" x14ac:dyDescent="0.35">
      <c r="D2658" s="222"/>
      <c r="E2658" s="222"/>
      <c r="F2658" s="222"/>
      <c r="G2658" s="222"/>
      <c r="H2658" s="222"/>
    </row>
    <row r="2659" spans="4:8" s="223" customFormat="1" x14ac:dyDescent="0.35">
      <c r="D2659" s="222"/>
      <c r="E2659" s="222"/>
      <c r="F2659" s="222"/>
      <c r="G2659" s="222"/>
      <c r="H2659" s="222"/>
    </row>
    <row r="2660" spans="4:8" s="223" customFormat="1" x14ac:dyDescent="0.35">
      <c r="D2660" s="222"/>
      <c r="E2660" s="222"/>
      <c r="F2660" s="222"/>
      <c r="G2660" s="222"/>
      <c r="H2660" s="222"/>
    </row>
    <row r="2661" spans="4:8" s="223" customFormat="1" x14ac:dyDescent="0.35">
      <c r="D2661" s="222"/>
      <c r="E2661" s="222"/>
      <c r="F2661" s="222"/>
      <c r="G2661" s="222"/>
      <c r="H2661" s="222"/>
    </row>
    <row r="2662" spans="4:8" s="223" customFormat="1" x14ac:dyDescent="0.35">
      <c r="D2662" s="222"/>
      <c r="E2662" s="222"/>
      <c r="F2662" s="222"/>
      <c r="G2662" s="222"/>
      <c r="H2662" s="222"/>
    </row>
    <row r="2663" spans="4:8" s="223" customFormat="1" x14ac:dyDescent="0.35">
      <c r="D2663" s="222"/>
      <c r="E2663" s="222"/>
      <c r="F2663" s="222"/>
      <c r="G2663" s="222"/>
      <c r="H2663" s="222"/>
    </row>
    <row r="2664" spans="4:8" s="223" customFormat="1" x14ac:dyDescent="0.35">
      <c r="D2664" s="222"/>
      <c r="E2664" s="222"/>
      <c r="F2664" s="222"/>
      <c r="G2664" s="222"/>
      <c r="H2664" s="222"/>
    </row>
    <row r="2665" spans="4:8" s="223" customFormat="1" x14ac:dyDescent="0.35">
      <c r="D2665" s="222"/>
      <c r="E2665" s="222"/>
      <c r="F2665" s="222"/>
      <c r="G2665" s="222"/>
      <c r="H2665" s="222"/>
    </row>
    <row r="2666" spans="4:8" s="223" customFormat="1" x14ac:dyDescent="0.35">
      <c r="D2666" s="222"/>
      <c r="E2666" s="222"/>
      <c r="F2666" s="222"/>
      <c r="G2666" s="222"/>
      <c r="H2666" s="222"/>
    </row>
    <row r="2667" spans="4:8" s="223" customFormat="1" x14ac:dyDescent="0.35">
      <c r="D2667" s="222"/>
      <c r="E2667" s="222"/>
      <c r="F2667" s="222"/>
      <c r="G2667" s="222"/>
      <c r="H2667" s="222"/>
    </row>
    <row r="2668" spans="4:8" s="223" customFormat="1" x14ac:dyDescent="0.35">
      <c r="D2668" s="222"/>
      <c r="E2668" s="222"/>
      <c r="F2668" s="222"/>
      <c r="G2668" s="222"/>
      <c r="H2668" s="222"/>
    </row>
    <row r="2669" spans="4:8" s="223" customFormat="1" x14ac:dyDescent="0.35">
      <c r="D2669" s="222"/>
      <c r="E2669" s="222"/>
      <c r="F2669" s="222"/>
      <c r="G2669" s="222"/>
      <c r="H2669" s="222"/>
    </row>
    <row r="2670" spans="4:8" s="223" customFormat="1" x14ac:dyDescent="0.35">
      <c r="D2670" s="222"/>
      <c r="E2670" s="222"/>
      <c r="F2670" s="222"/>
      <c r="G2670" s="222"/>
      <c r="H2670" s="222"/>
    </row>
    <row r="2671" spans="4:8" s="223" customFormat="1" x14ac:dyDescent="0.35">
      <c r="D2671" s="222"/>
      <c r="E2671" s="222"/>
      <c r="F2671" s="222"/>
      <c r="G2671" s="222"/>
      <c r="H2671" s="222"/>
    </row>
    <row r="2672" spans="4:8" s="223" customFormat="1" x14ac:dyDescent="0.35">
      <c r="D2672" s="222"/>
      <c r="E2672" s="222"/>
      <c r="F2672" s="222"/>
      <c r="G2672" s="222"/>
      <c r="H2672" s="222"/>
    </row>
    <row r="2673" spans="4:8" s="223" customFormat="1" x14ac:dyDescent="0.35">
      <c r="D2673" s="222"/>
      <c r="E2673" s="222"/>
      <c r="F2673" s="222"/>
      <c r="G2673" s="222"/>
      <c r="H2673" s="222"/>
    </row>
    <row r="2674" spans="4:8" s="223" customFormat="1" x14ac:dyDescent="0.35">
      <c r="D2674" s="222"/>
      <c r="E2674" s="222"/>
      <c r="F2674" s="222"/>
      <c r="G2674" s="222"/>
      <c r="H2674" s="222"/>
    </row>
    <row r="2675" spans="4:8" s="223" customFormat="1" x14ac:dyDescent="0.35">
      <c r="D2675" s="222"/>
      <c r="E2675" s="222"/>
      <c r="F2675" s="222"/>
      <c r="G2675" s="222"/>
      <c r="H2675" s="222"/>
    </row>
    <row r="2676" spans="4:8" s="223" customFormat="1" x14ac:dyDescent="0.35">
      <c r="D2676" s="222"/>
      <c r="E2676" s="222"/>
      <c r="F2676" s="222"/>
      <c r="G2676" s="222"/>
      <c r="H2676" s="222"/>
    </row>
    <row r="2677" spans="4:8" s="223" customFormat="1" x14ac:dyDescent="0.35">
      <c r="D2677" s="222"/>
      <c r="E2677" s="222"/>
      <c r="F2677" s="222"/>
      <c r="G2677" s="222"/>
      <c r="H2677" s="222"/>
    </row>
    <row r="2678" spans="4:8" s="223" customFormat="1" x14ac:dyDescent="0.35">
      <c r="D2678" s="222"/>
      <c r="E2678" s="222"/>
      <c r="F2678" s="222"/>
      <c r="G2678" s="222"/>
      <c r="H2678" s="222"/>
    </row>
    <row r="2679" spans="4:8" s="223" customFormat="1" x14ac:dyDescent="0.35">
      <c r="D2679" s="222"/>
      <c r="E2679" s="222"/>
      <c r="F2679" s="222"/>
      <c r="G2679" s="222"/>
      <c r="H2679" s="222"/>
    </row>
    <row r="2680" spans="4:8" s="223" customFormat="1" x14ac:dyDescent="0.35">
      <c r="D2680" s="222"/>
      <c r="E2680" s="222"/>
      <c r="F2680" s="222"/>
      <c r="G2680" s="222"/>
      <c r="H2680" s="222"/>
    </row>
    <row r="2681" spans="4:8" s="223" customFormat="1" x14ac:dyDescent="0.35">
      <c r="D2681" s="222"/>
      <c r="E2681" s="222"/>
      <c r="F2681" s="222"/>
      <c r="G2681" s="222"/>
      <c r="H2681" s="222"/>
    </row>
    <row r="2682" spans="4:8" s="223" customFormat="1" x14ac:dyDescent="0.35">
      <c r="D2682" s="222"/>
      <c r="E2682" s="222"/>
      <c r="F2682" s="222"/>
      <c r="G2682" s="222"/>
      <c r="H2682" s="222"/>
    </row>
    <row r="2683" spans="4:8" s="223" customFormat="1" x14ac:dyDescent="0.35">
      <c r="D2683" s="222"/>
      <c r="E2683" s="222"/>
      <c r="F2683" s="222"/>
      <c r="G2683" s="222"/>
      <c r="H2683" s="222"/>
    </row>
    <row r="2684" spans="4:8" s="223" customFormat="1" x14ac:dyDescent="0.35">
      <c r="D2684" s="222"/>
      <c r="E2684" s="222"/>
      <c r="F2684" s="222"/>
      <c r="G2684" s="222"/>
      <c r="H2684" s="222"/>
    </row>
    <row r="2685" spans="4:8" s="223" customFormat="1" x14ac:dyDescent="0.35">
      <c r="D2685" s="222"/>
      <c r="E2685" s="222"/>
      <c r="F2685" s="222"/>
      <c r="G2685" s="222"/>
      <c r="H2685" s="222"/>
    </row>
    <row r="2686" spans="4:8" s="223" customFormat="1" x14ac:dyDescent="0.35">
      <c r="D2686" s="222"/>
      <c r="E2686" s="222"/>
      <c r="F2686" s="222"/>
      <c r="G2686" s="222"/>
      <c r="H2686" s="222"/>
    </row>
    <row r="2687" spans="4:8" s="223" customFormat="1" x14ac:dyDescent="0.35">
      <c r="D2687" s="222"/>
      <c r="E2687" s="222"/>
      <c r="F2687" s="222"/>
      <c r="G2687" s="222"/>
      <c r="H2687" s="222"/>
    </row>
    <row r="2688" spans="4:8" s="223" customFormat="1" x14ac:dyDescent="0.35">
      <c r="D2688" s="222"/>
      <c r="E2688" s="222"/>
      <c r="F2688" s="222"/>
      <c r="G2688" s="222"/>
      <c r="H2688" s="222"/>
    </row>
    <row r="2689" spans="4:8" s="223" customFormat="1" x14ac:dyDescent="0.35">
      <c r="D2689" s="222"/>
      <c r="E2689" s="222"/>
      <c r="F2689" s="222"/>
      <c r="G2689" s="222"/>
      <c r="H2689" s="222"/>
    </row>
    <row r="2690" spans="4:8" s="223" customFormat="1" x14ac:dyDescent="0.35">
      <c r="D2690" s="222"/>
      <c r="E2690" s="222"/>
      <c r="F2690" s="222"/>
      <c r="G2690" s="222"/>
      <c r="H2690" s="222"/>
    </row>
    <row r="2691" spans="4:8" s="223" customFormat="1" x14ac:dyDescent="0.35">
      <c r="D2691" s="222"/>
      <c r="E2691" s="222"/>
      <c r="F2691" s="222"/>
      <c r="G2691" s="222"/>
      <c r="H2691" s="222"/>
    </row>
    <row r="2692" spans="4:8" s="223" customFormat="1" x14ac:dyDescent="0.35">
      <c r="D2692" s="222"/>
      <c r="E2692" s="222"/>
      <c r="F2692" s="222"/>
      <c r="G2692" s="222"/>
      <c r="H2692" s="222"/>
    </row>
    <row r="2693" spans="4:8" s="223" customFormat="1" x14ac:dyDescent="0.35">
      <c r="D2693" s="222"/>
      <c r="E2693" s="222"/>
      <c r="F2693" s="222"/>
      <c r="G2693" s="222"/>
      <c r="H2693" s="222"/>
    </row>
    <row r="2694" spans="4:8" s="223" customFormat="1" x14ac:dyDescent="0.35">
      <c r="D2694" s="222"/>
      <c r="E2694" s="222"/>
      <c r="F2694" s="222"/>
      <c r="G2694" s="222"/>
      <c r="H2694" s="222"/>
    </row>
    <row r="2695" spans="4:8" s="223" customFormat="1" x14ac:dyDescent="0.35">
      <c r="D2695" s="222"/>
      <c r="E2695" s="222"/>
      <c r="F2695" s="222"/>
      <c r="G2695" s="222"/>
      <c r="H2695" s="222"/>
    </row>
    <row r="2696" spans="4:8" s="223" customFormat="1" x14ac:dyDescent="0.35">
      <c r="D2696" s="222"/>
      <c r="E2696" s="222"/>
      <c r="F2696" s="222"/>
      <c r="G2696" s="222"/>
      <c r="H2696" s="222"/>
    </row>
    <row r="2697" spans="4:8" s="223" customFormat="1" x14ac:dyDescent="0.35">
      <c r="D2697" s="222"/>
      <c r="E2697" s="222"/>
      <c r="F2697" s="222"/>
      <c r="G2697" s="222"/>
      <c r="H2697" s="222"/>
    </row>
    <row r="2698" spans="4:8" s="223" customFormat="1" x14ac:dyDescent="0.35">
      <c r="D2698" s="222"/>
      <c r="E2698" s="222"/>
      <c r="F2698" s="222"/>
      <c r="G2698" s="222"/>
      <c r="H2698" s="222"/>
    </row>
    <row r="2699" spans="4:8" s="223" customFormat="1" x14ac:dyDescent="0.35">
      <c r="D2699" s="222"/>
      <c r="E2699" s="222"/>
      <c r="F2699" s="222"/>
      <c r="G2699" s="222"/>
      <c r="H2699" s="222"/>
    </row>
    <row r="2700" spans="4:8" s="223" customFormat="1" x14ac:dyDescent="0.35">
      <c r="D2700" s="222"/>
      <c r="E2700" s="222"/>
      <c r="F2700" s="222"/>
      <c r="G2700" s="222"/>
      <c r="H2700" s="222"/>
    </row>
    <row r="2701" spans="4:8" s="223" customFormat="1" x14ac:dyDescent="0.35">
      <c r="D2701" s="222"/>
      <c r="E2701" s="222"/>
      <c r="F2701" s="222"/>
      <c r="G2701" s="222"/>
      <c r="H2701" s="222"/>
    </row>
    <row r="2702" spans="4:8" s="223" customFormat="1" x14ac:dyDescent="0.35">
      <c r="D2702" s="222"/>
      <c r="E2702" s="222"/>
      <c r="F2702" s="222"/>
      <c r="G2702" s="222"/>
      <c r="H2702" s="222"/>
    </row>
    <row r="2703" spans="4:8" s="223" customFormat="1" x14ac:dyDescent="0.35">
      <c r="D2703" s="222"/>
      <c r="E2703" s="222"/>
      <c r="F2703" s="222"/>
      <c r="G2703" s="222"/>
      <c r="H2703" s="222"/>
    </row>
    <row r="2704" spans="4:8" s="223" customFormat="1" x14ac:dyDescent="0.35">
      <c r="D2704" s="222"/>
      <c r="E2704" s="222"/>
      <c r="F2704" s="222"/>
      <c r="G2704" s="222"/>
      <c r="H2704" s="222"/>
    </row>
    <row r="2705" spans="4:8" s="223" customFormat="1" x14ac:dyDescent="0.35">
      <c r="D2705" s="222"/>
      <c r="E2705" s="222"/>
      <c r="F2705" s="222"/>
      <c r="G2705" s="222"/>
      <c r="H2705" s="222"/>
    </row>
    <row r="2706" spans="4:8" s="223" customFormat="1" x14ac:dyDescent="0.35">
      <c r="D2706" s="222"/>
      <c r="E2706" s="222"/>
      <c r="F2706" s="222"/>
      <c r="G2706" s="222"/>
      <c r="H2706" s="222"/>
    </row>
    <row r="2707" spans="4:8" s="223" customFormat="1" x14ac:dyDescent="0.35">
      <c r="D2707" s="222"/>
      <c r="E2707" s="222"/>
      <c r="F2707" s="222"/>
      <c r="G2707" s="222"/>
      <c r="H2707" s="222"/>
    </row>
    <row r="2708" spans="4:8" s="223" customFormat="1" x14ac:dyDescent="0.35">
      <c r="D2708" s="222"/>
      <c r="E2708" s="222"/>
      <c r="F2708" s="222"/>
      <c r="G2708" s="222"/>
      <c r="H2708" s="222"/>
    </row>
    <row r="2709" spans="4:8" s="223" customFormat="1" x14ac:dyDescent="0.35">
      <c r="D2709" s="222"/>
      <c r="E2709" s="222"/>
      <c r="F2709" s="222"/>
      <c r="G2709" s="222"/>
      <c r="H2709" s="222"/>
    </row>
    <row r="2710" spans="4:8" s="223" customFormat="1" x14ac:dyDescent="0.35">
      <c r="D2710" s="222"/>
      <c r="E2710" s="222"/>
      <c r="F2710" s="222"/>
      <c r="G2710" s="222"/>
      <c r="H2710" s="222"/>
    </row>
    <row r="2711" spans="4:8" s="223" customFormat="1" x14ac:dyDescent="0.35">
      <c r="D2711" s="222"/>
      <c r="E2711" s="222"/>
      <c r="F2711" s="222"/>
      <c r="G2711" s="222"/>
      <c r="H2711" s="222"/>
    </row>
    <row r="2712" spans="4:8" s="223" customFormat="1" x14ac:dyDescent="0.35">
      <c r="D2712" s="222"/>
      <c r="E2712" s="222"/>
      <c r="F2712" s="222"/>
      <c r="G2712" s="222"/>
      <c r="H2712" s="222"/>
    </row>
    <row r="2713" spans="4:8" s="223" customFormat="1" x14ac:dyDescent="0.35">
      <c r="D2713" s="222"/>
      <c r="E2713" s="222"/>
      <c r="F2713" s="222"/>
      <c r="G2713" s="222"/>
      <c r="H2713" s="222"/>
    </row>
    <row r="2714" spans="4:8" s="223" customFormat="1" x14ac:dyDescent="0.35">
      <c r="D2714" s="222"/>
      <c r="E2714" s="222"/>
      <c r="F2714" s="222"/>
      <c r="G2714" s="222"/>
      <c r="H2714" s="222"/>
    </row>
    <row r="2715" spans="4:8" s="223" customFormat="1" x14ac:dyDescent="0.35">
      <c r="D2715" s="222"/>
      <c r="E2715" s="222"/>
      <c r="F2715" s="222"/>
      <c r="G2715" s="222"/>
      <c r="H2715" s="222"/>
    </row>
    <row r="2716" spans="4:8" s="223" customFormat="1" x14ac:dyDescent="0.35">
      <c r="D2716" s="222"/>
      <c r="E2716" s="222"/>
      <c r="F2716" s="222"/>
      <c r="G2716" s="222"/>
      <c r="H2716" s="222"/>
    </row>
    <row r="2717" spans="4:8" s="223" customFormat="1" x14ac:dyDescent="0.35">
      <c r="D2717" s="222"/>
      <c r="E2717" s="222"/>
      <c r="F2717" s="222"/>
      <c r="G2717" s="222"/>
      <c r="H2717" s="222"/>
    </row>
    <row r="2718" spans="4:8" s="223" customFormat="1" x14ac:dyDescent="0.35">
      <c r="D2718" s="222"/>
      <c r="E2718" s="222"/>
      <c r="F2718" s="222"/>
      <c r="G2718" s="222"/>
      <c r="H2718" s="222"/>
    </row>
    <row r="2719" spans="4:8" s="223" customFormat="1" x14ac:dyDescent="0.35">
      <c r="D2719" s="222"/>
      <c r="E2719" s="222"/>
      <c r="F2719" s="222"/>
      <c r="G2719" s="222"/>
      <c r="H2719" s="222"/>
    </row>
    <row r="2720" spans="4:8" s="223" customFormat="1" x14ac:dyDescent="0.35">
      <c r="D2720" s="222"/>
      <c r="E2720" s="222"/>
      <c r="F2720" s="222"/>
      <c r="G2720" s="222"/>
      <c r="H2720" s="222"/>
    </row>
    <row r="2721" spans="4:8" s="223" customFormat="1" x14ac:dyDescent="0.35">
      <c r="D2721" s="222"/>
      <c r="E2721" s="222"/>
      <c r="F2721" s="222"/>
      <c r="G2721" s="222"/>
      <c r="H2721" s="222"/>
    </row>
    <row r="2722" spans="4:8" s="223" customFormat="1" x14ac:dyDescent="0.35">
      <c r="D2722" s="222"/>
      <c r="E2722" s="222"/>
      <c r="F2722" s="222"/>
      <c r="G2722" s="222"/>
      <c r="H2722" s="222"/>
    </row>
    <row r="2723" spans="4:8" s="223" customFormat="1" x14ac:dyDescent="0.35">
      <c r="D2723" s="222"/>
      <c r="E2723" s="222"/>
      <c r="F2723" s="222"/>
      <c r="G2723" s="222"/>
      <c r="H2723" s="222"/>
    </row>
    <row r="2724" spans="4:8" s="223" customFormat="1" x14ac:dyDescent="0.35">
      <c r="D2724" s="222"/>
      <c r="E2724" s="222"/>
      <c r="F2724" s="222"/>
      <c r="G2724" s="222"/>
      <c r="H2724" s="222"/>
    </row>
    <row r="2725" spans="4:8" s="223" customFormat="1" x14ac:dyDescent="0.35">
      <c r="D2725" s="222"/>
      <c r="E2725" s="222"/>
      <c r="F2725" s="222"/>
      <c r="G2725" s="222"/>
      <c r="H2725" s="222"/>
    </row>
    <row r="2726" spans="4:8" s="223" customFormat="1" x14ac:dyDescent="0.35">
      <c r="D2726" s="222"/>
      <c r="E2726" s="222"/>
      <c r="F2726" s="222"/>
      <c r="G2726" s="222"/>
      <c r="H2726" s="222"/>
    </row>
    <row r="2727" spans="4:8" s="223" customFormat="1" x14ac:dyDescent="0.35">
      <c r="D2727" s="222"/>
      <c r="E2727" s="222"/>
      <c r="F2727" s="222"/>
      <c r="G2727" s="222"/>
      <c r="H2727" s="222"/>
    </row>
    <row r="2728" spans="4:8" s="223" customFormat="1" x14ac:dyDescent="0.35">
      <c r="D2728" s="222"/>
      <c r="E2728" s="222"/>
      <c r="F2728" s="222"/>
      <c r="G2728" s="222"/>
      <c r="H2728" s="222"/>
    </row>
    <row r="2729" spans="4:8" s="223" customFormat="1" x14ac:dyDescent="0.35">
      <c r="D2729" s="222"/>
      <c r="E2729" s="222"/>
      <c r="F2729" s="222"/>
      <c r="G2729" s="222"/>
      <c r="H2729" s="222"/>
    </row>
    <row r="2730" spans="4:8" s="223" customFormat="1" x14ac:dyDescent="0.35">
      <c r="D2730" s="222"/>
      <c r="E2730" s="222"/>
      <c r="F2730" s="222"/>
      <c r="G2730" s="222"/>
      <c r="H2730" s="222"/>
    </row>
    <row r="2731" spans="4:8" s="223" customFormat="1" x14ac:dyDescent="0.35">
      <c r="D2731" s="222"/>
      <c r="E2731" s="222"/>
      <c r="F2731" s="222"/>
      <c r="G2731" s="222"/>
      <c r="H2731" s="222"/>
    </row>
    <row r="2732" spans="4:8" s="223" customFormat="1" x14ac:dyDescent="0.35">
      <c r="D2732" s="222"/>
      <c r="E2732" s="222"/>
      <c r="F2732" s="222"/>
      <c r="G2732" s="222"/>
      <c r="H2732" s="222"/>
    </row>
    <row r="2733" spans="4:8" s="223" customFormat="1" x14ac:dyDescent="0.35">
      <c r="D2733" s="222"/>
      <c r="E2733" s="222"/>
      <c r="F2733" s="222"/>
      <c r="G2733" s="222"/>
      <c r="H2733" s="222"/>
    </row>
    <row r="2734" spans="4:8" s="223" customFormat="1" x14ac:dyDescent="0.35">
      <c r="D2734" s="222"/>
      <c r="E2734" s="222"/>
      <c r="F2734" s="222"/>
      <c r="G2734" s="222"/>
      <c r="H2734" s="222"/>
    </row>
    <row r="2735" spans="4:8" s="223" customFormat="1" x14ac:dyDescent="0.35">
      <c r="D2735" s="222"/>
      <c r="E2735" s="222"/>
      <c r="F2735" s="222"/>
      <c r="G2735" s="222"/>
      <c r="H2735" s="222"/>
    </row>
    <row r="2736" spans="4:8" s="223" customFormat="1" x14ac:dyDescent="0.35">
      <c r="D2736" s="222"/>
      <c r="E2736" s="222"/>
      <c r="F2736" s="222"/>
      <c r="G2736" s="222"/>
      <c r="H2736" s="222"/>
    </row>
    <row r="2737" spans="4:8" s="223" customFormat="1" x14ac:dyDescent="0.35">
      <c r="D2737" s="222"/>
      <c r="E2737" s="222"/>
      <c r="F2737" s="222"/>
      <c r="G2737" s="222"/>
      <c r="H2737" s="222"/>
    </row>
    <row r="2738" spans="4:8" s="223" customFormat="1" x14ac:dyDescent="0.35">
      <c r="D2738" s="222"/>
      <c r="E2738" s="222"/>
      <c r="F2738" s="222"/>
      <c r="G2738" s="222"/>
      <c r="H2738" s="222"/>
    </row>
    <row r="2739" spans="4:8" s="223" customFormat="1" x14ac:dyDescent="0.35">
      <c r="D2739" s="222"/>
      <c r="E2739" s="222"/>
      <c r="F2739" s="222"/>
      <c r="G2739" s="222"/>
      <c r="H2739" s="222"/>
    </row>
    <row r="2740" spans="4:8" s="223" customFormat="1" x14ac:dyDescent="0.35">
      <c r="D2740" s="222"/>
      <c r="E2740" s="222"/>
      <c r="F2740" s="222"/>
      <c r="G2740" s="222"/>
      <c r="H2740" s="222"/>
    </row>
    <row r="2741" spans="4:8" s="223" customFormat="1" x14ac:dyDescent="0.35">
      <c r="D2741" s="222"/>
      <c r="E2741" s="222"/>
      <c r="F2741" s="222"/>
      <c r="G2741" s="222"/>
      <c r="H2741" s="222"/>
    </row>
    <row r="2742" spans="4:8" s="223" customFormat="1" x14ac:dyDescent="0.35">
      <c r="D2742" s="222"/>
      <c r="E2742" s="222"/>
      <c r="F2742" s="222"/>
      <c r="G2742" s="222"/>
      <c r="H2742" s="222"/>
    </row>
    <row r="2743" spans="4:8" s="223" customFormat="1" x14ac:dyDescent="0.35">
      <c r="D2743" s="222"/>
      <c r="E2743" s="222"/>
      <c r="F2743" s="222"/>
      <c r="G2743" s="222"/>
      <c r="H2743" s="222"/>
    </row>
    <row r="2744" spans="4:8" s="223" customFormat="1" x14ac:dyDescent="0.35">
      <c r="D2744" s="222"/>
      <c r="E2744" s="222"/>
      <c r="F2744" s="222"/>
      <c r="G2744" s="222"/>
      <c r="H2744" s="222"/>
    </row>
    <row r="2745" spans="4:8" s="223" customFormat="1" x14ac:dyDescent="0.35">
      <c r="D2745" s="222"/>
      <c r="E2745" s="222"/>
      <c r="F2745" s="222"/>
      <c r="G2745" s="222"/>
      <c r="H2745" s="222"/>
    </row>
    <row r="2746" spans="4:8" s="223" customFormat="1" x14ac:dyDescent="0.35">
      <c r="D2746" s="222"/>
      <c r="E2746" s="222"/>
      <c r="F2746" s="222"/>
      <c r="G2746" s="222"/>
      <c r="H2746" s="222"/>
    </row>
    <row r="2747" spans="4:8" s="223" customFormat="1" x14ac:dyDescent="0.35">
      <c r="D2747" s="222"/>
      <c r="E2747" s="222"/>
      <c r="F2747" s="222"/>
      <c r="G2747" s="222"/>
      <c r="H2747" s="222"/>
    </row>
    <row r="2748" spans="4:8" s="223" customFormat="1" x14ac:dyDescent="0.35">
      <c r="D2748" s="222"/>
      <c r="E2748" s="222"/>
      <c r="F2748" s="222"/>
      <c r="G2748" s="222"/>
      <c r="H2748" s="222"/>
    </row>
    <row r="2749" spans="4:8" s="223" customFormat="1" x14ac:dyDescent="0.35">
      <c r="D2749" s="222"/>
      <c r="E2749" s="222"/>
      <c r="F2749" s="222"/>
      <c r="G2749" s="222"/>
      <c r="H2749" s="222"/>
    </row>
    <row r="2750" spans="4:8" s="223" customFormat="1" x14ac:dyDescent="0.35">
      <c r="D2750" s="222"/>
      <c r="E2750" s="222"/>
      <c r="F2750" s="222"/>
      <c r="G2750" s="222"/>
      <c r="H2750" s="222"/>
    </row>
    <row r="2751" spans="4:8" s="223" customFormat="1" x14ac:dyDescent="0.35">
      <c r="D2751" s="222"/>
      <c r="E2751" s="222"/>
      <c r="F2751" s="222"/>
      <c r="G2751" s="222"/>
      <c r="H2751" s="222"/>
    </row>
    <row r="2752" spans="4:8" s="223" customFormat="1" x14ac:dyDescent="0.35">
      <c r="D2752" s="222"/>
      <c r="E2752" s="222"/>
      <c r="F2752" s="222"/>
      <c r="G2752" s="222"/>
      <c r="H2752" s="222"/>
    </row>
    <row r="2753" spans="4:8" s="223" customFormat="1" x14ac:dyDescent="0.35">
      <c r="D2753" s="222"/>
      <c r="E2753" s="222"/>
      <c r="F2753" s="222"/>
      <c r="G2753" s="222"/>
      <c r="H2753" s="222"/>
    </row>
    <row r="2754" spans="4:8" s="223" customFormat="1" x14ac:dyDescent="0.35">
      <c r="D2754" s="222"/>
      <c r="E2754" s="222"/>
      <c r="F2754" s="222"/>
      <c r="G2754" s="222"/>
      <c r="H2754" s="222"/>
    </row>
    <row r="2755" spans="4:8" s="223" customFormat="1" x14ac:dyDescent="0.35">
      <c r="D2755" s="222"/>
      <c r="E2755" s="222"/>
      <c r="F2755" s="222"/>
      <c r="G2755" s="222"/>
      <c r="H2755" s="222"/>
    </row>
    <row r="2756" spans="4:8" s="223" customFormat="1" x14ac:dyDescent="0.35">
      <c r="D2756" s="222"/>
      <c r="E2756" s="222"/>
      <c r="F2756" s="222"/>
      <c r="G2756" s="222"/>
      <c r="H2756" s="222"/>
    </row>
    <row r="2757" spans="4:8" s="223" customFormat="1" x14ac:dyDescent="0.35">
      <c r="D2757" s="222"/>
      <c r="E2757" s="222"/>
      <c r="F2757" s="222"/>
      <c r="G2757" s="222"/>
      <c r="H2757" s="222"/>
    </row>
    <row r="2758" spans="4:8" s="223" customFormat="1" x14ac:dyDescent="0.35">
      <c r="D2758" s="222"/>
      <c r="E2758" s="222"/>
      <c r="F2758" s="222"/>
      <c r="G2758" s="222"/>
      <c r="H2758" s="222"/>
    </row>
    <row r="2759" spans="4:8" s="223" customFormat="1" x14ac:dyDescent="0.35">
      <c r="D2759" s="222"/>
      <c r="E2759" s="222"/>
      <c r="F2759" s="222"/>
      <c r="G2759" s="222"/>
      <c r="H2759" s="222"/>
    </row>
    <row r="2760" spans="4:8" s="223" customFormat="1" x14ac:dyDescent="0.35">
      <c r="D2760" s="222"/>
      <c r="E2760" s="222"/>
      <c r="F2760" s="222"/>
      <c r="G2760" s="222"/>
      <c r="H2760" s="222"/>
    </row>
    <row r="2761" spans="4:8" s="223" customFormat="1" x14ac:dyDescent="0.35">
      <c r="D2761" s="222"/>
      <c r="E2761" s="222"/>
      <c r="F2761" s="222"/>
      <c r="G2761" s="222"/>
      <c r="H2761" s="222"/>
    </row>
    <row r="2762" spans="4:8" s="223" customFormat="1" x14ac:dyDescent="0.35">
      <c r="D2762" s="222"/>
      <c r="E2762" s="222"/>
      <c r="F2762" s="222"/>
      <c r="G2762" s="222"/>
      <c r="H2762" s="222"/>
    </row>
    <row r="2763" spans="4:8" s="223" customFormat="1" x14ac:dyDescent="0.35">
      <c r="D2763" s="222"/>
      <c r="E2763" s="222"/>
      <c r="F2763" s="222"/>
      <c r="G2763" s="222"/>
      <c r="H2763" s="222"/>
    </row>
    <row r="2764" spans="4:8" s="223" customFormat="1" x14ac:dyDescent="0.35">
      <c r="D2764" s="222"/>
      <c r="E2764" s="222"/>
      <c r="F2764" s="222"/>
      <c r="G2764" s="222"/>
      <c r="H2764" s="222"/>
    </row>
    <row r="2765" spans="4:8" s="223" customFormat="1" x14ac:dyDescent="0.35">
      <c r="D2765" s="222"/>
      <c r="E2765" s="222"/>
      <c r="F2765" s="222"/>
      <c r="G2765" s="222"/>
      <c r="H2765" s="222"/>
    </row>
    <row r="2766" spans="4:8" s="223" customFormat="1" x14ac:dyDescent="0.35">
      <c r="D2766" s="222"/>
      <c r="E2766" s="222"/>
      <c r="F2766" s="222"/>
      <c r="G2766" s="222"/>
      <c r="H2766" s="222"/>
    </row>
    <row r="2767" spans="4:8" s="223" customFormat="1" x14ac:dyDescent="0.35">
      <c r="D2767" s="222"/>
      <c r="E2767" s="222"/>
      <c r="F2767" s="222"/>
      <c r="G2767" s="222"/>
      <c r="H2767" s="222"/>
    </row>
    <row r="2768" spans="4:8" s="223" customFormat="1" x14ac:dyDescent="0.35">
      <c r="D2768" s="222"/>
      <c r="E2768" s="222"/>
      <c r="F2768" s="222"/>
      <c r="G2768" s="222"/>
      <c r="H2768" s="222"/>
    </row>
    <row r="2769" spans="4:8" s="223" customFormat="1" x14ac:dyDescent="0.35">
      <c r="D2769" s="222"/>
      <c r="E2769" s="222"/>
      <c r="F2769" s="222"/>
      <c r="G2769" s="222"/>
      <c r="H2769" s="222"/>
    </row>
    <row r="2770" spans="4:8" s="223" customFormat="1" x14ac:dyDescent="0.35">
      <c r="D2770" s="222"/>
      <c r="E2770" s="222"/>
      <c r="F2770" s="222"/>
      <c r="G2770" s="222"/>
      <c r="H2770" s="222"/>
    </row>
    <row r="2771" spans="4:8" s="223" customFormat="1" x14ac:dyDescent="0.35">
      <c r="D2771" s="222"/>
      <c r="E2771" s="222"/>
      <c r="F2771" s="222"/>
      <c r="G2771" s="222"/>
      <c r="H2771" s="222"/>
    </row>
    <row r="2772" spans="4:8" s="223" customFormat="1" x14ac:dyDescent="0.35">
      <c r="D2772" s="222"/>
      <c r="E2772" s="222"/>
      <c r="F2772" s="222"/>
      <c r="G2772" s="222"/>
      <c r="H2772" s="222"/>
    </row>
    <row r="2773" spans="4:8" s="223" customFormat="1" x14ac:dyDescent="0.35">
      <c r="D2773" s="222"/>
      <c r="E2773" s="222"/>
      <c r="F2773" s="222"/>
      <c r="G2773" s="222"/>
      <c r="H2773" s="222"/>
    </row>
    <row r="2774" spans="4:8" s="223" customFormat="1" x14ac:dyDescent="0.35">
      <c r="D2774" s="222"/>
      <c r="E2774" s="222"/>
      <c r="F2774" s="222"/>
      <c r="G2774" s="222"/>
      <c r="H2774" s="222"/>
    </row>
    <row r="2775" spans="4:8" s="223" customFormat="1" x14ac:dyDescent="0.35">
      <c r="D2775" s="222"/>
      <c r="E2775" s="222"/>
      <c r="F2775" s="222"/>
      <c r="G2775" s="222"/>
      <c r="H2775" s="222"/>
    </row>
    <row r="2776" spans="4:8" s="223" customFormat="1" x14ac:dyDescent="0.35">
      <c r="D2776" s="222"/>
      <c r="E2776" s="222"/>
      <c r="F2776" s="222"/>
      <c r="G2776" s="222"/>
      <c r="H2776" s="222"/>
    </row>
    <row r="2777" spans="4:8" s="223" customFormat="1" x14ac:dyDescent="0.35">
      <c r="D2777" s="222"/>
      <c r="E2777" s="222"/>
      <c r="F2777" s="222"/>
      <c r="G2777" s="222"/>
      <c r="H2777" s="222"/>
    </row>
    <row r="2778" spans="4:8" s="223" customFormat="1" x14ac:dyDescent="0.35">
      <c r="D2778" s="222"/>
      <c r="E2778" s="222"/>
      <c r="F2778" s="222"/>
      <c r="G2778" s="222"/>
      <c r="H2778" s="222"/>
    </row>
    <row r="2779" spans="4:8" s="223" customFormat="1" x14ac:dyDescent="0.35">
      <c r="D2779" s="222"/>
      <c r="E2779" s="222"/>
      <c r="F2779" s="222"/>
      <c r="G2779" s="222"/>
      <c r="H2779" s="222"/>
    </row>
    <row r="2780" spans="4:8" s="223" customFormat="1" x14ac:dyDescent="0.35">
      <c r="D2780" s="222"/>
      <c r="E2780" s="222"/>
      <c r="F2780" s="222"/>
      <c r="G2780" s="222"/>
      <c r="H2780" s="222"/>
    </row>
    <row r="2781" spans="4:8" s="223" customFormat="1" x14ac:dyDescent="0.35">
      <c r="D2781" s="222"/>
      <c r="E2781" s="222"/>
      <c r="F2781" s="222"/>
      <c r="G2781" s="222"/>
      <c r="H2781" s="222"/>
    </row>
    <row r="2782" spans="4:8" s="223" customFormat="1" x14ac:dyDescent="0.35">
      <c r="D2782" s="222"/>
      <c r="E2782" s="222"/>
      <c r="F2782" s="222"/>
      <c r="G2782" s="222"/>
      <c r="H2782" s="222"/>
    </row>
    <row r="2783" spans="4:8" s="223" customFormat="1" x14ac:dyDescent="0.35">
      <c r="D2783" s="222"/>
      <c r="E2783" s="222"/>
      <c r="F2783" s="222"/>
      <c r="G2783" s="222"/>
      <c r="H2783" s="222"/>
    </row>
    <row r="2784" spans="4:8" s="223" customFormat="1" x14ac:dyDescent="0.35">
      <c r="D2784" s="222"/>
      <c r="E2784" s="222"/>
      <c r="F2784" s="222"/>
      <c r="G2784" s="222"/>
      <c r="H2784" s="222"/>
    </row>
    <row r="2785" spans="4:8" s="223" customFormat="1" x14ac:dyDescent="0.35">
      <c r="D2785" s="222"/>
      <c r="E2785" s="222"/>
      <c r="F2785" s="222"/>
      <c r="G2785" s="222"/>
      <c r="H2785" s="222"/>
    </row>
    <row r="2786" spans="4:8" s="223" customFormat="1" x14ac:dyDescent="0.35">
      <c r="D2786" s="222"/>
      <c r="E2786" s="222"/>
      <c r="F2786" s="222"/>
      <c r="G2786" s="222"/>
      <c r="H2786" s="222"/>
    </row>
    <row r="2787" spans="4:8" s="223" customFormat="1" x14ac:dyDescent="0.35">
      <c r="D2787" s="222"/>
      <c r="E2787" s="222"/>
      <c r="F2787" s="222"/>
      <c r="G2787" s="222"/>
      <c r="H2787" s="222"/>
    </row>
    <row r="2788" spans="4:8" s="223" customFormat="1" x14ac:dyDescent="0.35">
      <c r="D2788" s="222"/>
      <c r="E2788" s="222"/>
      <c r="F2788" s="222"/>
      <c r="G2788" s="222"/>
      <c r="H2788" s="222"/>
    </row>
    <row r="2789" spans="4:8" s="223" customFormat="1" x14ac:dyDescent="0.35">
      <c r="D2789" s="222"/>
      <c r="E2789" s="222"/>
      <c r="F2789" s="222"/>
      <c r="G2789" s="222"/>
      <c r="H2789" s="222"/>
    </row>
    <row r="2790" spans="4:8" s="223" customFormat="1" x14ac:dyDescent="0.35">
      <c r="D2790" s="222"/>
      <c r="E2790" s="222"/>
      <c r="F2790" s="222"/>
      <c r="G2790" s="222"/>
      <c r="H2790" s="222"/>
    </row>
    <row r="2791" spans="4:8" s="223" customFormat="1" x14ac:dyDescent="0.35">
      <c r="D2791" s="222"/>
      <c r="E2791" s="222"/>
      <c r="F2791" s="222"/>
      <c r="G2791" s="222"/>
      <c r="H2791" s="222"/>
    </row>
    <row r="2792" spans="4:8" s="223" customFormat="1" x14ac:dyDescent="0.35">
      <c r="D2792" s="222"/>
      <c r="E2792" s="222"/>
      <c r="F2792" s="222"/>
      <c r="G2792" s="222"/>
      <c r="H2792" s="222"/>
    </row>
    <row r="2793" spans="4:8" s="223" customFormat="1" x14ac:dyDescent="0.35">
      <c r="D2793" s="222"/>
      <c r="E2793" s="222"/>
      <c r="F2793" s="222"/>
      <c r="G2793" s="222"/>
      <c r="H2793" s="222"/>
    </row>
    <row r="2794" spans="4:8" s="223" customFormat="1" x14ac:dyDescent="0.35">
      <c r="D2794" s="222"/>
      <c r="E2794" s="222"/>
      <c r="F2794" s="222"/>
      <c r="G2794" s="222"/>
      <c r="H2794" s="222"/>
    </row>
    <row r="2795" spans="4:8" s="223" customFormat="1" x14ac:dyDescent="0.35">
      <c r="D2795" s="222"/>
      <c r="E2795" s="222"/>
      <c r="F2795" s="222"/>
      <c r="G2795" s="222"/>
      <c r="H2795" s="222"/>
    </row>
    <row r="2796" spans="4:8" s="223" customFormat="1" x14ac:dyDescent="0.35">
      <c r="D2796" s="222"/>
      <c r="E2796" s="222"/>
      <c r="F2796" s="222"/>
      <c r="G2796" s="222"/>
      <c r="H2796" s="222"/>
    </row>
    <row r="2797" spans="4:8" s="223" customFormat="1" x14ac:dyDescent="0.35">
      <c r="D2797" s="222"/>
      <c r="E2797" s="222"/>
      <c r="F2797" s="222"/>
      <c r="G2797" s="222"/>
      <c r="H2797" s="222"/>
    </row>
    <row r="2798" spans="4:8" s="223" customFormat="1" x14ac:dyDescent="0.35">
      <c r="D2798" s="222"/>
      <c r="E2798" s="222"/>
      <c r="F2798" s="222"/>
      <c r="G2798" s="222"/>
      <c r="H2798" s="222"/>
    </row>
    <row r="2799" spans="4:8" s="223" customFormat="1" x14ac:dyDescent="0.35">
      <c r="D2799" s="222"/>
      <c r="E2799" s="222"/>
      <c r="F2799" s="222"/>
      <c r="G2799" s="222"/>
      <c r="H2799" s="222"/>
    </row>
    <row r="2800" spans="4:8" s="223" customFormat="1" x14ac:dyDescent="0.35">
      <c r="D2800" s="222"/>
      <c r="E2800" s="222"/>
      <c r="F2800" s="222"/>
      <c r="G2800" s="222"/>
      <c r="H2800" s="222"/>
    </row>
    <row r="2801" spans="4:8" s="223" customFormat="1" x14ac:dyDescent="0.35">
      <c r="D2801" s="222"/>
      <c r="E2801" s="222"/>
      <c r="F2801" s="222"/>
      <c r="G2801" s="222"/>
      <c r="H2801" s="222"/>
    </row>
    <row r="2802" spans="4:8" s="223" customFormat="1" x14ac:dyDescent="0.35">
      <c r="D2802" s="222"/>
      <c r="E2802" s="222"/>
      <c r="F2802" s="222"/>
      <c r="G2802" s="222"/>
      <c r="H2802" s="222"/>
    </row>
    <row r="2803" spans="4:8" s="223" customFormat="1" x14ac:dyDescent="0.35">
      <c r="D2803" s="222"/>
      <c r="E2803" s="222"/>
      <c r="F2803" s="222"/>
      <c r="G2803" s="222"/>
      <c r="H2803" s="222"/>
    </row>
    <row r="2804" spans="4:8" s="223" customFormat="1" x14ac:dyDescent="0.35">
      <c r="D2804" s="222"/>
      <c r="E2804" s="222"/>
      <c r="F2804" s="222"/>
      <c r="G2804" s="222"/>
      <c r="H2804" s="222"/>
    </row>
    <row r="2805" spans="4:8" s="223" customFormat="1" x14ac:dyDescent="0.35">
      <c r="D2805" s="222"/>
      <c r="E2805" s="222"/>
      <c r="F2805" s="222"/>
      <c r="G2805" s="222"/>
      <c r="H2805" s="222"/>
    </row>
    <row r="2806" spans="4:8" s="223" customFormat="1" x14ac:dyDescent="0.35">
      <c r="D2806" s="222"/>
      <c r="E2806" s="222"/>
      <c r="F2806" s="222"/>
      <c r="G2806" s="222"/>
      <c r="H2806" s="222"/>
    </row>
    <row r="2807" spans="4:8" s="223" customFormat="1" x14ac:dyDescent="0.35">
      <c r="D2807" s="222"/>
      <c r="E2807" s="222"/>
      <c r="F2807" s="222"/>
      <c r="G2807" s="222"/>
      <c r="H2807" s="222"/>
    </row>
    <row r="2808" spans="4:8" s="223" customFormat="1" x14ac:dyDescent="0.35">
      <c r="D2808" s="222"/>
      <c r="E2808" s="222"/>
      <c r="F2808" s="222"/>
      <c r="G2808" s="222"/>
      <c r="H2808" s="222"/>
    </row>
    <row r="2809" spans="4:8" s="223" customFormat="1" x14ac:dyDescent="0.35">
      <c r="D2809" s="222"/>
      <c r="E2809" s="222"/>
      <c r="F2809" s="222"/>
      <c r="G2809" s="222"/>
      <c r="H2809" s="222"/>
    </row>
    <row r="2810" spans="4:8" s="223" customFormat="1" x14ac:dyDescent="0.35">
      <c r="D2810" s="222"/>
      <c r="E2810" s="222"/>
      <c r="F2810" s="222"/>
      <c r="G2810" s="222"/>
      <c r="H2810" s="222"/>
    </row>
    <row r="2811" spans="4:8" s="223" customFormat="1" x14ac:dyDescent="0.35">
      <c r="D2811" s="222"/>
      <c r="E2811" s="222"/>
      <c r="F2811" s="222"/>
      <c r="G2811" s="222"/>
      <c r="H2811" s="222"/>
    </row>
    <row r="2812" spans="4:8" s="223" customFormat="1" x14ac:dyDescent="0.35">
      <c r="D2812" s="222"/>
      <c r="E2812" s="222"/>
      <c r="F2812" s="222"/>
      <c r="G2812" s="222"/>
      <c r="H2812" s="222"/>
    </row>
    <row r="2813" spans="4:8" s="223" customFormat="1" x14ac:dyDescent="0.35">
      <c r="D2813" s="222"/>
      <c r="E2813" s="222"/>
      <c r="F2813" s="222"/>
      <c r="G2813" s="222"/>
      <c r="H2813" s="222"/>
    </row>
    <row r="2814" spans="4:8" s="223" customFormat="1" x14ac:dyDescent="0.35">
      <c r="D2814" s="222"/>
      <c r="E2814" s="222"/>
      <c r="F2814" s="222"/>
      <c r="G2814" s="222"/>
      <c r="H2814" s="222"/>
    </row>
    <row r="2815" spans="4:8" s="223" customFormat="1" x14ac:dyDescent="0.35">
      <c r="D2815" s="222"/>
      <c r="E2815" s="222"/>
      <c r="F2815" s="222"/>
      <c r="G2815" s="222"/>
      <c r="H2815" s="222"/>
    </row>
    <row r="2816" spans="4:8" s="223" customFormat="1" x14ac:dyDescent="0.35">
      <c r="D2816" s="222"/>
      <c r="E2816" s="222"/>
      <c r="F2816" s="222"/>
      <c r="G2816" s="222"/>
      <c r="H2816" s="222"/>
    </row>
    <row r="2817" spans="4:8" s="223" customFormat="1" x14ac:dyDescent="0.35">
      <c r="D2817" s="222"/>
      <c r="E2817" s="222"/>
      <c r="F2817" s="222"/>
      <c r="G2817" s="222"/>
      <c r="H2817" s="222"/>
    </row>
    <row r="2818" spans="4:8" s="223" customFormat="1" x14ac:dyDescent="0.35">
      <c r="D2818" s="222"/>
      <c r="E2818" s="222"/>
      <c r="F2818" s="222"/>
      <c r="G2818" s="222"/>
      <c r="H2818" s="222"/>
    </row>
    <row r="2819" spans="4:8" s="223" customFormat="1" x14ac:dyDescent="0.35">
      <c r="D2819" s="222"/>
      <c r="E2819" s="222"/>
      <c r="F2819" s="222"/>
      <c r="G2819" s="222"/>
      <c r="H2819" s="222"/>
    </row>
    <row r="2820" spans="4:8" s="223" customFormat="1" x14ac:dyDescent="0.35">
      <c r="D2820" s="222"/>
      <c r="E2820" s="222"/>
      <c r="F2820" s="222"/>
      <c r="G2820" s="222"/>
      <c r="H2820" s="222"/>
    </row>
    <row r="2821" spans="4:8" s="223" customFormat="1" x14ac:dyDescent="0.35">
      <c r="D2821" s="222"/>
      <c r="E2821" s="222"/>
      <c r="F2821" s="222"/>
      <c r="G2821" s="222"/>
      <c r="H2821" s="222"/>
    </row>
    <row r="2822" spans="4:8" s="223" customFormat="1" x14ac:dyDescent="0.35">
      <c r="D2822" s="222"/>
      <c r="E2822" s="222"/>
      <c r="F2822" s="222"/>
      <c r="G2822" s="222"/>
      <c r="H2822" s="222"/>
    </row>
    <row r="2823" spans="4:8" s="223" customFormat="1" x14ac:dyDescent="0.35">
      <c r="D2823" s="222"/>
      <c r="E2823" s="222"/>
      <c r="F2823" s="222"/>
      <c r="G2823" s="222"/>
      <c r="H2823" s="222"/>
    </row>
    <row r="2824" spans="4:8" s="223" customFormat="1" x14ac:dyDescent="0.35">
      <c r="D2824" s="222"/>
      <c r="E2824" s="222"/>
      <c r="F2824" s="222"/>
      <c r="G2824" s="222"/>
      <c r="H2824" s="222"/>
    </row>
    <row r="2825" spans="4:8" s="223" customFormat="1" x14ac:dyDescent="0.35">
      <c r="D2825" s="222"/>
      <c r="E2825" s="222"/>
      <c r="F2825" s="222"/>
      <c r="G2825" s="222"/>
      <c r="H2825" s="222"/>
    </row>
    <row r="2826" spans="4:8" s="223" customFormat="1" x14ac:dyDescent="0.35">
      <c r="D2826" s="222"/>
      <c r="E2826" s="222"/>
      <c r="F2826" s="222"/>
      <c r="G2826" s="222"/>
      <c r="H2826" s="222"/>
    </row>
    <row r="2827" spans="4:8" s="223" customFormat="1" x14ac:dyDescent="0.35">
      <c r="D2827" s="222"/>
      <c r="E2827" s="222"/>
      <c r="F2827" s="222"/>
      <c r="G2827" s="222"/>
      <c r="H2827" s="222"/>
    </row>
    <row r="2828" spans="4:8" s="223" customFormat="1" x14ac:dyDescent="0.35">
      <c r="D2828" s="222"/>
      <c r="E2828" s="222"/>
      <c r="F2828" s="222"/>
      <c r="G2828" s="222"/>
      <c r="H2828" s="222"/>
    </row>
    <row r="2829" spans="4:8" s="223" customFormat="1" x14ac:dyDescent="0.35">
      <c r="D2829" s="222"/>
      <c r="E2829" s="222"/>
      <c r="F2829" s="222"/>
      <c r="G2829" s="222"/>
      <c r="H2829" s="222"/>
    </row>
    <row r="2830" spans="4:8" s="223" customFormat="1" x14ac:dyDescent="0.35">
      <c r="D2830" s="222"/>
      <c r="E2830" s="222"/>
      <c r="F2830" s="222"/>
      <c r="G2830" s="222"/>
      <c r="H2830" s="222"/>
    </row>
    <row r="2831" spans="4:8" s="223" customFormat="1" x14ac:dyDescent="0.35">
      <c r="D2831" s="222"/>
      <c r="E2831" s="222"/>
      <c r="F2831" s="222"/>
      <c r="G2831" s="222"/>
      <c r="H2831" s="222"/>
    </row>
    <row r="2832" spans="4:8" s="223" customFormat="1" x14ac:dyDescent="0.35">
      <c r="D2832" s="222"/>
      <c r="E2832" s="222"/>
      <c r="F2832" s="222"/>
      <c r="G2832" s="222"/>
      <c r="H2832" s="222"/>
    </row>
    <row r="2833" spans="4:8" s="223" customFormat="1" x14ac:dyDescent="0.35">
      <c r="D2833" s="222"/>
      <c r="E2833" s="222"/>
      <c r="F2833" s="222"/>
      <c r="G2833" s="222"/>
      <c r="H2833" s="222"/>
    </row>
    <row r="2834" spans="4:8" s="223" customFormat="1" x14ac:dyDescent="0.35">
      <c r="D2834" s="222"/>
      <c r="E2834" s="222"/>
      <c r="F2834" s="222"/>
      <c r="G2834" s="222"/>
      <c r="H2834" s="222"/>
    </row>
    <row r="2835" spans="4:8" s="223" customFormat="1" x14ac:dyDescent="0.35">
      <c r="D2835" s="222"/>
      <c r="E2835" s="222"/>
      <c r="F2835" s="222"/>
      <c r="G2835" s="222"/>
      <c r="H2835" s="222"/>
    </row>
    <row r="2836" spans="4:8" s="223" customFormat="1" x14ac:dyDescent="0.35">
      <c r="D2836" s="222"/>
      <c r="E2836" s="222"/>
      <c r="F2836" s="222"/>
      <c r="G2836" s="222"/>
      <c r="H2836" s="222"/>
    </row>
    <row r="2837" spans="4:8" s="223" customFormat="1" x14ac:dyDescent="0.35">
      <c r="D2837" s="222"/>
      <c r="E2837" s="222"/>
      <c r="F2837" s="222"/>
      <c r="G2837" s="222"/>
      <c r="H2837" s="222"/>
    </row>
    <row r="2838" spans="4:8" s="223" customFormat="1" x14ac:dyDescent="0.35">
      <c r="D2838" s="222"/>
      <c r="E2838" s="222"/>
      <c r="F2838" s="222"/>
      <c r="G2838" s="222"/>
      <c r="H2838" s="222"/>
    </row>
    <row r="2839" spans="4:8" s="223" customFormat="1" x14ac:dyDescent="0.35">
      <c r="D2839" s="222"/>
      <c r="E2839" s="222"/>
      <c r="F2839" s="222"/>
      <c r="G2839" s="222"/>
      <c r="H2839" s="222"/>
    </row>
    <row r="2840" spans="4:8" s="223" customFormat="1" x14ac:dyDescent="0.35">
      <c r="D2840" s="222"/>
      <c r="E2840" s="222"/>
      <c r="F2840" s="222"/>
      <c r="G2840" s="222"/>
      <c r="H2840" s="222"/>
    </row>
    <row r="2841" spans="4:8" s="223" customFormat="1" x14ac:dyDescent="0.35">
      <c r="D2841" s="222"/>
      <c r="E2841" s="222"/>
      <c r="F2841" s="222"/>
      <c r="G2841" s="222"/>
      <c r="H2841" s="222"/>
    </row>
    <row r="2842" spans="4:8" s="223" customFormat="1" x14ac:dyDescent="0.35">
      <c r="D2842" s="222"/>
      <c r="E2842" s="222"/>
      <c r="F2842" s="222"/>
      <c r="G2842" s="222"/>
      <c r="H2842" s="222"/>
    </row>
    <row r="2843" spans="4:8" s="223" customFormat="1" x14ac:dyDescent="0.35">
      <c r="D2843" s="222"/>
      <c r="E2843" s="222"/>
      <c r="F2843" s="222"/>
      <c r="G2843" s="222"/>
      <c r="H2843" s="222"/>
    </row>
    <row r="2844" spans="4:8" s="223" customFormat="1" x14ac:dyDescent="0.35">
      <c r="D2844" s="222"/>
      <c r="E2844" s="222"/>
      <c r="F2844" s="222"/>
      <c r="G2844" s="222"/>
      <c r="H2844" s="222"/>
    </row>
    <row r="2845" spans="4:8" s="223" customFormat="1" x14ac:dyDescent="0.35">
      <c r="D2845" s="222"/>
      <c r="E2845" s="222"/>
      <c r="F2845" s="222"/>
      <c r="G2845" s="222"/>
      <c r="H2845" s="222"/>
    </row>
    <row r="2846" spans="4:8" s="223" customFormat="1" x14ac:dyDescent="0.35">
      <c r="D2846" s="222"/>
      <c r="E2846" s="222"/>
      <c r="F2846" s="222"/>
      <c r="G2846" s="222"/>
      <c r="H2846" s="222"/>
    </row>
    <row r="2847" spans="4:8" s="223" customFormat="1" x14ac:dyDescent="0.35">
      <c r="D2847" s="222"/>
      <c r="E2847" s="222"/>
      <c r="F2847" s="222"/>
      <c r="G2847" s="222"/>
      <c r="H2847" s="222"/>
    </row>
    <row r="2848" spans="4:8" s="223" customFormat="1" x14ac:dyDescent="0.35">
      <c r="D2848" s="222"/>
      <c r="E2848" s="222"/>
      <c r="F2848" s="222"/>
      <c r="G2848" s="222"/>
      <c r="H2848" s="222"/>
    </row>
    <row r="2849" spans="4:8" s="223" customFormat="1" x14ac:dyDescent="0.35">
      <c r="D2849" s="222"/>
      <c r="E2849" s="222"/>
      <c r="F2849" s="222"/>
      <c r="G2849" s="222"/>
      <c r="H2849" s="222"/>
    </row>
    <row r="2850" spans="4:8" s="223" customFormat="1" x14ac:dyDescent="0.35">
      <c r="D2850" s="222"/>
      <c r="E2850" s="222"/>
      <c r="F2850" s="222"/>
      <c r="G2850" s="222"/>
      <c r="H2850" s="222"/>
    </row>
    <row r="2851" spans="4:8" s="223" customFormat="1" x14ac:dyDescent="0.35">
      <c r="D2851" s="222"/>
      <c r="E2851" s="222"/>
      <c r="F2851" s="222"/>
      <c r="G2851" s="222"/>
      <c r="H2851" s="222"/>
    </row>
    <row r="2852" spans="4:8" s="223" customFormat="1" x14ac:dyDescent="0.35">
      <c r="D2852" s="222"/>
      <c r="E2852" s="222"/>
      <c r="F2852" s="222"/>
      <c r="G2852" s="222"/>
      <c r="H2852" s="222"/>
    </row>
    <row r="2853" spans="4:8" s="223" customFormat="1" x14ac:dyDescent="0.35">
      <c r="D2853" s="222"/>
      <c r="E2853" s="222"/>
      <c r="F2853" s="222"/>
      <c r="G2853" s="222"/>
      <c r="H2853" s="222"/>
    </row>
    <row r="2854" spans="4:8" s="223" customFormat="1" x14ac:dyDescent="0.35">
      <c r="D2854" s="222"/>
      <c r="E2854" s="222"/>
      <c r="F2854" s="222"/>
      <c r="G2854" s="222"/>
      <c r="H2854" s="222"/>
    </row>
    <row r="2855" spans="4:8" s="223" customFormat="1" x14ac:dyDescent="0.35">
      <c r="D2855" s="222"/>
      <c r="E2855" s="222"/>
      <c r="F2855" s="222"/>
      <c r="G2855" s="222"/>
      <c r="H2855" s="222"/>
    </row>
    <row r="2856" spans="4:8" s="223" customFormat="1" x14ac:dyDescent="0.35">
      <c r="D2856" s="222"/>
      <c r="E2856" s="222"/>
      <c r="F2856" s="222"/>
      <c r="G2856" s="222"/>
      <c r="H2856" s="222"/>
    </row>
    <row r="2857" spans="4:8" s="223" customFormat="1" x14ac:dyDescent="0.35">
      <c r="D2857" s="222"/>
      <c r="E2857" s="222"/>
      <c r="F2857" s="222"/>
      <c r="G2857" s="222"/>
      <c r="H2857" s="222"/>
    </row>
    <row r="2858" spans="4:8" s="223" customFormat="1" x14ac:dyDescent="0.35">
      <c r="D2858" s="222"/>
      <c r="E2858" s="222"/>
      <c r="F2858" s="222"/>
      <c r="G2858" s="222"/>
      <c r="H2858" s="222"/>
    </row>
    <row r="2859" spans="4:8" s="223" customFormat="1" x14ac:dyDescent="0.35">
      <c r="D2859" s="222"/>
      <c r="E2859" s="222"/>
      <c r="F2859" s="222"/>
      <c r="G2859" s="222"/>
      <c r="H2859" s="222"/>
    </row>
    <row r="2860" spans="4:8" s="223" customFormat="1" x14ac:dyDescent="0.35">
      <c r="D2860" s="222"/>
      <c r="E2860" s="222"/>
      <c r="F2860" s="222"/>
      <c r="G2860" s="222"/>
      <c r="H2860" s="222"/>
    </row>
    <row r="2861" spans="4:8" s="223" customFormat="1" x14ac:dyDescent="0.35">
      <c r="D2861" s="222"/>
      <c r="E2861" s="222"/>
      <c r="F2861" s="222"/>
      <c r="G2861" s="222"/>
      <c r="H2861" s="222"/>
    </row>
    <row r="2862" spans="4:8" s="223" customFormat="1" x14ac:dyDescent="0.35">
      <c r="D2862" s="222"/>
      <c r="E2862" s="222"/>
      <c r="F2862" s="222"/>
      <c r="G2862" s="222"/>
      <c r="H2862" s="222"/>
    </row>
    <row r="2863" spans="4:8" s="223" customFormat="1" x14ac:dyDescent="0.35">
      <c r="D2863" s="222"/>
      <c r="E2863" s="222"/>
      <c r="F2863" s="222"/>
      <c r="G2863" s="222"/>
      <c r="H2863" s="222"/>
    </row>
    <row r="2864" spans="4:8" s="223" customFormat="1" x14ac:dyDescent="0.35">
      <c r="D2864" s="222"/>
      <c r="E2864" s="222"/>
      <c r="F2864" s="222"/>
      <c r="G2864" s="222"/>
      <c r="H2864" s="222"/>
    </row>
    <row r="2865" spans="4:8" s="223" customFormat="1" x14ac:dyDescent="0.35">
      <c r="D2865" s="222"/>
      <c r="E2865" s="222"/>
      <c r="F2865" s="222"/>
      <c r="G2865" s="222"/>
      <c r="H2865" s="222"/>
    </row>
    <row r="2866" spans="4:8" s="223" customFormat="1" x14ac:dyDescent="0.35">
      <c r="D2866" s="222"/>
      <c r="E2866" s="222"/>
      <c r="F2866" s="222"/>
      <c r="G2866" s="222"/>
      <c r="H2866" s="222"/>
    </row>
    <row r="2867" spans="4:8" s="223" customFormat="1" x14ac:dyDescent="0.35">
      <c r="D2867" s="222"/>
      <c r="E2867" s="222"/>
      <c r="F2867" s="222"/>
      <c r="G2867" s="222"/>
      <c r="H2867" s="222"/>
    </row>
    <row r="2868" spans="4:8" s="223" customFormat="1" x14ac:dyDescent="0.35">
      <c r="D2868" s="222"/>
      <c r="E2868" s="222"/>
      <c r="F2868" s="222"/>
      <c r="G2868" s="222"/>
      <c r="H2868" s="222"/>
    </row>
    <row r="2869" spans="4:8" s="223" customFormat="1" x14ac:dyDescent="0.35">
      <c r="D2869" s="222"/>
      <c r="E2869" s="222"/>
      <c r="F2869" s="222"/>
      <c r="G2869" s="222"/>
      <c r="H2869" s="222"/>
    </row>
    <row r="2870" spans="4:8" s="223" customFormat="1" x14ac:dyDescent="0.35">
      <c r="D2870" s="222"/>
      <c r="E2870" s="222"/>
      <c r="F2870" s="222"/>
      <c r="G2870" s="222"/>
      <c r="H2870" s="222"/>
    </row>
    <row r="2871" spans="4:8" s="223" customFormat="1" x14ac:dyDescent="0.35">
      <c r="D2871" s="222"/>
      <c r="E2871" s="222"/>
      <c r="F2871" s="222"/>
      <c r="G2871" s="222"/>
      <c r="H2871" s="222"/>
    </row>
    <row r="2872" spans="4:8" s="223" customFormat="1" x14ac:dyDescent="0.35">
      <c r="D2872" s="222"/>
      <c r="E2872" s="222"/>
      <c r="F2872" s="222"/>
      <c r="G2872" s="222"/>
      <c r="H2872" s="222"/>
    </row>
    <row r="2873" spans="4:8" s="223" customFormat="1" x14ac:dyDescent="0.35">
      <c r="D2873" s="222"/>
      <c r="E2873" s="222"/>
      <c r="F2873" s="222"/>
      <c r="G2873" s="222"/>
      <c r="H2873" s="222"/>
    </row>
    <row r="2874" spans="4:8" s="223" customFormat="1" x14ac:dyDescent="0.35">
      <c r="D2874" s="222"/>
      <c r="E2874" s="222"/>
      <c r="F2874" s="222"/>
      <c r="G2874" s="222"/>
      <c r="H2874" s="222"/>
    </row>
    <row r="2875" spans="4:8" s="223" customFormat="1" x14ac:dyDescent="0.35">
      <c r="D2875" s="222"/>
      <c r="E2875" s="222"/>
      <c r="F2875" s="222"/>
      <c r="G2875" s="222"/>
      <c r="H2875" s="222"/>
    </row>
    <row r="2876" spans="4:8" s="223" customFormat="1" x14ac:dyDescent="0.35">
      <c r="D2876" s="222"/>
      <c r="E2876" s="222"/>
      <c r="F2876" s="222"/>
      <c r="G2876" s="222"/>
      <c r="H2876" s="222"/>
    </row>
    <row r="2877" spans="4:8" s="223" customFormat="1" x14ac:dyDescent="0.35">
      <c r="D2877" s="222"/>
      <c r="E2877" s="222"/>
      <c r="F2877" s="222"/>
      <c r="G2877" s="222"/>
      <c r="H2877" s="222"/>
    </row>
    <row r="2878" spans="4:8" s="223" customFormat="1" x14ac:dyDescent="0.35">
      <c r="D2878" s="222"/>
      <c r="E2878" s="222"/>
      <c r="F2878" s="222"/>
      <c r="G2878" s="222"/>
      <c r="H2878" s="222"/>
    </row>
    <row r="2879" spans="4:8" s="223" customFormat="1" x14ac:dyDescent="0.35">
      <c r="D2879" s="222"/>
      <c r="E2879" s="222"/>
      <c r="F2879" s="222"/>
      <c r="G2879" s="222"/>
      <c r="H2879" s="222"/>
    </row>
    <row r="2880" spans="4:8" s="223" customFormat="1" x14ac:dyDescent="0.35">
      <c r="D2880" s="222"/>
      <c r="E2880" s="222"/>
      <c r="F2880" s="222"/>
      <c r="G2880" s="222"/>
      <c r="H2880" s="222"/>
    </row>
    <row r="2881" spans="4:8" s="223" customFormat="1" x14ac:dyDescent="0.35">
      <c r="D2881" s="222"/>
      <c r="E2881" s="222"/>
      <c r="F2881" s="222"/>
      <c r="G2881" s="222"/>
      <c r="H2881" s="222"/>
    </row>
    <row r="2882" spans="4:8" s="223" customFormat="1" x14ac:dyDescent="0.35">
      <c r="D2882" s="222"/>
      <c r="E2882" s="222"/>
      <c r="F2882" s="222"/>
      <c r="G2882" s="222"/>
      <c r="H2882" s="222"/>
    </row>
    <row r="2883" spans="4:8" s="223" customFormat="1" x14ac:dyDescent="0.35">
      <c r="D2883" s="222"/>
      <c r="E2883" s="222"/>
      <c r="F2883" s="222"/>
      <c r="G2883" s="222"/>
      <c r="H2883" s="222"/>
    </row>
    <row r="2884" spans="4:8" s="223" customFormat="1" x14ac:dyDescent="0.35">
      <c r="D2884" s="222"/>
      <c r="E2884" s="222"/>
      <c r="F2884" s="222"/>
      <c r="G2884" s="222"/>
      <c r="H2884" s="222"/>
    </row>
    <row r="2885" spans="4:8" s="223" customFormat="1" x14ac:dyDescent="0.35">
      <c r="D2885" s="222"/>
      <c r="E2885" s="222"/>
      <c r="F2885" s="222"/>
      <c r="G2885" s="222"/>
      <c r="H2885" s="222"/>
    </row>
    <row r="2886" spans="4:8" s="223" customFormat="1" x14ac:dyDescent="0.35">
      <c r="D2886" s="222"/>
      <c r="E2886" s="222"/>
      <c r="F2886" s="222"/>
      <c r="G2886" s="222"/>
      <c r="H2886" s="222"/>
    </row>
    <row r="2887" spans="4:8" s="223" customFormat="1" x14ac:dyDescent="0.35">
      <c r="D2887" s="222"/>
      <c r="E2887" s="222"/>
      <c r="F2887" s="222"/>
      <c r="G2887" s="222"/>
      <c r="H2887" s="222"/>
    </row>
    <row r="2888" spans="4:8" s="223" customFormat="1" x14ac:dyDescent="0.35">
      <c r="D2888" s="222"/>
      <c r="E2888" s="222"/>
      <c r="F2888" s="222"/>
      <c r="G2888" s="222"/>
      <c r="H2888" s="222"/>
    </row>
    <row r="2889" spans="4:8" s="223" customFormat="1" x14ac:dyDescent="0.35">
      <c r="D2889" s="222"/>
      <c r="E2889" s="222"/>
      <c r="F2889" s="222"/>
      <c r="G2889" s="222"/>
      <c r="H2889" s="222"/>
    </row>
    <row r="2890" spans="4:8" s="223" customFormat="1" x14ac:dyDescent="0.35">
      <c r="D2890" s="222"/>
      <c r="E2890" s="222"/>
      <c r="F2890" s="222"/>
      <c r="G2890" s="222"/>
      <c r="H2890" s="222"/>
    </row>
    <row r="2891" spans="4:8" s="223" customFormat="1" x14ac:dyDescent="0.35">
      <c r="D2891" s="222"/>
      <c r="E2891" s="222"/>
      <c r="F2891" s="222"/>
      <c r="G2891" s="222"/>
      <c r="H2891" s="222"/>
    </row>
    <row r="2892" spans="4:8" s="223" customFormat="1" x14ac:dyDescent="0.35">
      <c r="D2892" s="222"/>
      <c r="E2892" s="222"/>
      <c r="F2892" s="222"/>
      <c r="G2892" s="222"/>
      <c r="H2892" s="222"/>
    </row>
    <row r="2893" spans="4:8" s="223" customFormat="1" x14ac:dyDescent="0.35">
      <c r="D2893" s="222"/>
      <c r="E2893" s="222"/>
      <c r="F2893" s="222"/>
      <c r="G2893" s="222"/>
      <c r="H2893" s="222"/>
    </row>
    <row r="2894" spans="4:8" s="223" customFormat="1" x14ac:dyDescent="0.35">
      <c r="D2894" s="222"/>
      <c r="E2894" s="222"/>
      <c r="F2894" s="222"/>
      <c r="G2894" s="222"/>
      <c r="H2894" s="222"/>
    </row>
    <row r="2895" spans="4:8" s="223" customFormat="1" x14ac:dyDescent="0.35">
      <c r="D2895" s="222"/>
      <c r="E2895" s="222"/>
      <c r="F2895" s="222"/>
      <c r="G2895" s="222"/>
      <c r="H2895" s="222"/>
    </row>
    <row r="2896" spans="4:8" s="223" customFormat="1" x14ac:dyDescent="0.35">
      <c r="D2896" s="222"/>
      <c r="E2896" s="222"/>
      <c r="F2896" s="222"/>
      <c r="G2896" s="222"/>
      <c r="H2896" s="222"/>
    </row>
    <row r="2897" spans="4:8" s="223" customFormat="1" x14ac:dyDescent="0.35">
      <c r="D2897" s="222"/>
      <c r="E2897" s="222"/>
      <c r="F2897" s="222"/>
      <c r="G2897" s="222"/>
      <c r="H2897" s="222"/>
    </row>
    <row r="2898" spans="4:8" s="223" customFormat="1" x14ac:dyDescent="0.35">
      <c r="D2898" s="222"/>
      <c r="E2898" s="222"/>
      <c r="F2898" s="222"/>
      <c r="G2898" s="222"/>
      <c r="H2898" s="222"/>
    </row>
    <row r="2899" spans="4:8" s="223" customFormat="1" x14ac:dyDescent="0.35">
      <c r="D2899" s="222"/>
      <c r="E2899" s="222"/>
      <c r="F2899" s="222"/>
      <c r="G2899" s="222"/>
      <c r="H2899" s="222"/>
    </row>
    <row r="2900" spans="4:8" s="223" customFormat="1" x14ac:dyDescent="0.35">
      <c r="D2900" s="222"/>
      <c r="E2900" s="222"/>
      <c r="F2900" s="222"/>
      <c r="G2900" s="222"/>
      <c r="H2900" s="222"/>
    </row>
    <row r="2901" spans="4:8" s="223" customFormat="1" x14ac:dyDescent="0.35">
      <c r="D2901" s="222"/>
      <c r="E2901" s="222"/>
      <c r="F2901" s="222"/>
      <c r="G2901" s="222"/>
      <c r="H2901" s="222"/>
    </row>
    <row r="2902" spans="4:8" s="223" customFormat="1" x14ac:dyDescent="0.35">
      <c r="D2902" s="222"/>
      <c r="E2902" s="222"/>
      <c r="F2902" s="222"/>
      <c r="G2902" s="222"/>
      <c r="H2902" s="222"/>
    </row>
    <row r="2903" spans="4:8" s="223" customFormat="1" x14ac:dyDescent="0.35">
      <c r="D2903" s="222"/>
      <c r="E2903" s="222"/>
      <c r="F2903" s="222"/>
      <c r="G2903" s="222"/>
      <c r="H2903" s="222"/>
    </row>
    <row r="2904" spans="4:8" s="223" customFormat="1" x14ac:dyDescent="0.35">
      <c r="D2904" s="222"/>
      <c r="E2904" s="222"/>
      <c r="F2904" s="222"/>
      <c r="G2904" s="222"/>
      <c r="H2904" s="222"/>
    </row>
    <row r="2905" spans="4:8" s="223" customFormat="1" x14ac:dyDescent="0.35">
      <c r="D2905" s="222"/>
      <c r="E2905" s="222"/>
      <c r="F2905" s="222"/>
      <c r="G2905" s="222"/>
      <c r="H2905" s="222"/>
    </row>
    <row r="2906" spans="4:8" s="223" customFormat="1" x14ac:dyDescent="0.35">
      <c r="D2906" s="222"/>
      <c r="E2906" s="222"/>
      <c r="F2906" s="222"/>
      <c r="G2906" s="222"/>
      <c r="H2906" s="222"/>
    </row>
    <row r="2907" spans="4:8" s="223" customFormat="1" x14ac:dyDescent="0.35">
      <c r="D2907" s="222"/>
      <c r="E2907" s="222"/>
      <c r="F2907" s="222"/>
      <c r="G2907" s="222"/>
      <c r="H2907" s="222"/>
    </row>
    <row r="2908" spans="4:8" s="223" customFormat="1" x14ac:dyDescent="0.35">
      <c r="D2908" s="222"/>
      <c r="E2908" s="222"/>
      <c r="F2908" s="222"/>
      <c r="G2908" s="222"/>
      <c r="H2908" s="222"/>
    </row>
    <row r="2909" spans="4:8" s="223" customFormat="1" x14ac:dyDescent="0.35">
      <c r="D2909" s="222"/>
      <c r="E2909" s="222"/>
      <c r="F2909" s="222"/>
      <c r="G2909" s="222"/>
      <c r="H2909" s="222"/>
    </row>
    <row r="2910" spans="4:8" s="223" customFormat="1" x14ac:dyDescent="0.35">
      <c r="D2910" s="222"/>
      <c r="E2910" s="222"/>
      <c r="F2910" s="222"/>
      <c r="G2910" s="222"/>
      <c r="H2910" s="222"/>
    </row>
    <row r="2911" spans="4:8" s="223" customFormat="1" x14ac:dyDescent="0.35">
      <c r="D2911" s="222"/>
      <c r="E2911" s="222"/>
      <c r="F2911" s="222"/>
      <c r="G2911" s="222"/>
      <c r="H2911" s="222"/>
    </row>
    <row r="2912" spans="4:8" s="223" customFormat="1" x14ac:dyDescent="0.35">
      <c r="D2912" s="222"/>
      <c r="E2912" s="222"/>
      <c r="F2912" s="222"/>
      <c r="G2912" s="222"/>
      <c r="H2912" s="222"/>
    </row>
    <row r="2913" spans="2:8" s="223" customFormat="1" x14ac:dyDescent="0.35">
      <c r="D2913" s="222"/>
      <c r="E2913" s="222"/>
      <c r="F2913" s="222"/>
      <c r="G2913" s="222"/>
      <c r="H2913" s="222"/>
    </row>
    <row r="2914" spans="2:8" s="223" customFormat="1" x14ac:dyDescent="0.35">
      <c r="D2914" s="222"/>
      <c r="E2914" s="222"/>
      <c r="F2914" s="222"/>
      <c r="G2914" s="222"/>
      <c r="H2914" s="222"/>
    </row>
    <row r="2915" spans="2:8" s="223" customFormat="1" x14ac:dyDescent="0.35">
      <c r="D2915" s="222"/>
      <c r="E2915" s="222"/>
      <c r="F2915" s="222"/>
      <c r="G2915" s="222"/>
      <c r="H2915" s="222"/>
    </row>
    <row r="2916" spans="2:8" s="223" customFormat="1" x14ac:dyDescent="0.35">
      <c r="D2916" s="222"/>
      <c r="E2916" s="222"/>
      <c r="F2916" s="222"/>
      <c r="G2916" s="222"/>
      <c r="H2916" s="222"/>
    </row>
    <row r="2917" spans="2:8" s="223" customFormat="1" x14ac:dyDescent="0.35">
      <c r="D2917" s="222"/>
      <c r="E2917" s="222"/>
      <c r="F2917" s="222"/>
      <c r="G2917" s="222"/>
      <c r="H2917" s="222"/>
    </row>
    <row r="2918" spans="2:8" s="223" customFormat="1" x14ac:dyDescent="0.35">
      <c r="D2918" s="222"/>
      <c r="E2918" s="222"/>
      <c r="F2918" s="222"/>
      <c r="G2918" s="222"/>
      <c r="H2918" s="222"/>
    </row>
    <row r="2919" spans="2:8" s="223" customFormat="1" x14ac:dyDescent="0.35">
      <c r="D2919" s="222"/>
      <c r="E2919" s="222"/>
      <c r="F2919" s="222"/>
      <c r="G2919" s="222"/>
      <c r="H2919" s="222"/>
    </row>
    <row r="2920" spans="2:8" s="223" customFormat="1" x14ac:dyDescent="0.35">
      <c r="D2920" s="222"/>
      <c r="E2920" s="222"/>
      <c r="F2920" s="222"/>
      <c r="G2920" s="222"/>
      <c r="H2920" s="222"/>
    </row>
    <row r="2921" spans="2:8" s="223" customFormat="1" x14ac:dyDescent="0.35">
      <c r="D2921" s="222"/>
      <c r="E2921" s="222"/>
      <c r="F2921" s="222"/>
      <c r="G2921" s="222"/>
      <c r="H2921" s="222"/>
    </row>
    <row r="2922" spans="2:8" s="223" customFormat="1" x14ac:dyDescent="0.35">
      <c r="D2922" s="222"/>
      <c r="E2922" s="222"/>
      <c r="F2922" s="222"/>
      <c r="G2922" s="222"/>
      <c r="H2922" s="222"/>
    </row>
    <row r="2923" spans="2:8" s="223" customFormat="1" x14ac:dyDescent="0.35">
      <c r="D2923" s="222"/>
      <c r="E2923" s="222"/>
      <c r="F2923" s="222"/>
      <c r="G2923" s="222"/>
      <c r="H2923" s="222"/>
    </row>
    <row r="2924" spans="2:8" s="223" customFormat="1" x14ac:dyDescent="0.35">
      <c r="D2924" s="222"/>
      <c r="E2924" s="222"/>
      <c r="F2924" s="222"/>
      <c r="G2924" s="222"/>
      <c r="H2924" s="222"/>
    </row>
    <row r="2925" spans="2:8" x14ac:dyDescent="0.35">
      <c r="B2925" s="223"/>
      <c r="C2925" s="223"/>
      <c r="D2925" s="222"/>
      <c r="E2925" s="222"/>
      <c r="F2925" s="222"/>
      <c r="G2925" s="222"/>
      <c r="H2925" s="222"/>
    </row>
    <row r="2926" spans="2:8" x14ac:dyDescent="0.35">
      <c r="B2926" s="223"/>
      <c r="C2926" s="223"/>
      <c r="D2926" s="222"/>
      <c r="E2926" s="222"/>
      <c r="F2926" s="222"/>
      <c r="G2926" s="222"/>
      <c r="H2926" s="222"/>
    </row>
    <row r="2927" spans="2:8" x14ac:dyDescent="0.35">
      <c r="B2927" s="223"/>
      <c r="C2927" s="223"/>
      <c r="D2927" s="222"/>
      <c r="E2927" s="222"/>
      <c r="F2927" s="222"/>
      <c r="G2927" s="222"/>
      <c r="H2927" s="222"/>
    </row>
    <row r="2928" spans="2:8" x14ac:dyDescent="0.35">
      <c r="B2928" s="223"/>
      <c r="C2928" s="223"/>
      <c r="D2928" s="222"/>
      <c r="E2928" s="222"/>
      <c r="F2928" s="222"/>
      <c r="G2928" s="222"/>
      <c r="H2928" s="222"/>
    </row>
    <row r="2929" spans="2:8" x14ac:dyDescent="0.35">
      <c r="B2929" s="223"/>
      <c r="C2929" s="223"/>
      <c r="D2929" s="222"/>
      <c r="E2929" s="222"/>
      <c r="F2929" s="222"/>
      <c r="G2929" s="222"/>
      <c r="H2929" s="222"/>
    </row>
    <row r="2930" spans="2:8" x14ac:dyDescent="0.35">
      <c r="B2930" s="223"/>
      <c r="C2930" s="223"/>
      <c r="D2930" s="222"/>
      <c r="E2930" s="222"/>
      <c r="F2930" s="222"/>
      <c r="G2930" s="222"/>
      <c r="H2930" s="222"/>
    </row>
    <row r="2931" spans="2:8" x14ac:dyDescent="0.35">
      <c r="B2931" s="223"/>
      <c r="C2931" s="223"/>
      <c r="D2931" s="222"/>
      <c r="E2931" s="222"/>
      <c r="F2931" s="222"/>
      <c r="G2931" s="222"/>
      <c r="H2931" s="222"/>
    </row>
    <row r="2932" spans="2:8" x14ac:dyDescent="0.35">
      <c r="B2932" s="223"/>
      <c r="C2932" s="223"/>
      <c r="D2932" s="222"/>
      <c r="E2932" s="222"/>
      <c r="F2932" s="222"/>
      <c r="G2932" s="222"/>
      <c r="H2932" s="222"/>
    </row>
    <row r="2933" spans="2:8" x14ac:dyDescent="0.35">
      <c r="B2933" s="223"/>
      <c r="C2933" s="223"/>
      <c r="D2933" s="222"/>
      <c r="E2933" s="222"/>
      <c r="F2933" s="222"/>
      <c r="G2933" s="222"/>
      <c r="H2933" s="222"/>
    </row>
    <row r="2934" spans="2:8" x14ac:dyDescent="0.35">
      <c r="B2934" s="223"/>
      <c r="C2934" s="223"/>
      <c r="D2934" s="222"/>
      <c r="E2934" s="222"/>
      <c r="F2934" s="222"/>
      <c r="G2934" s="222"/>
      <c r="H2934" s="222"/>
    </row>
    <row r="2935" spans="2:8" x14ac:dyDescent="0.35">
      <c r="B2935" s="223"/>
      <c r="C2935" s="223"/>
      <c r="D2935" s="222"/>
      <c r="E2935" s="222"/>
      <c r="F2935" s="222"/>
      <c r="G2935" s="222"/>
      <c r="H2935" s="222"/>
    </row>
    <row r="2936" spans="2:8" x14ac:dyDescent="0.35">
      <c r="B2936" s="223"/>
      <c r="C2936" s="223"/>
      <c r="D2936" s="222"/>
      <c r="E2936" s="222"/>
      <c r="F2936" s="222"/>
      <c r="G2936" s="222"/>
      <c r="H2936" s="222"/>
    </row>
    <row r="2937" spans="2:8" x14ac:dyDescent="0.35">
      <c r="B2937" s="223"/>
      <c r="C2937" s="223"/>
      <c r="D2937" s="222"/>
      <c r="E2937" s="222"/>
      <c r="F2937" s="222"/>
      <c r="G2937" s="222"/>
      <c r="H2937" s="222"/>
    </row>
  </sheetData>
  <mergeCells count="9">
    <mergeCell ref="C20:E20"/>
    <mergeCell ref="C21:E21"/>
    <mergeCell ref="C22:E22"/>
    <mergeCell ref="B2:G2"/>
    <mergeCell ref="J2:O2"/>
    <mergeCell ref="B3:G3"/>
    <mergeCell ref="N4:N5"/>
    <mergeCell ref="O4:O5"/>
    <mergeCell ref="C19:E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1237-56FD-493B-A71E-C01235D231B9}">
  <dimension ref="A1:J30"/>
  <sheetViews>
    <sheetView topLeftCell="B10" workbookViewId="0">
      <selection activeCell="J13" sqref="J13:J14"/>
    </sheetView>
  </sheetViews>
  <sheetFormatPr defaultRowHeight="14.5" x14ac:dyDescent="0.35"/>
  <cols>
    <col min="1" max="1" width="17.54296875" style="178" bestFit="1" customWidth="1"/>
    <col min="2" max="2" width="26.54296875" style="178" customWidth="1"/>
    <col min="3" max="3" width="9.90625" style="199" customWidth="1"/>
    <col min="4" max="4" width="45.1796875" style="180" customWidth="1"/>
    <col min="5" max="5" width="13.453125" style="179" bestFit="1" customWidth="1"/>
    <col min="6" max="6" width="10.1796875" style="179" customWidth="1"/>
    <col min="7" max="7" width="11.36328125" style="179" customWidth="1"/>
    <col min="8" max="8" width="9.08984375" style="179" customWidth="1"/>
    <col min="9" max="9" width="10.81640625" style="178" bestFit="1" customWidth="1"/>
    <col min="10" max="10" width="17.90625" style="179" customWidth="1"/>
    <col min="11" max="16384" width="8.7265625" style="178"/>
  </cols>
  <sheetData>
    <row r="1" spans="1:10" x14ac:dyDescent="0.35">
      <c r="A1" s="305" t="s">
        <v>129</v>
      </c>
      <c r="B1" s="306"/>
      <c r="C1" s="306"/>
      <c r="D1" s="306"/>
      <c r="E1" s="306"/>
      <c r="F1" s="306"/>
      <c r="G1" s="306"/>
      <c r="H1" s="306"/>
      <c r="I1" s="306"/>
    </row>
    <row r="2" spans="1:10" x14ac:dyDescent="0.35">
      <c r="A2" s="307" t="s">
        <v>130</v>
      </c>
      <c r="B2" s="306"/>
      <c r="C2" s="306"/>
      <c r="D2" s="306"/>
      <c r="E2" s="306"/>
      <c r="F2" s="306"/>
      <c r="G2" s="306"/>
      <c r="H2" s="306"/>
      <c r="I2" s="306"/>
    </row>
    <row r="5" spans="1:10" ht="29" x14ac:dyDescent="0.35">
      <c r="A5" s="178" t="s">
        <v>131</v>
      </c>
      <c r="B5" s="180" t="s">
        <v>132</v>
      </c>
    </row>
    <row r="6" spans="1:10" x14ac:dyDescent="0.35">
      <c r="A6" s="178" t="s">
        <v>133</v>
      </c>
      <c r="B6" s="178" t="s">
        <v>134</v>
      </c>
    </row>
    <row r="7" spans="1:10" x14ac:dyDescent="0.35">
      <c r="A7" s="178" t="s">
        <v>135</v>
      </c>
      <c r="B7" s="178" t="s">
        <v>188</v>
      </c>
    </row>
    <row r="9" spans="1:10" s="182" customFormat="1" ht="29" x14ac:dyDescent="0.35">
      <c r="A9" s="181" t="s">
        <v>137</v>
      </c>
      <c r="B9" s="181" t="s">
        <v>138</v>
      </c>
      <c r="C9" s="195" t="s">
        <v>139</v>
      </c>
      <c r="D9" s="195" t="s">
        <v>140</v>
      </c>
      <c r="E9" s="181" t="s">
        <v>141</v>
      </c>
      <c r="F9" s="181"/>
      <c r="G9" s="181"/>
      <c r="H9" s="181"/>
      <c r="I9" s="181" t="s">
        <v>13</v>
      </c>
      <c r="J9" s="183"/>
    </row>
    <row r="10" spans="1:10" s="182" customFormat="1" x14ac:dyDescent="0.35">
      <c r="A10" s="181"/>
      <c r="B10" s="181"/>
      <c r="C10" s="195"/>
      <c r="D10" s="195"/>
      <c r="E10" s="195"/>
      <c r="F10" s="183" t="s">
        <v>145</v>
      </c>
      <c r="G10" s="183" t="s">
        <v>0</v>
      </c>
      <c r="H10" s="183" t="s">
        <v>1</v>
      </c>
      <c r="I10" s="181"/>
      <c r="J10" s="183" t="s">
        <v>190</v>
      </c>
    </row>
    <row r="11" spans="1:10" x14ac:dyDescent="0.35">
      <c r="A11" s="184" t="s">
        <v>150</v>
      </c>
      <c r="B11" s="184" t="s">
        <v>151</v>
      </c>
      <c r="C11" s="201">
        <v>1</v>
      </c>
      <c r="D11" s="196" t="s">
        <v>153</v>
      </c>
      <c r="E11" s="185">
        <v>1</v>
      </c>
      <c r="F11" s="185">
        <v>6</v>
      </c>
      <c r="G11" s="185">
        <v>32</v>
      </c>
      <c r="H11" s="185">
        <v>1024</v>
      </c>
      <c r="I11" s="184" t="s">
        <v>155</v>
      </c>
      <c r="J11" s="308">
        <f>7632+2305</f>
        <v>9937</v>
      </c>
    </row>
    <row r="12" spans="1:10" x14ac:dyDescent="0.35">
      <c r="A12" s="184" t="s">
        <v>150</v>
      </c>
      <c r="B12" s="184"/>
      <c r="C12" s="201"/>
      <c r="D12" s="196" t="s">
        <v>158</v>
      </c>
      <c r="E12" s="185">
        <v>1</v>
      </c>
      <c r="F12" s="185"/>
      <c r="G12" s="185"/>
      <c r="H12" s="185"/>
      <c r="I12" s="184" t="s">
        <v>155</v>
      </c>
      <c r="J12" s="309"/>
    </row>
    <row r="13" spans="1:10" x14ac:dyDescent="0.35">
      <c r="A13" s="184" t="s">
        <v>150</v>
      </c>
      <c r="B13" s="184" t="s">
        <v>159</v>
      </c>
      <c r="C13" s="201">
        <v>1</v>
      </c>
      <c r="D13" s="196" t="s">
        <v>153</v>
      </c>
      <c r="E13" s="185">
        <v>1</v>
      </c>
      <c r="F13" s="185">
        <v>6</v>
      </c>
      <c r="G13" s="185">
        <v>32</v>
      </c>
      <c r="H13" s="185">
        <v>1024</v>
      </c>
      <c r="I13" s="184" t="s">
        <v>155</v>
      </c>
      <c r="J13" s="308">
        <f>7632+2305</f>
        <v>9937</v>
      </c>
    </row>
    <row r="14" spans="1:10" x14ac:dyDescent="0.35">
      <c r="A14" s="184" t="s">
        <v>150</v>
      </c>
      <c r="B14" s="184"/>
      <c r="C14" s="201"/>
      <c r="D14" s="196" t="s">
        <v>158</v>
      </c>
      <c r="E14" s="185">
        <v>1</v>
      </c>
      <c r="F14" s="185"/>
      <c r="G14" s="185"/>
      <c r="H14" s="185"/>
      <c r="I14" s="184" t="s">
        <v>155</v>
      </c>
      <c r="J14" s="309"/>
    </row>
    <row r="15" spans="1:10" x14ac:dyDescent="0.35">
      <c r="A15" s="184" t="s">
        <v>150</v>
      </c>
      <c r="B15" s="184" t="s">
        <v>4</v>
      </c>
      <c r="C15" s="201">
        <v>1</v>
      </c>
      <c r="D15" s="196" t="s">
        <v>162</v>
      </c>
      <c r="E15" s="185">
        <v>829</v>
      </c>
      <c r="F15" s="185"/>
      <c r="G15" s="185"/>
      <c r="H15" s="185"/>
      <c r="I15" s="184" t="s">
        <v>19</v>
      </c>
      <c r="J15" s="198">
        <v>3316</v>
      </c>
    </row>
    <row r="16" spans="1:10" ht="29" x14ac:dyDescent="0.35">
      <c r="A16" s="184" t="s">
        <v>150</v>
      </c>
      <c r="B16" s="184"/>
      <c r="C16" s="201"/>
      <c r="D16" s="196" t="s">
        <v>164</v>
      </c>
      <c r="E16" s="185" t="s">
        <v>165</v>
      </c>
      <c r="F16" s="185"/>
      <c r="G16" s="185"/>
      <c r="H16" s="185"/>
      <c r="I16" s="184" t="s">
        <v>19</v>
      </c>
      <c r="J16" s="198">
        <v>6000</v>
      </c>
    </row>
    <row r="17" spans="1:10" x14ac:dyDescent="0.35">
      <c r="A17" s="184" t="s">
        <v>150</v>
      </c>
      <c r="B17" s="184" t="s">
        <v>166</v>
      </c>
      <c r="C17" s="201">
        <v>1</v>
      </c>
      <c r="D17" s="196" t="s">
        <v>167</v>
      </c>
      <c r="E17" s="185" t="s">
        <v>168</v>
      </c>
      <c r="F17" s="185"/>
      <c r="G17" s="185"/>
      <c r="H17" s="185"/>
      <c r="I17" s="184" t="s">
        <v>169</v>
      </c>
      <c r="J17" s="198">
        <v>8000</v>
      </c>
    </row>
    <row r="18" spans="1:10" x14ac:dyDescent="0.35">
      <c r="A18" s="184" t="s">
        <v>150</v>
      </c>
      <c r="B18" s="184" t="s">
        <v>29</v>
      </c>
      <c r="C18" s="201">
        <v>1</v>
      </c>
      <c r="D18" s="196" t="s">
        <v>170</v>
      </c>
      <c r="E18" s="185">
        <v>2</v>
      </c>
      <c r="F18" s="185"/>
      <c r="G18" s="185"/>
      <c r="H18" s="185"/>
      <c r="I18" s="184" t="s">
        <v>155</v>
      </c>
      <c r="J18" s="198">
        <v>3000</v>
      </c>
    </row>
    <row r="19" spans="1:10" x14ac:dyDescent="0.35">
      <c r="A19" s="184" t="s">
        <v>150</v>
      </c>
      <c r="B19" s="184" t="s">
        <v>27</v>
      </c>
      <c r="C19" s="201">
        <v>1</v>
      </c>
      <c r="D19" s="196" t="s">
        <v>172</v>
      </c>
      <c r="E19" s="185">
        <v>1</v>
      </c>
      <c r="F19" s="185"/>
      <c r="G19" s="185"/>
      <c r="H19" s="185"/>
      <c r="I19" s="184" t="s">
        <v>155</v>
      </c>
      <c r="J19" s="198">
        <v>15000</v>
      </c>
    </row>
    <row r="20" spans="1:10" x14ac:dyDescent="0.35">
      <c r="A20" s="184" t="s">
        <v>150</v>
      </c>
      <c r="B20" s="184" t="s">
        <v>173</v>
      </c>
      <c r="C20" s="201">
        <v>1</v>
      </c>
      <c r="D20" s="196" t="s">
        <v>174</v>
      </c>
      <c r="E20" s="185">
        <v>2</v>
      </c>
      <c r="F20" s="185"/>
      <c r="G20" s="185"/>
      <c r="H20" s="185"/>
      <c r="I20" s="184" t="s">
        <v>155</v>
      </c>
      <c r="J20" s="198">
        <v>3000</v>
      </c>
    </row>
    <row r="21" spans="1:10" ht="29" x14ac:dyDescent="0.35">
      <c r="A21" s="184" t="s">
        <v>150</v>
      </c>
      <c r="B21" s="184"/>
      <c r="C21" s="201"/>
      <c r="D21" s="197" t="s">
        <v>175</v>
      </c>
      <c r="E21" s="185">
        <v>1</v>
      </c>
      <c r="F21" s="185"/>
      <c r="G21" s="185"/>
      <c r="H21" s="185"/>
      <c r="I21" s="187" t="s">
        <v>155</v>
      </c>
      <c r="J21" s="198">
        <v>9500</v>
      </c>
    </row>
    <row r="22" spans="1:10" x14ac:dyDescent="0.35">
      <c r="A22" s="184" t="s">
        <v>150</v>
      </c>
      <c r="B22" s="184"/>
      <c r="C22" s="201"/>
      <c r="D22" s="197" t="s">
        <v>176</v>
      </c>
      <c r="E22" s="185">
        <v>2</v>
      </c>
      <c r="F22" s="185"/>
      <c r="G22" s="185"/>
      <c r="H22" s="185"/>
      <c r="I22" s="187" t="s">
        <v>177</v>
      </c>
      <c r="J22" s="198">
        <v>3000</v>
      </c>
    </row>
    <row r="23" spans="1:10" ht="29" x14ac:dyDescent="0.35">
      <c r="A23" s="184" t="s">
        <v>150</v>
      </c>
      <c r="B23" s="184"/>
      <c r="C23" s="201"/>
      <c r="D23" s="197" t="s">
        <v>178</v>
      </c>
      <c r="E23" s="185">
        <v>1</v>
      </c>
      <c r="F23" s="185"/>
      <c r="G23" s="185"/>
      <c r="H23" s="185"/>
      <c r="I23" s="187" t="s">
        <v>179</v>
      </c>
      <c r="J23" s="198">
        <v>500</v>
      </c>
    </row>
    <row r="24" spans="1:10" x14ac:dyDescent="0.35">
      <c r="A24" s="184" t="s">
        <v>150</v>
      </c>
      <c r="B24" s="184"/>
      <c r="C24" s="201"/>
      <c r="D24" s="197" t="s">
        <v>36</v>
      </c>
      <c r="E24" s="185">
        <v>5</v>
      </c>
      <c r="F24" s="185"/>
      <c r="G24" s="185"/>
      <c r="H24" s="185"/>
      <c r="I24" s="187" t="s">
        <v>155</v>
      </c>
      <c r="J24" s="198">
        <v>5000</v>
      </c>
    </row>
    <row r="25" spans="1:10" x14ac:dyDescent="0.35">
      <c r="A25" s="184" t="s">
        <v>150</v>
      </c>
      <c r="B25" s="184" t="s">
        <v>173</v>
      </c>
      <c r="C25" s="201">
        <v>1</v>
      </c>
      <c r="D25" s="197" t="s">
        <v>181</v>
      </c>
      <c r="E25" s="185">
        <v>1</v>
      </c>
      <c r="F25" s="185"/>
      <c r="G25" s="185"/>
      <c r="H25" s="185"/>
      <c r="I25" s="187" t="s">
        <v>155</v>
      </c>
      <c r="J25" s="198"/>
    </row>
    <row r="26" spans="1:10" x14ac:dyDescent="0.35">
      <c r="A26" s="184"/>
      <c r="B26" s="184"/>
      <c r="C26" s="201"/>
      <c r="D26" s="197"/>
      <c r="E26" s="185"/>
      <c r="F26" s="185"/>
      <c r="G26" s="185"/>
      <c r="H26" s="185"/>
      <c r="I26" s="187"/>
      <c r="J26" s="198"/>
    </row>
    <row r="28" spans="1:10" ht="28" customHeight="1" x14ac:dyDescent="0.35">
      <c r="C28" s="304" t="s">
        <v>189</v>
      </c>
      <c r="D28" s="304"/>
      <c r="E28" s="304"/>
      <c r="F28" s="304"/>
      <c r="G28" s="304"/>
      <c r="H28" s="304"/>
      <c r="I28" s="304"/>
      <c r="J28" s="200">
        <f>SUM(J11:J26)</f>
        <v>76190</v>
      </c>
    </row>
    <row r="30" spans="1:10" x14ac:dyDescent="0.35">
      <c r="J30" s="179">
        <f>J28*12</f>
        <v>914280</v>
      </c>
    </row>
  </sheetData>
  <mergeCells count="5">
    <mergeCell ref="C28:I28"/>
    <mergeCell ref="A1:I1"/>
    <mergeCell ref="A2:I2"/>
    <mergeCell ref="J11:J12"/>
    <mergeCell ref="J13:J14"/>
  </mergeCells>
  <pageMargins left="0.7" right="0.7" top="0.75" bottom="0.75" header="0.3" footer="0.3"/>
  <ignoredErrors>
    <ignoredError sqref="E16:E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3470-671D-4131-923A-96163B090DFE}">
  <dimension ref="A1:EP1131"/>
  <sheetViews>
    <sheetView topLeftCell="A3" zoomScaleNormal="100" workbookViewId="0">
      <selection activeCell="E25" sqref="E25"/>
    </sheetView>
  </sheetViews>
  <sheetFormatPr defaultColWidth="10" defaultRowHeight="13" x14ac:dyDescent="0.3"/>
  <cols>
    <col min="1" max="1" width="2.7265625" style="73" customWidth="1"/>
    <col min="2" max="2" width="18.1796875" style="108" customWidth="1"/>
    <col min="3" max="3" width="42.453125" style="109" customWidth="1"/>
    <col min="4" max="4" width="14.7265625" style="78" customWidth="1"/>
    <col min="5" max="5" width="17.453125" style="78" customWidth="1"/>
    <col min="6" max="6" width="12.90625" style="110" customWidth="1"/>
    <col min="7" max="7" width="19.453125" style="110" customWidth="1"/>
    <col min="8" max="8" width="10" style="73"/>
    <col min="9" max="9" width="10.7265625" style="73" bestFit="1" customWidth="1"/>
    <col min="10" max="10" width="9.453125" style="73" bestFit="1" customWidth="1"/>
    <col min="11" max="12" width="11.54296875" style="73" bestFit="1" customWidth="1"/>
    <col min="13" max="13" width="14.26953125" style="73" bestFit="1" customWidth="1"/>
    <col min="14" max="146" width="10" style="73"/>
    <col min="147" max="16384" width="10" style="78"/>
  </cols>
  <sheetData>
    <row r="1" spans="1:146" s="67" customFormat="1" x14ac:dyDescent="0.3">
      <c r="B1" s="68"/>
      <c r="C1" s="69"/>
      <c r="F1" s="70"/>
      <c r="G1" s="70"/>
    </row>
    <row r="2" spans="1:146" s="67" customFormat="1" x14ac:dyDescent="0.3">
      <c r="B2" s="68"/>
      <c r="C2" s="69"/>
      <c r="D2" s="68"/>
      <c r="E2" s="68"/>
      <c r="F2" s="70"/>
      <c r="G2" s="70"/>
    </row>
    <row r="3" spans="1:146" s="72" customFormat="1" ht="16.5" customHeight="1" x14ac:dyDescent="0.3">
      <c r="A3" s="67"/>
      <c r="B3" s="310" t="s">
        <v>43</v>
      </c>
      <c r="C3" s="311"/>
      <c r="D3" s="311"/>
      <c r="E3" s="311"/>
      <c r="F3" s="311"/>
      <c r="G3" s="311"/>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row>
    <row r="4" spans="1:146" x14ac:dyDescent="0.3">
      <c r="B4" s="74"/>
      <c r="C4" s="75" t="s">
        <v>44</v>
      </c>
      <c r="D4" s="76" t="s">
        <v>45</v>
      </c>
      <c r="E4" s="76" t="s">
        <v>46</v>
      </c>
      <c r="F4" s="76" t="s">
        <v>47</v>
      </c>
      <c r="G4" s="77" t="s">
        <v>46</v>
      </c>
    </row>
    <row r="5" spans="1:146" x14ac:dyDescent="0.3">
      <c r="B5" s="117" t="s">
        <v>48</v>
      </c>
      <c r="C5" s="79" t="s">
        <v>49</v>
      </c>
      <c r="D5" s="80">
        <v>1</v>
      </c>
      <c r="E5" s="81">
        <v>120</v>
      </c>
      <c r="F5" s="82"/>
      <c r="G5" s="83">
        <f t="shared" ref="G5:G8" si="0">(E5-(E5*F5%))</f>
        <v>120</v>
      </c>
    </row>
    <row r="6" spans="1:146" x14ac:dyDescent="0.3">
      <c r="B6" s="117" t="s">
        <v>48</v>
      </c>
      <c r="C6" s="79" t="s">
        <v>50</v>
      </c>
      <c r="D6" s="84">
        <v>1</v>
      </c>
      <c r="E6" s="81">
        <v>120</v>
      </c>
      <c r="F6" s="82"/>
      <c r="G6" s="83">
        <f t="shared" si="0"/>
        <v>120</v>
      </c>
    </row>
    <row r="7" spans="1:146" x14ac:dyDescent="0.3">
      <c r="B7" s="117" t="s">
        <v>48</v>
      </c>
      <c r="C7" s="79" t="s">
        <v>184</v>
      </c>
      <c r="D7" s="84">
        <v>1</v>
      </c>
      <c r="E7" s="81">
        <v>3</v>
      </c>
      <c r="F7" s="82"/>
      <c r="G7" s="83">
        <f t="shared" si="0"/>
        <v>3</v>
      </c>
    </row>
    <row r="8" spans="1:146" x14ac:dyDescent="0.3">
      <c r="B8" s="117" t="s">
        <v>48</v>
      </c>
      <c r="C8" s="79" t="s">
        <v>185</v>
      </c>
      <c r="D8" s="84">
        <v>1</v>
      </c>
      <c r="E8" s="81">
        <v>4</v>
      </c>
      <c r="F8" s="82"/>
      <c r="G8" s="83">
        <f t="shared" si="0"/>
        <v>4</v>
      </c>
    </row>
    <row r="9" spans="1:146" x14ac:dyDescent="0.3">
      <c r="B9" s="118" t="s">
        <v>51</v>
      </c>
      <c r="C9" s="85" t="s">
        <v>52</v>
      </c>
      <c r="D9" s="86" t="s">
        <v>45</v>
      </c>
      <c r="E9" s="76" t="s">
        <v>46</v>
      </c>
      <c r="F9" s="82"/>
      <c r="G9" s="87" t="s">
        <v>46</v>
      </c>
    </row>
    <row r="10" spans="1:146" x14ac:dyDescent="0.3">
      <c r="B10" s="119" t="s">
        <v>23</v>
      </c>
      <c r="C10" s="89" t="s">
        <v>23</v>
      </c>
      <c r="D10" s="80">
        <v>1</v>
      </c>
      <c r="E10" s="88">
        <v>1000</v>
      </c>
      <c r="F10" s="82"/>
      <c r="G10" s="83">
        <f t="shared" ref="G10:G11" si="1">(E10-(E10*F10%))</f>
        <v>1000</v>
      </c>
    </row>
    <row r="11" spans="1:146" x14ac:dyDescent="0.3">
      <c r="B11" s="192"/>
      <c r="C11" s="89" t="s">
        <v>182</v>
      </c>
      <c r="D11" s="193">
        <v>1</v>
      </c>
      <c r="E11" s="88">
        <v>2305</v>
      </c>
      <c r="F11" s="82"/>
      <c r="G11" s="83">
        <f t="shared" si="1"/>
        <v>2305</v>
      </c>
    </row>
    <row r="12" spans="1:146" x14ac:dyDescent="0.3">
      <c r="B12" s="118" t="s">
        <v>51</v>
      </c>
      <c r="C12" s="85" t="s">
        <v>53</v>
      </c>
      <c r="D12" s="86" t="s">
        <v>45</v>
      </c>
      <c r="E12" s="76" t="s">
        <v>46</v>
      </c>
      <c r="F12" s="82"/>
      <c r="G12" s="87" t="s">
        <v>46</v>
      </c>
    </row>
    <row r="13" spans="1:146" x14ac:dyDescent="0.3">
      <c r="B13" s="90" t="s">
        <v>54</v>
      </c>
      <c r="C13" s="91" t="s">
        <v>70</v>
      </c>
      <c r="D13" s="80">
        <v>1</v>
      </c>
      <c r="E13" s="81">
        <v>15000</v>
      </c>
      <c r="F13" s="82"/>
      <c r="G13" s="83">
        <f t="shared" ref="G13" si="2">(E13-(E13*F13%))</f>
        <v>15000</v>
      </c>
    </row>
    <row r="14" spans="1:146" x14ac:dyDescent="0.3">
      <c r="A14" s="78"/>
      <c r="B14" s="118" t="s">
        <v>51</v>
      </c>
      <c r="C14" s="85" t="s">
        <v>55</v>
      </c>
      <c r="D14" s="86" t="s">
        <v>45</v>
      </c>
      <c r="E14" s="76" t="s">
        <v>46</v>
      </c>
      <c r="F14" s="82"/>
      <c r="G14" s="87" t="s">
        <v>46</v>
      </c>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78"/>
      <c r="EO14" s="78"/>
      <c r="EP14" s="78"/>
    </row>
    <row r="15" spans="1:146" x14ac:dyDescent="0.3">
      <c r="A15" s="78"/>
      <c r="B15" s="90" t="s">
        <v>54</v>
      </c>
      <c r="C15" s="91" t="s">
        <v>56</v>
      </c>
      <c r="D15" s="93">
        <v>1</v>
      </c>
      <c r="E15" s="81">
        <v>800</v>
      </c>
      <c r="F15" s="82"/>
      <c r="G15" s="83">
        <f>(E15-(E15*F15%))</f>
        <v>800</v>
      </c>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row>
    <row r="16" spans="1:146" x14ac:dyDescent="0.3">
      <c r="A16" s="78"/>
      <c r="B16" s="90" t="s">
        <v>54</v>
      </c>
      <c r="C16" s="91" t="s">
        <v>57</v>
      </c>
      <c r="D16" s="80">
        <v>1</v>
      </c>
      <c r="E16" s="81">
        <v>1500</v>
      </c>
      <c r="F16" s="82"/>
      <c r="G16" s="83">
        <f>(E16-(E16*F16%))</f>
        <v>1500</v>
      </c>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row>
    <row r="17" spans="1:146" x14ac:dyDescent="0.3">
      <c r="A17" s="78"/>
      <c r="B17" s="90" t="s">
        <v>54</v>
      </c>
      <c r="C17" s="91" t="s">
        <v>58</v>
      </c>
      <c r="D17" s="80">
        <v>1</v>
      </c>
      <c r="E17" s="81">
        <v>3000</v>
      </c>
      <c r="F17" s="82"/>
      <c r="G17" s="83">
        <f>(E17-(E17*F17%))</f>
        <v>3000</v>
      </c>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row>
    <row r="18" spans="1:146" x14ac:dyDescent="0.3">
      <c r="A18" s="78"/>
      <c r="B18" s="118" t="s">
        <v>59</v>
      </c>
      <c r="C18" s="85" t="s">
        <v>60</v>
      </c>
      <c r="D18" s="86" t="s">
        <v>45</v>
      </c>
      <c r="E18" s="76" t="s">
        <v>46</v>
      </c>
      <c r="F18" s="82"/>
      <c r="G18" s="87" t="s">
        <v>46</v>
      </c>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row>
    <row r="19" spans="1:146" x14ac:dyDescent="0.3">
      <c r="A19" s="78"/>
      <c r="B19" s="94" t="s">
        <v>54</v>
      </c>
      <c r="C19" s="92" t="s">
        <v>61</v>
      </c>
      <c r="D19" s="80">
        <v>1</v>
      </c>
      <c r="E19" s="81">
        <v>1500</v>
      </c>
      <c r="F19" s="82"/>
      <c r="G19" s="83">
        <f t="shared" ref="G19:G24" si="3">(E19-(E19*F19%))</f>
        <v>1500</v>
      </c>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8"/>
      <c r="CP19" s="78"/>
      <c r="CQ19" s="78"/>
      <c r="CR19" s="78"/>
      <c r="CS19" s="78"/>
      <c r="CT19" s="78"/>
      <c r="CU19" s="78"/>
      <c r="CV19" s="78"/>
      <c r="CW19" s="78"/>
      <c r="CX19" s="78"/>
      <c r="CY19" s="78"/>
      <c r="CZ19" s="78"/>
      <c r="DA19" s="78"/>
      <c r="DB19" s="78"/>
      <c r="DC19" s="78"/>
      <c r="DD19" s="78"/>
      <c r="DE19" s="78"/>
      <c r="DF19" s="78"/>
      <c r="DG19" s="78"/>
      <c r="DH19" s="78"/>
      <c r="DI19" s="78"/>
      <c r="DJ19" s="78"/>
      <c r="DK19" s="78"/>
      <c r="DL19" s="78"/>
      <c r="DM19" s="78"/>
      <c r="DN19" s="78"/>
      <c r="DO19" s="78"/>
      <c r="DP19" s="78"/>
      <c r="DQ19" s="78"/>
      <c r="DR19" s="78"/>
      <c r="DS19" s="78"/>
      <c r="DT19" s="78"/>
      <c r="DU19" s="78"/>
      <c r="DV19" s="78"/>
      <c r="DW19" s="78"/>
      <c r="DX19" s="78"/>
      <c r="DY19" s="78"/>
      <c r="DZ19" s="78"/>
      <c r="EA19" s="78"/>
      <c r="EB19" s="78"/>
      <c r="EC19" s="78"/>
      <c r="ED19" s="78"/>
      <c r="EE19" s="78"/>
      <c r="EF19" s="78"/>
      <c r="EG19" s="78"/>
      <c r="EH19" s="78"/>
      <c r="EI19" s="78"/>
      <c r="EJ19" s="78"/>
      <c r="EK19" s="78"/>
      <c r="EL19" s="78"/>
      <c r="EM19" s="78"/>
      <c r="EN19" s="78"/>
      <c r="EO19" s="78"/>
      <c r="EP19" s="78"/>
    </row>
    <row r="20" spans="1:146" x14ac:dyDescent="0.3">
      <c r="A20" s="78"/>
      <c r="B20" s="94" t="s">
        <v>54</v>
      </c>
      <c r="C20" s="92" t="s">
        <v>67</v>
      </c>
      <c r="D20" s="80">
        <v>1</v>
      </c>
      <c r="E20" s="81">
        <v>1000</v>
      </c>
      <c r="F20" s="82"/>
      <c r="G20" s="83">
        <f t="shared" si="3"/>
        <v>1000</v>
      </c>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78"/>
      <c r="EO20" s="78"/>
      <c r="EP20" s="78"/>
    </row>
    <row r="21" spans="1:146" x14ac:dyDescent="0.3">
      <c r="A21" s="78"/>
      <c r="B21" s="94" t="s">
        <v>54</v>
      </c>
      <c r="C21" s="92" t="s">
        <v>62</v>
      </c>
      <c r="D21" s="80">
        <v>1</v>
      </c>
      <c r="E21" s="81">
        <v>1000</v>
      </c>
      <c r="F21" s="82"/>
      <c r="G21" s="83">
        <f t="shared" si="3"/>
        <v>1000</v>
      </c>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c r="EP21" s="78"/>
    </row>
    <row r="22" spans="1:146" x14ac:dyDescent="0.3">
      <c r="A22" s="78"/>
      <c r="B22" s="94" t="s">
        <v>54</v>
      </c>
      <c r="C22" s="92" t="s">
        <v>63</v>
      </c>
      <c r="D22" s="80">
        <v>1</v>
      </c>
      <c r="E22" s="81">
        <v>500</v>
      </c>
      <c r="F22" s="82"/>
      <c r="G22" s="83">
        <f t="shared" si="3"/>
        <v>500</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78"/>
      <c r="EO22" s="78"/>
      <c r="EP22" s="78"/>
    </row>
    <row r="23" spans="1:146" x14ac:dyDescent="0.3">
      <c r="A23" s="78"/>
      <c r="B23" s="94" t="s">
        <v>54</v>
      </c>
      <c r="C23" s="92" t="s">
        <v>64</v>
      </c>
      <c r="D23" s="80">
        <v>1</v>
      </c>
      <c r="E23" s="81">
        <v>1500</v>
      </c>
      <c r="F23" s="82"/>
      <c r="G23" s="83">
        <f t="shared" si="3"/>
        <v>1500</v>
      </c>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78"/>
      <c r="CF23" s="78"/>
      <c r="CG23" s="78"/>
      <c r="CH23" s="78"/>
      <c r="CI23" s="78"/>
      <c r="CJ23" s="78"/>
      <c r="CK23" s="78"/>
      <c r="CL23" s="78"/>
      <c r="CM23" s="78"/>
      <c r="CN23" s="78"/>
      <c r="CO23" s="78"/>
      <c r="CP23" s="78"/>
      <c r="CQ23" s="78"/>
      <c r="CR23" s="78"/>
      <c r="CS23" s="78"/>
      <c r="CT23" s="78"/>
      <c r="CU23" s="78"/>
      <c r="CV23" s="78"/>
      <c r="CW23" s="78"/>
      <c r="CX23" s="78"/>
      <c r="CY23" s="78"/>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78"/>
      <c r="EJ23" s="78"/>
      <c r="EK23" s="78"/>
      <c r="EL23" s="78"/>
      <c r="EM23" s="78"/>
      <c r="EN23" s="78"/>
      <c r="EO23" s="78"/>
      <c r="EP23" s="78"/>
    </row>
    <row r="24" spans="1:146" x14ac:dyDescent="0.3">
      <c r="A24" s="78"/>
      <c r="B24" s="94" t="s">
        <v>54</v>
      </c>
      <c r="C24" s="92" t="s">
        <v>65</v>
      </c>
      <c r="D24" s="80">
        <v>1</v>
      </c>
      <c r="E24" s="81">
        <v>9500</v>
      </c>
      <c r="F24" s="82"/>
      <c r="G24" s="83">
        <f t="shared" si="3"/>
        <v>9500</v>
      </c>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c r="CK24" s="78"/>
      <c r="CL24" s="78"/>
      <c r="CM24" s="78"/>
      <c r="CN24" s="78"/>
      <c r="CO24" s="78"/>
      <c r="CP24" s="78"/>
      <c r="CQ24" s="78"/>
      <c r="CR24" s="78"/>
      <c r="CS24" s="78"/>
      <c r="CT24" s="78"/>
      <c r="CU24" s="78"/>
      <c r="CV24" s="78"/>
      <c r="CW24" s="78"/>
      <c r="CX24" s="78"/>
      <c r="CY24" s="78"/>
      <c r="CZ24" s="78"/>
      <c r="DA24" s="78"/>
      <c r="DB24" s="78"/>
      <c r="DC24" s="78"/>
      <c r="DD24" s="78"/>
      <c r="DE24" s="78"/>
      <c r="DF24" s="78"/>
      <c r="DG24" s="78"/>
      <c r="DH24" s="78"/>
      <c r="DI24" s="78"/>
      <c r="DJ24" s="78"/>
      <c r="DK24" s="78"/>
      <c r="DL24" s="78"/>
      <c r="DM24" s="78"/>
      <c r="DN24" s="78"/>
      <c r="DO24" s="78"/>
      <c r="DP24" s="78"/>
      <c r="DQ24" s="78"/>
      <c r="DR24" s="78"/>
      <c r="DS24" s="78"/>
      <c r="DT24" s="78"/>
      <c r="DU24" s="78"/>
      <c r="DV24" s="78"/>
      <c r="DW24" s="78"/>
      <c r="DX24" s="78"/>
      <c r="DY24" s="78"/>
      <c r="DZ24" s="78"/>
      <c r="EA24" s="78"/>
      <c r="EB24" s="78"/>
      <c r="EC24" s="78"/>
      <c r="ED24" s="78"/>
      <c r="EE24" s="78"/>
      <c r="EF24" s="78"/>
      <c r="EG24" s="78"/>
      <c r="EH24" s="78"/>
      <c r="EI24" s="78"/>
      <c r="EJ24" s="78"/>
      <c r="EK24" s="78"/>
      <c r="EL24" s="78"/>
      <c r="EM24" s="78"/>
      <c r="EN24" s="78"/>
      <c r="EO24" s="78"/>
      <c r="EP24" s="78"/>
    </row>
    <row r="25" spans="1:146" s="73" customFormat="1" ht="14.5" x14ac:dyDescent="0.3">
      <c r="B25" s="94" t="s">
        <v>54</v>
      </c>
      <c r="C25" s="92" t="s">
        <v>66</v>
      </c>
      <c r="D25" s="80">
        <v>1</v>
      </c>
      <c r="E25" s="81">
        <v>1000</v>
      </c>
      <c r="F25" s="82"/>
      <c r="G25" s="95">
        <f>(E25-(E25*F25%))</f>
        <v>1000</v>
      </c>
      <c r="H25" s="40"/>
      <c r="K25" s="40"/>
      <c r="L25" s="40"/>
    </row>
    <row r="26" spans="1:146" s="73" customFormat="1" ht="14.5" x14ac:dyDescent="0.3">
      <c r="A26" s="27"/>
      <c r="B26" s="27"/>
      <c r="C26" s="27"/>
      <c r="D26" s="27"/>
      <c r="E26" s="27"/>
      <c r="F26" s="27"/>
      <c r="G26" s="27"/>
      <c r="H26" s="27"/>
    </row>
    <row r="27" spans="1:146" s="73" customFormat="1" ht="14.5" x14ac:dyDescent="0.3">
      <c r="A27" s="27"/>
      <c r="B27" s="27"/>
      <c r="C27" s="27"/>
      <c r="D27" s="27"/>
      <c r="E27" s="27"/>
      <c r="F27" s="27"/>
      <c r="G27" s="27"/>
      <c r="H27" s="27"/>
    </row>
    <row r="28" spans="1:146" s="73" customFormat="1" ht="14.5" x14ac:dyDescent="0.3">
      <c r="A28" s="27"/>
      <c r="B28" s="27"/>
      <c r="C28" s="27"/>
      <c r="D28" s="27"/>
      <c r="E28" s="27"/>
      <c r="F28" s="27"/>
      <c r="G28" s="27"/>
      <c r="H28" s="27"/>
    </row>
    <row r="29" spans="1:146" s="73" customFormat="1" ht="14.5" x14ac:dyDescent="0.3">
      <c r="A29" s="27"/>
      <c r="B29" s="27"/>
      <c r="C29" s="27"/>
      <c r="D29" s="27"/>
      <c r="E29" s="27"/>
      <c r="F29" s="27"/>
      <c r="G29" s="27"/>
      <c r="H29" s="27"/>
    </row>
    <row r="30" spans="1:146" s="73" customFormat="1" ht="14.5" x14ac:dyDescent="0.3">
      <c r="A30" s="27"/>
      <c r="B30" s="27"/>
      <c r="C30" s="27"/>
      <c r="D30" s="27"/>
      <c r="E30" s="27"/>
      <c r="F30" s="27"/>
      <c r="G30" s="27"/>
      <c r="H30" s="27"/>
    </row>
    <row r="31" spans="1:146" s="73" customFormat="1" ht="14.5" x14ac:dyDescent="0.3">
      <c r="A31" s="27"/>
      <c r="B31" s="27"/>
      <c r="C31" s="27"/>
      <c r="D31" s="27"/>
      <c r="E31" s="27"/>
      <c r="F31" s="27"/>
      <c r="G31" s="27"/>
      <c r="H31" s="27"/>
    </row>
    <row r="32" spans="1:146" s="73" customFormat="1" ht="14.5" x14ac:dyDescent="0.3">
      <c r="A32" s="27"/>
      <c r="B32" s="27"/>
      <c r="C32" s="27"/>
      <c r="D32" s="27"/>
      <c r="E32" s="27"/>
      <c r="F32" s="27"/>
      <c r="G32" s="27"/>
      <c r="H32" s="27"/>
      <c r="K32" s="40"/>
      <c r="L32" s="40"/>
    </row>
    <row r="33" spans="1:12" s="73" customFormat="1" ht="14.5" x14ac:dyDescent="0.3">
      <c r="A33" s="27"/>
      <c r="B33" s="27"/>
      <c r="C33" s="27"/>
      <c r="D33" s="27"/>
      <c r="E33" s="27"/>
      <c r="F33" s="27"/>
      <c r="G33" s="27"/>
      <c r="H33" s="27"/>
      <c r="K33" s="40"/>
      <c r="L33" s="40"/>
    </row>
    <row r="34" spans="1:12" s="73" customFormat="1" ht="14.5" x14ac:dyDescent="0.3">
      <c r="B34" s="27"/>
      <c r="C34" s="27"/>
      <c r="D34" s="27"/>
      <c r="E34" s="27"/>
      <c r="F34" s="27"/>
      <c r="G34" s="27"/>
      <c r="H34" s="27"/>
      <c r="K34" s="40"/>
      <c r="L34" s="40"/>
    </row>
    <row r="35" spans="1:12" s="73" customFormat="1" ht="14.5" x14ac:dyDescent="0.3">
      <c r="A35" s="97"/>
      <c r="B35" s="27"/>
      <c r="C35" s="27"/>
      <c r="D35" s="27"/>
      <c r="E35" s="27"/>
      <c r="F35" s="27"/>
      <c r="G35" s="27"/>
      <c r="H35" s="27"/>
      <c r="K35" s="40"/>
      <c r="L35" s="40"/>
    </row>
    <row r="36" spans="1:12" s="73" customFormat="1" ht="14.5" x14ac:dyDescent="0.3">
      <c r="A36" s="27"/>
      <c r="B36" s="27"/>
      <c r="G36" s="27"/>
      <c r="H36" s="27"/>
    </row>
    <row r="37" spans="1:12" s="73" customFormat="1" ht="14.5" x14ac:dyDescent="0.3">
      <c r="A37" s="27"/>
      <c r="B37" s="98"/>
      <c r="E37" s="96"/>
      <c r="F37" s="96"/>
      <c r="G37" s="71"/>
      <c r="H37" s="27"/>
    </row>
    <row r="38" spans="1:12" s="73" customFormat="1" ht="14.5" x14ac:dyDescent="0.3">
      <c r="A38" s="27"/>
      <c r="B38" s="99"/>
      <c r="C38" s="99"/>
      <c r="D38" s="99"/>
      <c r="E38" s="99"/>
      <c r="F38" s="27"/>
      <c r="G38" s="71"/>
      <c r="H38" s="27"/>
    </row>
    <row r="39" spans="1:12" s="73" customFormat="1" ht="14.5" x14ac:dyDescent="0.3">
      <c r="A39" s="27"/>
      <c r="B39" s="27"/>
      <c r="C39" s="27"/>
      <c r="D39" s="27"/>
      <c r="E39" s="27"/>
      <c r="F39" s="27"/>
      <c r="G39" s="27"/>
      <c r="H39" s="27"/>
    </row>
    <row r="40" spans="1:12" s="73" customFormat="1" ht="14.5" x14ac:dyDescent="0.3">
      <c r="A40" s="27"/>
      <c r="B40" s="27"/>
      <c r="C40" s="27"/>
      <c r="D40" s="27"/>
      <c r="E40" s="27"/>
      <c r="F40" s="27"/>
      <c r="G40" s="27"/>
      <c r="H40" s="27"/>
    </row>
    <row r="41" spans="1:12" s="73" customFormat="1" ht="14.5" x14ac:dyDescent="0.3">
      <c r="A41" s="27"/>
      <c r="B41" s="27"/>
      <c r="C41" s="27"/>
      <c r="D41" s="27"/>
      <c r="E41" s="27"/>
      <c r="F41" s="27"/>
      <c r="G41" s="27"/>
      <c r="H41" s="27"/>
    </row>
    <row r="42" spans="1:12" s="73" customFormat="1" ht="14.5" x14ac:dyDescent="0.3">
      <c r="A42" s="27"/>
      <c r="B42" s="27"/>
      <c r="C42" s="27"/>
      <c r="D42" s="27"/>
      <c r="E42" s="27"/>
      <c r="F42" s="27"/>
      <c r="G42" s="27"/>
      <c r="H42" s="27"/>
    </row>
    <row r="43" spans="1:12" s="73" customFormat="1" ht="14.5" x14ac:dyDescent="0.3">
      <c r="A43" s="27"/>
      <c r="B43" s="27"/>
      <c r="C43" s="27"/>
      <c r="D43" s="27"/>
      <c r="E43" s="27"/>
      <c r="F43" s="27"/>
      <c r="G43" s="27"/>
      <c r="H43" s="27"/>
    </row>
    <row r="44" spans="1:12" s="73" customFormat="1" ht="14.5" x14ac:dyDescent="0.3">
      <c r="A44" s="27"/>
      <c r="B44" s="27"/>
      <c r="C44" s="27"/>
      <c r="D44" s="27"/>
      <c r="E44" s="27"/>
      <c r="F44" s="27"/>
      <c r="G44" s="27"/>
      <c r="H44" s="27"/>
    </row>
    <row r="45" spans="1:12" s="73" customFormat="1" ht="14.5" x14ac:dyDescent="0.3">
      <c r="A45" s="27"/>
      <c r="B45" s="27"/>
      <c r="C45" s="27"/>
      <c r="D45" s="27"/>
      <c r="E45" s="27"/>
      <c r="F45" s="27"/>
      <c r="G45" s="27"/>
      <c r="H45" s="27"/>
    </row>
    <row r="46" spans="1:12" s="73" customFormat="1" ht="14.5" x14ac:dyDescent="0.3">
      <c r="A46" s="97"/>
      <c r="B46" s="27"/>
      <c r="C46" s="27"/>
      <c r="D46" s="27"/>
      <c r="E46" s="27"/>
      <c r="F46" s="27"/>
      <c r="G46" s="27"/>
      <c r="H46" s="27"/>
    </row>
    <row r="47" spans="1:12" s="73" customFormat="1" ht="14.5" x14ac:dyDescent="0.3">
      <c r="A47" s="97"/>
      <c r="B47" s="27"/>
      <c r="C47" s="27"/>
      <c r="D47" s="27"/>
      <c r="E47" s="27"/>
      <c r="F47" s="27"/>
      <c r="G47" s="27"/>
      <c r="H47" s="27"/>
    </row>
    <row r="48" spans="1:12" s="73" customFormat="1" ht="14.5" x14ac:dyDescent="0.3">
      <c r="A48" s="97"/>
      <c r="B48" s="98"/>
      <c r="E48" s="96"/>
      <c r="F48" s="96"/>
      <c r="H48" s="27"/>
    </row>
    <row r="49" spans="1:8" s="73" customFormat="1" ht="14.5" x14ac:dyDescent="0.3">
      <c r="A49" s="27"/>
      <c r="B49" s="98"/>
      <c r="E49" s="96"/>
      <c r="F49" s="96"/>
      <c r="G49" s="71"/>
      <c r="H49" s="27"/>
    </row>
    <row r="50" spans="1:8" s="73" customFormat="1" ht="14.5" x14ac:dyDescent="0.3">
      <c r="A50" s="100"/>
      <c r="B50" s="98"/>
      <c r="E50" s="96"/>
      <c r="F50" s="96"/>
      <c r="G50" s="71"/>
      <c r="H50" s="27"/>
    </row>
    <row r="51" spans="1:8" s="73" customFormat="1" ht="14.5" x14ac:dyDescent="0.3">
      <c r="A51" s="100"/>
      <c r="B51" s="27"/>
      <c r="C51" s="44"/>
      <c r="D51" s="44"/>
      <c r="E51" s="27"/>
      <c r="F51" s="96"/>
      <c r="G51" s="71"/>
      <c r="H51" s="27"/>
    </row>
    <row r="52" spans="1:8" s="73" customFormat="1" ht="14.5" x14ac:dyDescent="0.3">
      <c r="A52" s="100"/>
      <c r="B52" s="101"/>
      <c r="C52" s="39"/>
      <c r="D52" s="102"/>
      <c r="E52" s="102"/>
      <c r="F52" s="96"/>
      <c r="G52" s="71"/>
      <c r="H52" s="27"/>
    </row>
    <row r="53" spans="1:8" s="73" customFormat="1" ht="14.5" x14ac:dyDescent="0.3">
      <c r="A53" s="100"/>
      <c r="B53" s="103"/>
      <c r="C53" s="39"/>
      <c r="D53" s="104"/>
      <c r="E53" s="102"/>
      <c r="F53" s="96"/>
      <c r="G53" s="71"/>
      <c r="H53" s="27"/>
    </row>
    <row r="54" spans="1:8" s="73" customFormat="1" ht="14.5" x14ac:dyDescent="0.3">
      <c r="A54" s="100"/>
      <c r="B54" s="103"/>
      <c r="C54" s="105"/>
      <c r="D54" s="104"/>
      <c r="E54" s="102"/>
      <c r="F54" s="96"/>
      <c r="G54" s="71"/>
      <c r="H54" s="27"/>
    </row>
    <row r="55" spans="1:8" s="73" customFormat="1" ht="14.5" x14ac:dyDescent="0.3">
      <c r="A55" s="27"/>
      <c r="B55" s="103"/>
      <c r="C55" s="105"/>
      <c r="D55" s="104"/>
      <c r="E55" s="102"/>
      <c r="F55" s="96"/>
      <c r="G55" s="71"/>
      <c r="H55" s="27"/>
    </row>
    <row r="56" spans="1:8" s="73" customFormat="1" ht="14.5" x14ac:dyDescent="0.3">
      <c r="A56" s="27"/>
      <c r="B56" s="103"/>
      <c r="C56" s="106"/>
      <c r="D56" s="104"/>
      <c r="E56" s="102"/>
      <c r="F56" s="96"/>
      <c r="G56" s="71"/>
      <c r="H56" s="27"/>
    </row>
    <row r="57" spans="1:8" s="73" customFormat="1" ht="14.5" x14ac:dyDescent="0.3">
      <c r="A57" s="27"/>
      <c r="B57" s="103"/>
      <c r="C57" s="106"/>
      <c r="D57" s="107"/>
      <c r="E57" s="107"/>
      <c r="F57" s="96"/>
      <c r="G57" s="71"/>
      <c r="H57" s="27"/>
    </row>
    <row r="58" spans="1:8" s="73" customFormat="1" ht="14.5" x14ac:dyDescent="0.3">
      <c r="A58" s="27"/>
      <c r="B58" s="103"/>
      <c r="C58" s="106"/>
      <c r="D58" s="104"/>
      <c r="E58" s="102"/>
      <c r="F58" s="96"/>
      <c r="G58" s="71"/>
      <c r="H58" s="27"/>
    </row>
    <row r="59" spans="1:8" s="73" customFormat="1" ht="14.5" x14ac:dyDescent="0.3">
      <c r="A59" s="27"/>
      <c r="B59" s="103"/>
      <c r="C59" s="106"/>
      <c r="D59" s="102"/>
      <c r="E59" s="102"/>
      <c r="F59" s="96"/>
      <c r="G59" s="71"/>
      <c r="H59" s="27"/>
    </row>
    <row r="60" spans="1:8" s="73" customFormat="1" ht="14.5" x14ac:dyDescent="0.3">
      <c r="A60" s="100"/>
      <c r="B60" s="103"/>
      <c r="C60" s="106"/>
      <c r="D60" s="102"/>
      <c r="E60" s="102"/>
      <c r="F60" s="96"/>
      <c r="G60" s="71"/>
      <c r="H60" s="27"/>
    </row>
    <row r="61" spans="1:8" s="73" customFormat="1" ht="14.5" x14ac:dyDescent="0.3">
      <c r="A61" s="100"/>
      <c r="B61" s="27"/>
      <c r="C61" s="44"/>
      <c r="D61" s="44"/>
      <c r="E61" s="27"/>
      <c r="F61" s="96"/>
      <c r="G61" s="71"/>
      <c r="H61" s="27"/>
    </row>
    <row r="62" spans="1:8" s="73" customFormat="1" ht="14.5" x14ac:dyDescent="0.3">
      <c r="A62" s="100"/>
      <c r="B62" s="103"/>
      <c r="C62" s="39"/>
      <c r="D62" s="102"/>
      <c r="E62" s="102"/>
      <c r="F62" s="96"/>
      <c r="G62" s="71"/>
      <c r="H62" s="27"/>
    </row>
    <row r="63" spans="1:8" s="73" customFormat="1" ht="14.5" x14ac:dyDescent="0.3">
      <c r="A63" s="100"/>
      <c r="B63" s="103"/>
      <c r="C63" s="39"/>
      <c r="D63" s="102"/>
      <c r="E63" s="102"/>
      <c r="F63" s="96"/>
      <c r="G63" s="71"/>
      <c r="H63" s="27"/>
    </row>
    <row r="64" spans="1:8" s="73" customFormat="1" ht="14.5" x14ac:dyDescent="0.3">
      <c r="A64" s="100"/>
      <c r="B64" s="103"/>
      <c r="C64" s="105"/>
      <c r="D64" s="102"/>
      <c r="E64" s="102"/>
      <c r="F64" s="96"/>
      <c r="G64" s="71"/>
      <c r="H64" s="27"/>
    </row>
    <row r="65" spans="1:8" s="73" customFormat="1" ht="14.5" x14ac:dyDescent="0.3">
      <c r="A65" s="100"/>
      <c r="B65" s="103"/>
      <c r="C65" s="105"/>
      <c r="D65" s="102"/>
      <c r="E65" s="102"/>
      <c r="F65" s="96"/>
      <c r="G65" s="71"/>
      <c r="H65" s="27"/>
    </row>
    <row r="66" spans="1:8" s="73" customFormat="1" ht="14.5" x14ac:dyDescent="0.3">
      <c r="A66" s="27"/>
      <c r="B66" s="103"/>
      <c r="C66" s="106"/>
      <c r="D66" s="102"/>
      <c r="E66" s="102"/>
      <c r="F66" s="96"/>
      <c r="G66" s="71"/>
      <c r="H66" s="27"/>
    </row>
    <row r="67" spans="1:8" s="73" customFormat="1" ht="14.5" x14ac:dyDescent="0.3">
      <c r="A67" s="97"/>
      <c r="B67" s="103"/>
      <c r="C67" s="106"/>
      <c r="D67" s="102"/>
      <c r="E67" s="102"/>
      <c r="F67" s="96"/>
      <c r="G67" s="71"/>
      <c r="H67" s="27"/>
    </row>
    <row r="68" spans="1:8" s="73" customFormat="1" ht="14.5" x14ac:dyDescent="0.3">
      <c r="A68" s="97"/>
      <c r="B68" s="103"/>
      <c r="C68" s="106"/>
      <c r="D68" s="102"/>
      <c r="E68" s="102"/>
      <c r="F68" s="96"/>
      <c r="G68" s="71"/>
      <c r="H68" s="27"/>
    </row>
    <row r="69" spans="1:8" s="73" customFormat="1" ht="14.5" x14ac:dyDescent="0.3">
      <c r="A69" s="97"/>
      <c r="B69" s="98"/>
      <c r="E69" s="102"/>
      <c r="F69" s="96"/>
      <c r="G69" s="71"/>
      <c r="H69" s="27"/>
    </row>
    <row r="70" spans="1:8" s="73" customFormat="1" ht="14.5" x14ac:dyDescent="0.3">
      <c r="A70" s="97"/>
      <c r="B70" s="98"/>
      <c r="E70" s="96"/>
      <c r="F70" s="96"/>
      <c r="G70" s="71"/>
      <c r="H70" s="27"/>
    </row>
    <row r="71" spans="1:8" s="73" customFormat="1" ht="14.5" x14ac:dyDescent="0.3">
      <c r="A71" s="97"/>
      <c r="B71" s="98"/>
      <c r="E71" s="96"/>
      <c r="F71" s="96"/>
      <c r="G71" s="71"/>
      <c r="H71" s="27"/>
    </row>
    <row r="72" spans="1:8" s="73" customFormat="1" ht="14.5" x14ac:dyDescent="0.3">
      <c r="B72" s="98"/>
      <c r="E72" s="96"/>
      <c r="F72" s="96"/>
      <c r="G72" s="71"/>
      <c r="H72" s="27"/>
    </row>
    <row r="73" spans="1:8" s="73" customFormat="1" ht="14.5" x14ac:dyDescent="0.3">
      <c r="B73" s="98"/>
      <c r="E73" s="96"/>
      <c r="F73" s="96"/>
      <c r="G73" s="71"/>
      <c r="H73" s="27"/>
    </row>
    <row r="74" spans="1:8" s="73" customFormat="1" ht="14.5" x14ac:dyDescent="0.3">
      <c r="B74" s="97"/>
      <c r="C74" s="98"/>
      <c r="F74" s="96"/>
      <c r="G74" s="96"/>
      <c r="H74" s="27"/>
    </row>
    <row r="75" spans="1:8" s="73" customFormat="1" ht="14.5" x14ac:dyDescent="0.3">
      <c r="B75" s="97"/>
      <c r="C75" s="98"/>
      <c r="F75" s="96"/>
      <c r="G75" s="96"/>
      <c r="H75" s="27"/>
    </row>
    <row r="76" spans="1:8" s="73" customFormat="1" ht="14.5" x14ac:dyDescent="0.3">
      <c r="B76" s="97"/>
      <c r="C76" s="98"/>
      <c r="F76" s="96"/>
      <c r="G76" s="96"/>
      <c r="H76" s="27"/>
    </row>
    <row r="77" spans="1:8" s="73" customFormat="1" ht="14.5" x14ac:dyDescent="0.3">
      <c r="B77" s="97"/>
      <c r="C77" s="98"/>
      <c r="F77" s="96"/>
      <c r="G77" s="96"/>
      <c r="H77" s="27"/>
    </row>
    <row r="78" spans="1:8" s="73" customFormat="1" ht="14.5" x14ac:dyDescent="0.3">
      <c r="B78" s="97"/>
      <c r="C78" s="98"/>
      <c r="F78" s="96"/>
      <c r="G78" s="96"/>
      <c r="H78" s="27"/>
    </row>
    <row r="79" spans="1:8" s="73" customFormat="1" ht="14.5" x14ac:dyDescent="0.3">
      <c r="B79" s="97"/>
      <c r="C79" s="98"/>
      <c r="F79" s="96"/>
      <c r="G79" s="96"/>
      <c r="H79" s="27"/>
    </row>
    <row r="80" spans="1:8" s="73" customFormat="1" ht="14.5" x14ac:dyDescent="0.3">
      <c r="B80" s="97"/>
      <c r="C80" s="98"/>
      <c r="F80" s="96"/>
      <c r="G80" s="96"/>
      <c r="H80" s="27"/>
    </row>
    <row r="81" spans="2:8" s="73" customFormat="1" ht="14.5" x14ac:dyDescent="0.3">
      <c r="B81" s="97"/>
      <c r="C81" s="98"/>
      <c r="F81" s="96"/>
      <c r="G81" s="96"/>
      <c r="H81" s="27"/>
    </row>
    <row r="82" spans="2:8" s="73" customFormat="1" ht="14.5" x14ac:dyDescent="0.3">
      <c r="B82" s="97"/>
      <c r="C82" s="98"/>
      <c r="F82" s="96"/>
      <c r="G82" s="96"/>
      <c r="H82" s="27"/>
    </row>
    <row r="83" spans="2:8" s="73" customFormat="1" ht="14.5" x14ac:dyDescent="0.3">
      <c r="B83" s="97"/>
      <c r="C83" s="98"/>
      <c r="F83" s="96"/>
      <c r="G83" s="96"/>
      <c r="H83" s="27"/>
    </row>
    <row r="84" spans="2:8" s="73" customFormat="1" ht="14.5" x14ac:dyDescent="0.3">
      <c r="B84" s="97"/>
      <c r="C84" s="98"/>
      <c r="F84" s="96"/>
      <c r="G84" s="96"/>
      <c r="H84" s="27"/>
    </row>
    <row r="85" spans="2:8" s="73" customFormat="1" ht="14.5" x14ac:dyDescent="0.3">
      <c r="B85" s="97"/>
      <c r="C85" s="98"/>
      <c r="F85" s="96"/>
      <c r="G85" s="96"/>
      <c r="H85" s="27"/>
    </row>
    <row r="86" spans="2:8" s="73" customFormat="1" ht="14.5" x14ac:dyDescent="0.3">
      <c r="B86" s="97"/>
      <c r="C86" s="98"/>
      <c r="F86" s="96"/>
      <c r="G86" s="96"/>
      <c r="H86" s="27"/>
    </row>
    <row r="87" spans="2:8" s="73" customFormat="1" ht="14.5" x14ac:dyDescent="0.3">
      <c r="B87" s="97"/>
      <c r="C87" s="98"/>
      <c r="F87" s="96"/>
      <c r="G87" s="96"/>
      <c r="H87" s="27"/>
    </row>
    <row r="88" spans="2:8" s="73" customFormat="1" ht="14.5" x14ac:dyDescent="0.3">
      <c r="B88" s="97"/>
      <c r="C88" s="98"/>
      <c r="F88" s="96"/>
      <c r="G88" s="96"/>
      <c r="H88" s="27"/>
    </row>
    <row r="89" spans="2:8" s="73" customFormat="1" ht="14.5" x14ac:dyDescent="0.3">
      <c r="B89" s="97"/>
      <c r="C89" s="98"/>
      <c r="F89" s="96"/>
      <c r="G89" s="96"/>
      <c r="H89" s="27"/>
    </row>
    <row r="90" spans="2:8" s="73" customFormat="1" ht="14.5" x14ac:dyDescent="0.3">
      <c r="B90" s="97"/>
      <c r="C90" s="98"/>
      <c r="F90" s="96"/>
      <c r="G90" s="96"/>
      <c r="H90" s="27"/>
    </row>
    <row r="91" spans="2:8" s="73" customFormat="1" ht="14.5" x14ac:dyDescent="0.3">
      <c r="B91" s="97"/>
      <c r="C91" s="98"/>
      <c r="F91" s="96"/>
      <c r="G91" s="96"/>
      <c r="H91" s="27"/>
    </row>
    <row r="92" spans="2:8" s="73" customFormat="1" ht="14.5" x14ac:dyDescent="0.3">
      <c r="B92" s="97"/>
      <c r="C92" s="98"/>
      <c r="F92" s="96"/>
      <c r="G92" s="96"/>
      <c r="H92" s="27"/>
    </row>
    <row r="93" spans="2:8" s="73" customFormat="1" ht="14.5" x14ac:dyDescent="0.3">
      <c r="B93" s="97"/>
      <c r="C93" s="98"/>
      <c r="F93" s="96"/>
      <c r="G93" s="96"/>
      <c r="H93" s="27"/>
    </row>
    <row r="94" spans="2:8" s="73" customFormat="1" ht="14.5" x14ac:dyDescent="0.3">
      <c r="B94" s="97"/>
      <c r="C94" s="98"/>
      <c r="F94" s="96"/>
      <c r="G94" s="96"/>
      <c r="H94" s="27"/>
    </row>
    <row r="95" spans="2:8" s="73" customFormat="1" ht="14.5" x14ac:dyDescent="0.3">
      <c r="B95" s="97"/>
      <c r="C95" s="98"/>
      <c r="F95" s="96"/>
      <c r="G95" s="96"/>
      <c r="H95" s="27"/>
    </row>
    <row r="96" spans="2:8" s="73" customFormat="1" ht="14.5" x14ac:dyDescent="0.3">
      <c r="B96" s="97"/>
      <c r="C96" s="98"/>
      <c r="F96" s="96"/>
      <c r="G96" s="96"/>
      <c r="H96" s="27"/>
    </row>
    <row r="97" spans="2:8" s="73" customFormat="1" ht="14.5" x14ac:dyDescent="0.3">
      <c r="B97" s="97"/>
      <c r="C97" s="98"/>
      <c r="F97" s="96"/>
      <c r="G97" s="96"/>
      <c r="H97" s="27"/>
    </row>
    <row r="98" spans="2:8" s="73" customFormat="1" ht="14.5" x14ac:dyDescent="0.3">
      <c r="B98" s="97"/>
      <c r="C98" s="98"/>
      <c r="F98" s="96"/>
      <c r="G98" s="96"/>
      <c r="H98" s="27"/>
    </row>
    <row r="99" spans="2:8" s="73" customFormat="1" ht="14.5" x14ac:dyDescent="0.3">
      <c r="B99" s="97"/>
      <c r="C99" s="98"/>
      <c r="F99" s="96"/>
      <c r="G99" s="96"/>
      <c r="H99" s="27"/>
    </row>
    <row r="100" spans="2:8" s="73" customFormat="1" ht="14.5" x14ac:dyDescent="0.3">
      <c r="B100" s="97"/>
      <c r="C100" s="98"/>
      <c r="F100" s="96"/>
      <c r="G100" s="96"/>
      <c r="H100" s="27"/>
    </row>
    <row r="101" spans="2:8" s="73" customFormat="1" ht="14.5" x14ac:dyDescent="0.3">
      <c r="B101" s="97"/>
      <c r="C101" s="98"/>
      <c r="F101" s="96"/>
      <c r="G101" s="96"/>
      <c r="H101" s="27"/>
    </row>
    <row r="102" spans="2:8" s="73" customFormat="1" ht="14.5" x14ac:dyDescent="0.3">
      <c r="B102" s="97"/>
      <c r="C102" s="98"/>
      <c r="F102" s="96"/>
      <c r="G102" s="96"/>
      <c r="H102" s="27"/>
    </row>
    <row r="103" spans="2:8" s="73" customFormat="1" ht="14.5" x14ac:dyDescent="0.3">
      <c r="B103" s="97"/>
      <c r="C103" s="98"/>
      <c r="F103" s="96"/>
      <c r="G103" s="96"/>
      <c r="H103" s="27"/>
    </row>
    <row r="104" spans="2:8" s="73" customFormat="1" ht="14.5" x14ac:dyDescent="0.3">
      <c r="B104" s="97"/>
      <c r="C104" s="98"/>
      <c r="F104" s="96"/>
      <c r="G104" s="96"/>
      <c r="H104" s="27"/>
    </row>
    <row r="105" spans="2:8" s="73" customFormat="1" ht="14.5" x14ac:dyDescent="0.3">
      <c r="B105" s="97"/>
      <c r="C105" s="98"/>
      <c r="F105" s="96"/>
      <c r="G105" s="96"/>
      <c r="H105" s="27"/>
    </row>
    <row r="106" spans="2:8" s="73" customFormat="1" ht="14.5" x14ac:dyDescent="0.3">
      <c r="B106" s="97"/>
      <c r="C106" s="98"/>
      <c r="F106" s="96"/>
      <c r="G106" s="96"/>
      <c r="H106" s="27"/>
    </row>
    <row r="107" spans="2:8" s="73" customFormat="1" ht="14.5" x14ac:dyDescent="0.3">
      <c r="B107" s="97"/>
      <c r="C107" s="98"/>
      <c r="F107" s="96"/>
      <c r="G107" s="96"/>
      <c r="H107" s="27"/>
    </row>
    <row r="108" spans="2:8" s="73" customFormat="1" ht="14.5" x14ac:dyDescent="0.3">
      <c r="B108" s="97"/>
      <c r="C108" s="98"/>
      <c r="F108" s="96"/>
      <c r="G108" s="96"/>
      <c r="H108" s="27"/>
    </row>
    <row r="109" spans="2:8" s="73" customFormat="1" ht="14.5" x14ac:dyDescent="0.3">
      <c r="B109" s="97"/>
      <c r="C109" s="98"/>
      <c r="F109" s="96"/>
      <c r="G109" s="96"/>
      <c r="H109" s="27"/>
    </row>
    <row r="110" spans="2:8" s="73" customFormat="1" ht="14.5" x14ac:dyDescent="0.3">
      <c r="B110" s="97"/>
      <c r="C110" s="98"/>
      <c r="F110" s="96"/>
      <c r="G110" s="96"/>
      <c r="H110" s="27"/>
    </row>
    <row r="111" spans="2:8" s="73" customFormat="1" ht="14.5" x14ac:dyDescent="0.3">
      <c r="B111" s="97"/>
      <c r="C111" s="98"/>
      <c r="F111" s="96"/>
      <c r="G111" s="96"/>
      <c r="H111" s="27"/>
    </row>
    <row r="112" spans="2:8" s="73" customFormat="1" ht="14.5" x14ac:dyDescent="0.3">
      <c r="B112" s="97"/>
      <c r="C112" s="98"/>
      <c r="F112" s="96"/>
      <c r="G112" s="96"/>
      <c r="H112" s="27"/>
    </row>
    <row r="113" spans="2:8" s="73" customFormat="1" ht="14.5" x14ac:dyDescent="0.3">
      <c r="B113" s="97"/>
      <c r="C113" s="98"/>
      <c r="F113" s="96"/>
      <c r="G113" s="96"/>
      <c r="H113" s="27"/>
    </row>
    <row r="114" spans="2:8" s="73" customFormat="1" ht="14.5" x14ac:dyDescent="0.3">
      <c r="B114" s="97"/>
      <c r="C114" s="98"/>
      <c r="F114" s="96"/>
      <c r="G114" s="96"/>
      <c r="H114" s="27"/>
    </row>
    <row r="115" spans="2:8" s="73" customFormat="1" ht="14.5" x14ac:dyDescent="0.3">
      <c r="B115" s="97"/>
      <c r="C115" s="98"/>
      <c r="F115" s="96"/>
      <c r="G115" s="96"/>
      <c r="H115" s="27"/>
    </row>
    <row r="116" spans="2:8" s="73" customFormat="1" ht="14.5" x14ac:dyDescent="0.3">
      <c r="B116" s="97"/>
      <c r="C116" s="98"/>
      <c r="F116" s="96"/>
      <c r="G116" s="96"/>
      <c r="H116" s="27"/>
    </row>
    <row r="117" spans="2:8" s="73" customFormat="1" ht="14.5" x14ac:dyDescent="0.3">
      <c r="B117" s="97"/>
      <c r="C117" s="98"/>
      <c r="F117" s="96"/>
      <c r="G117" s="96"/>
      <c r="H117" s="27"/>
    </row>
    <row r="118" spans="2:8" s="73" customFormat="1" ht="14.5" x14ac:dyDescent="0.3">
      <c r="B118" s="97"/>
      <c r="C118" s="98"/>
      <c r="F118" s="96"/>
      <c r="G118" s="96"/>
      <c r="H118" s="27"/>
    </row>
    <row r="119" spans="2:8" s="73" customFormat="1" ht="14.5" x14ac:dyDescent="0.3">
      <c r="B119" s="97"/>
      <c r="C119" s="98"/>
      <c r="F119" s="96"/>
      <c r="G119" s="96"/>
      <c r="H119" s="27"/>
    </row>
    <row r="120" spans="2:8" s="73" customFormat="1" x14ac:dyDescent="0.3">
      <c r="B120" s="97"/>
      <c r="C120" s="98"/>
      <c r="F120" s="96"/>
      <c r="G120" s="96"/>
    </row>
    <row r="121" spans="2:8" s="73" customFormat="1" x14ac:dyDescent="0.3">
      <c r="B121" s="97"/>
      <c r="C121" s="98"/>
      <c r="F121" s="96"/>
      <c r="G121" s="96"/>
    </row>
    <row r="122" spans="2:8" s="73" customFormat="1" x14ac:dyDescent="0.3">
      <c r="B122" s="97"/>
      <c r="C122" s="98"/>
      <c r="F122" s="96"/>
      <c r="G122" s="96"/>
    </row>
    <row r="123" spans="2:8" s="73" customFormat="1" x14ac:dyDescent="0.3">
      <c r="B123" s="97"/>
      <c r="C123" s="98"/>
      <c r="F123" s="96"/>
      <c r="G123" s="96"/>
    </row>
    <row r="124" spans="2:8" s="73" customFormat="1" x14ac:dyDescent="0.3">
      <c r="B124" s="97"/>
      <c r="C124" s="98"/>
      <c r="F124" s="96"/>
      <c r="G124" s="96"/>
    </row>
    <row r="125" spans="2:8" s="73" customFormat="1" x14ac:dyDescent="0.3">
      <c r="B125" s="97"/>
      <c r="C125" s="98"/>
      <c r="F125" s="96"/>
      <c r="G125" s="96"/>
    </row>
    <row r="126" spans="2:8" s="73" customFormat="1" x14ac:dyDescent="0.3">
      <c r="B126" s="97"/>
      <c r="C126" s="98"/>
      <c r="F126" s="96"/>
      <c r="G126" s="96"/>
    </row>
    <row r="127" spans="2:8" s="73" customFormat="1" x14ac:dyDescent="0.3">
      <c r="B127" s="97"/>
      <c r="C127" s="98"/>
      <c r="F127" s="96"/>
      <c r="G127" s="96"/>
    </row>
    <row r="128" spans="2:8" s="73" customFormat="1" x14ac:dyDescent="0.3">
      <c r="B128" s="97"/>
      <c r="C128" s="98"/>
      <c r="F128" s="96"/>
      <c r="G128" s="96"/>
    </row>
    <row r="129" spans="2:7" s="73" customFormat="1" x14ac:dyDescent="0.3">
      <c r="B129" s="97"/>
      <c r="C129" s="98"/>
      <c r="F129" s="96"/>
      <c r="G129" s="96"/>
    </row>
    <row r="130" spans="2:7" s="73" customFormat="1" x14ac:dyDescent="0.3">
      <c r="B130" s="97"/>
      <c r="C130" s="98"/>
      <c r="F130" s="96"/>
      <c r="G130" s="96"/>
    </row>
    <row r="131" spans="2:7" s="73" customFormat="1" x14ac:dyDescent="0.3">
      <c r="B131" s="97"/>
      <c r="C131" s="98"/>
      <c r="F131" s="96"/>
      <c r="G131" s="96"/>
    </row>
    <row r="132" spans="2:7" s="73" customFormat="1" x14ac:dyDescent="0.3">
      <c r="B132" s="97"/>
      <c r="C132" s="98"/>
      <c r="F132" s="96"/>
      <c r="G132" s="96"/>
    </row>
    <row r="133" spans="2:7" s="73" customFormat="1" x14ac:dyDescent="0.3">
      <c r="B133" s="97"/>
      <c r="C133" s="98"/>
      <c r="F133" s="96"/>
      <c r="G133" s="96"/>
    </row>
    <row r="134" spans="2:7" s="73" customFormat="1" x14ac:dyDescent="0.3">
      <c r="B134" s="97"/>
      <c r="C134" s="98"/>
      <c r="F134" s="96"/>
      <c r="G134" s="96"/>
    </row>
    <row r="135" spans="2:7" s="73" customFormat="1" x14ac:dyDescent="0.3">
      <c r="B135" s="97"/>
      <c r="C135" s="98"/>
      <c r="F135" s="96"/>
      <c r="G135" s="96"/>
    </row>
    <row r="136" spans="2:7" s="73" customFormat="1" x14ac:dyDescent="0.3">
      <c r="B136" s="97"/>
      <c r="C136" s="98"/>
      <c r="F136" s="96"/>
      <c r="G136" s="96"/>
    </row>
    <row r="137" spans="2:7" s="73" customFormat="1" x14ac:dyDescent="0.3">
      <c r="B137" s="97"/>
      <c r="C137" s="98"/>
      <c r="F137" s="96"/>
      <c r="G137" s="96"/>
    </row>
    <row r="138" spans="2:7" s="73" customFormat="1" x14ac:dyDescent="0.3">
      <c r="B138" s="97"/>
      <c r="C138" s="98"/>
      <c r="F138" s="96"/>
      <c r="G138" s="96"/>
    </row>
    <row r="139" spans="2:7" s="73" customFormat="1" x14ac:dyDescent="0.3">
      <c r="B139" s="97"/>
      <c r="C139" s="98"/>
      <c r="F139" s="96"/>
      <c r="G139" s="96"/>
    </row>
    <row r="140" spans="2:7" s="73" customFormat="1" x14ac:dyDescent="0.3">
      <c r="B140" s="97"/>
      <c r="C140" s="98"/>
      <c r="F140" s="96"/>
      <c r="G140" s="96"/>
    </row>
    <row r="141" spans="2:7" s="73" customFormat="1" x14ac:dyDescent="0.3">
      <c r="B141" s="97"/>
      <c r="C141" s="98"/>
      <c r="F141" s="96"/>
      <c r="G141" s="96"/>
    </row>
    <row r="142" spans="2:7" s="73" customFormat="1" x14ac:dyDescent="0.3">
      <c r="B142" s="97"/>
      <c r="C142" s="98"/>
      <c r="F142" s="96"/>
      <c r="G142" s="96"/>
    </row>
    <row r="143" spans="2:7" s="73" customFormat="1" x14ac:dyDescent="0.3">
      <c r="B143" s="97"/>
      <c r="C143" s="98"/>
      <c r="F143" s="96"/>
      <c r="G143" s="96"/>
    </row>
    <row r="144" spans="2:7" s="73" customFormat="1" x14ac:dyDescent="0.3">
      <c r="B144" s="97"/>
      <c r="C144" s="98"/>
      <c r="F144" s="96"/>
      <c r="G144" s="96"/>
    </row>
    <row r="145" spans="2:7" s="73" customFormat="1" x14ac:dyDescent="0.3">
      <c r="B145" s="97"/>
      <c r="C145" s="98"/>
      <c r="F145" s="96"/>
      <c r="G145" s="96"/>
    </row>
    <row r="146" spans="2:7" s="73" customFormat="1" x14ac:dyDescent="0.3">
      <c r="B146" s="97"/>
      <c r="C146" s="98"/>
      <c r="F146" s="96"/>
      <c r="G146" s="96"/>
    </row>
    <row r="147" spans="2:7" s="73" customFormat="1" x14ac:dyDescent="0.3">
      <c r="B147" s="97"/>
      <c r="C147" s="98"/>
      <c r="F147" s="96"/>
      <c r="G147" s="96"/>
    </row>
    <row r="148" spans="2:7" s="73" customFormat="1" x14ac:dyDescent="0.3">
      <c r="B148" s="97"/>
      <c r="C148" s="98"/>
      <c r="F148" s="96"/>
      <c r="G148" s="96"/>
    </row>
    <row r="149" spans="2:7" s="73" customFormat="1" x14ac:dyDescent="0.3">
      <c r="B149" s="97"/>
      <c r="C149" s="98"/>
      <c r="F149" s="96"/>
      <c r="G149" s="96"/>
    </row>
    <row r="150" spans="2:7" s="73" customFormat="1" x14ac:dyDescent="0.3">
      <c r="B150" s="97"/>
      <c r="C150" s="98"/>
      <c r="F150" s="96"/>
      <c r="G150" s="96"/>
    </row>
    <row r="151" spans="2:7" s="73" customFormat="1" x14ac:dyDescent="0.3">
      <c r="B151" s="97"/>
      <c r="C151" s="98"/>
      <c r="F151" s="96"/>
      <c r="G151" s="96"/>
    </row>
    <row r="152" spans="2:7" s="73" customFormat="1" x14ac:dyDescent="0.3">
      <c r="B152" s="97"/>
      <c r="C152" s="98"/>
      <c r="F152" s="96"/>
      <c r="G152" s="96"/>
    </row>
    <row r="153" spans="2:7" s="73" customFormat="1" x14ac:dyDescent="0.3">
      <c r="B153" s="97"/>
      <c r="C153" s="98"/>
      <c r="F153" s="96"/>
      <c r="G153" s="96"/>
    </row>
    <row r="154" spans="2:7" s="73" customFormat="1" x14ac:dyDescent="0.3">
      <c r="B154" s="97"/>
      <c r="C154" s="98"/>
      <c r="F154" s="96"/>
      <c r="G154" s="96"/>
    </row>
    <row r="155" spans="2:7" s="73" customFormat="1" x14ac:dyDescent="0.3">
      <c r="B155" s="97"/>
      <c r="C155" s="98"/>
      <c r="F155" s="96"/>
      <c r="G155" s="96"/>
    </row>
    <row r="156" spans="2:7" s="73" customFormat="1" x14ac:dyDescent="0.3">
      <c r="B156" s="97"/>
      <c r="C156" s="98"/>
      <c r="F156" s="96"/>
      <c r="G156" s="96"/>
    </row>
    <row r="157" spans="2:7" s="73" customFormat="1" x14ac:dyDescent="0.3">
      <c r="B157" s="97"/>
      <c r="C157" s="98"/>
      <c r="F157" s="96"/>
      <c r="G157" s="96"/>
    </row>
    <row r="158" spans="2:7" s="73" customFormat="1" x14ac:dyDescent="0.3">
      <c r="B158" s="97"/>
      <c r="C158" s="98"/>
      <c r="F158" s="96"/>
      <c r="G158" s="96"/>
    </row>
    <row r="159" spans="2:7" s="73" customFormat="1" x14ac:dyDescent="0.3">
      <c r="B159" s="97"/>
      <c r="C159" s="98"/>
      <c r="F159" s="96"/>
      <c r="G159" s="96"/>
    </row>
    <row r="160" spans="2:7" s="73" customFormat="1" x14ac:dyDescent="0.3">
      <c r="B160" s="97"/>
      <c r="C160" s="98"/>
      <c r="F160" s="96"/>
      <c r="G160" s="96"/>
    </row>
    <row r="161" spans="2:7" s="73" customFormat="1" x14ac:dyDescent="0.3">
      <c r="B161" s="97"/>
      <c r="C161" s="98"/>
      <c r="F161" s="96"/>
      <c r="G161" s="96"/>
    </row>
    <row r="162" spans="2:7" s="73" customFormat="1" x14ac:dyDescent="0.3">
      <c r="B162" s="97"/>
      <c r="C162" s="98"/>
      <c r="F162" s="96"/>
      <c r="G162" s="96"/>
    </row>
    <row r="163" spans="2:7" s="73" customFormat="1" x14ac:dyDescent="0.3">
      <c r="B163" s="97"/>
      <c r="C163" s="98"/>
      <c r="F163" s="96"/>
      <c r="G163" s="96"/>
    </row>
    <row r="164" spans="2:7" s="73" customFormat="1" x14ac:dyDescent="0.3">
      <c r="B164" s="97"/>
      <c r="C164" s="98"/>
      <c r="F164" s="96"/>
      <c r="G164" s="96"/>
    </row>
    <row r="165" spans="2:7" s="73" customFormat="1" x14ac:dyDescent="0.3">
      <c r="B165" s="97"/>
      <c r="C165" s="98"/>
      <c r="F165" s="96"/>
      <c r="G165" s="96"/>
    </row>
    <row r="166" spans="2:7" s="73" customFormat="1" x14ac:dyDescent="0.3">
      <c r="B166" s="97"/>
      <c r="C166" s="98"/>
      <c r="F166" s="96"/>
      <c r="G166" s="96"/>
    </row>
    <row r="167" spans="2:7" s="73" customFormat="1" x14ac:dyDescent="0.3">
      <c r="B167" s="97"/>
      <c r="C167" s="98"/>
      <c r="F167" s="96"/>
      <c r="G167" s="96"/>
    </row>
    <row r="168" spans="2:7" s="73" customFormat="1" x14ac:dyDescent="0.3">
      <c r="B168" s="97"/>
      <c r="C168" s="98"/>
      <c r="F168" s="96"/>
      <c r="G168" s="96"/>
    </row>
    <row r="169" spans="2:7" s="73" customFormat="1" x14ac:dyDescent="0.3">
      <c r="B169" s="97"/>
      <c r="C169" s="98"/>
      <c r="F169" s="96"/>
      <c r="G169" s="96"/>
    </row>
    <row r="170" spans="2:7" s="73" customFormat="1" x14ac:dyDescent="0.3">
      <c r="B170" s="97"/>
      <c r="C170" s="98"/>
      <c r="F170" s="96"/>
      <c r="G170" s="96"/>
    </row>
    <row r="171" spans="2:7" s="73" customFormat="1" x14ac:dyDescent="0.3">
      <c r="B171" s="97"/>
      <c r="C171" s="98"/>
      <c r="F171" s="96"/>
      <c r="G171" s="96"/>
    </row>
    <row r="172" spans="2:7" s="73" customFormat="1" x14ac:dyDescent="0.3">
      <c r="B172" s="97"/>
      <c r="C172" s="98"/>
      <c r="F172" s="96"/>
      <c r="G172" s="96"/>
    </row>
    <row r="173" spans="2:7" s="73" customFormat="1" x14ac:dyDescent="0.3">
      <c r="B173" s="97"/>
      <c r="C173" s="98"/>
      <c r="F173" s="96"/>
      <c r="G173" s="96"/>
    </row>
    <row r="174" spans="2:7" s="73" customFormat="1" x14ac:dyDescent="0.3">
      <c r="B174" s="97"/>
      <c r="C174" s="98"/>
      <c r="F174" s="96"/>
      <c r="G174" s="96"/>
    </row>
    <row r="175" spans="2:7" s="73" customFormat="1" x14ac:dyDescent="0.3">
      <c r="B175" s="97"/>
      <c r="C175" s="98"/>
      <c r="F175" s="96"/>
      <c r="G175" s="96"/>
    </row>
    <row r="176" spans="2:7" s="73" customFormat="1" x14ac:dyDescent="0.3">
      <c r="B176" s="97"/>
      <c r="C176" s="98"/>
      <c r="F176" s="96"/>
      <c r="G176" s="96"/>
    </row>
    <row r="177" spans="2:7" s="73" customFormat="1" x14ac:dyDescent="0.3">
      <c r="B177" s="97"/>
      <c r="C177" s="98"/>
      <c r="F177" s="96"/>
      <c r="G177" s="96"/>
    </row>
    <row r="178" spans="2:7" s="73" customFormat="1" x14ac:dyDescent="0.3">
      <c r="B178" s="97"/>
      <c r="C178" s="98"/>
      <c r="F178" s="96"/>
      <c r="G178" s="96"/>
    </row>
    <row r="179" spans="2:7" s="73" customFormat="1" x14ac:dyDescent="0.3">
      <c r="B179" s="97"/>
      <c r="C179" s="98"/>
      <c r="F179" s="96"/>
      <c r="G179" s="96"/>
    </row>
    <row r="180" spans="2:7" s="73" customFormat="1" x14ac:dyDescent="0.3">
      <c r="B180" s="97"/>
      <c r="C180" s="98"/>
      <c r="F180" s="96"/>
      <c r="G180" s="96"/>
    </row>
    <row r="181" spans="2:7" s="73" customFormat="1" x14ac:dyDescent="0.3">
      <c r="B181" s="97"/>
      <c r="C181" s="98"/>
      <c r="F181" s="96"/>
      <c r="G181" s="96"/>
    </row>
    <row r="182" spans="2:7" s="73" customFormat="1" x14ac:dyDescent="0.3">
      <c r="B182" s="97"/>
      <c r="C182" s="98"/>
      <c r="F182" s="96"/>
      <c r="G182" s="96"/>
    </row>
    <row r="183" spans="2:7" s="73" customFormat="1" x14ac:dyDescent="0.3">
      <c r="B183" s="97"/>
      <c r="C183" s="98"/>
      <c r="F183" s="96"/>
      <c r="G183" s="96"/>
    </row>
    <row r="184" spans="2:7" s="73" customFormat="1" x14ac:dyDescent="0.3">
      <c r="B184" s="97"/>
      <c r="C184" s="98"/>
      <c r="F184" s="96"/>
      <c r="G184" s="96"/>
    </row>
    <row r="185" spans="2:7" s="73" customFormat="1" x14ac:dyDescent="0.3">
      <c r="B185" s="97"/>
      <c r="C185" s="98"/>
      <c r="F185" s="96"/>
      <c r="G185" s="96"/>
    </row>
    <row r="186" spans="2:7" s="73" customFormat="1" x14ac:dyDescent="0.3">
      <c r="B186" s="97"/>
      <c r="C186" s="98"/>
      <c r="F186" s="96"/>
      <c r="G186" s="96"/>
    </row>
    <row r="187" spans="2:7" s="73" customFormat="1" x14ac:dyDescent="0.3">
      <c r="B187" s="97"/>
      <c r="C187" s="98"/>
      <c r="F187" s="96"/>
      <c r="G187" s="96"/>
    </row>
    <row r="188" spans="2:7" s="73" customFormat="1" x14ac:dyDescent="0.3">
      <c r="B188" s="97"/>
      <c r="C188" s="98"/>
      <c r="F188" s="96"/>
      <c r="G188" s="96"/>
    </row>
    <row r="189" spans="2:7" s="73" customFormat="1" x14ac:dyDescent="0.3">
      <c r="B189" s="97"/>
      <c r="C189" s="98"/>
      <c r="F189" s="96"/>
      <c r="G189" s="96"/>
    </row>
    <row r="190" spans="2:7" s="73" customFormat="1" x14ac:dyDescent="0.3">
      <c r="B190" s="97"/>
      <c r="C190" s="98"/>
      <c r="F190" s="96"/>
      <c r="G190" s="96"/>
    </row>
    <row r="191" spans="2:7" s="73" customFormat="1" x14ac:dyDescent="0.3">
      <c r="B191" s="97"/>
      <c r="C191" s="98"/>
      <c r="F191" s="96"/>
      <c r="G191" s="96"/>
    </row>
    <row r="192" spans="2:7" s="73" customFormat="1" x14ac:dyDescent="0.3">
      <c r="B192" s="97"/>
      <c r="C192" s="98"/>
      <c r="F192" s="96"/>
      <c r="G192" s="96"/>
    </row>
    <row r="193" spans="2:7" s="73" customFormat="1" x14ac:dyDescent="0.3">
      <c r="B193" s="97"/>
      <c r="C193" s="98"/>
      <c r="F193" s="96"/>
      <c r="G193" s="96"/>
    </row>
    <row r="194" spans="2:7" s="73" customFormat="1" x14ac:dyDescent="0.3">
      <c r="B194" s="97"/>
      <c r="C194" s="98"/>
      <c r="F194" s="96"/>
      <c r="G194" s="96"/>
    </row>
    <row r="195" spans="2:7" s="73" customFormat="1" x14ac:dyDescent="0.3">
      <c r="B195" s="97"/>
      <c r="C195" s="98"/>
      <c r="F195" s="96"/>
      <c r="G195" s="96"/>
    </row>
    <row r="196" spans="2:7" s="73" customFormat="1" x14ac:dyDescent="0.3">
      <c r="B196" s="97"/>
      <c r="C196" s="98"/>
      <c r="F196" s="96"/>
      <c r="G196" s="96"/>
    </row>
    <row r="197" spans="2:7" s="73" customFormat="1" x14ac:dyDescent="0.3">
      <c r="B197" s="97"/>
      <c r="C197" s="98"/>
      <c r="F197" s="96"/>
      <c r="G197" s="96"/>
    </row>
    <row r="198" spans="2:7" s="73" customFormat="1" x14ac:dyDescent="0.3">
      <c r="B198" s="97"/>
      <c r="C198" s="98"/>
      <c r="F198" s="96"/>
      <c r="G198" s="96"/>
    </row>
    <row r="199" spans="2:7" s="73" customFormat="1" x14ac:dyDescent="0.3">
      <c r="B199" s="97"/>
      <c r="C199" s="98"/>
      <c r="F199" s="96"/>
      <c r="G199" s="96"/>
    </row>
    <row r="200" spans="2:7" s="73" customFormat="1" x14ac:dyDescent="0.3">
      <c r="B200" s="97"/>
      <c r="C200" s="98"/>
      <c r="F200" s="96"/>
      <c r="G200" s="96"/>
    </row>
    <row r="201" spans="2:7" s="73" customFormat="1" x14ac:dyDescent="0.3">
      <c r="B201" s="97"/>
      <c r="C201" s="98"/>
      <c r="F201" s="96"/>
      <c r="G201" s="96"/>
    </row>
    <row r="202" spans="2:7" s="73" customFormat="1" x14ac:dyDescent="0.3">
      <c r="B202" s="97"/>
      <c r="C202" s="98"/>
      <c r="F202" s="96"/>
      <c r="G202" s="96"/>
    </row>
    <row r="203" spans="2:7" s="73" customFormat="1" x14ac:dyDescent="0.3">
      <c r="B203" s="97"/>
      <c r="C203" s="98"/>
      <c r="F203" s="96"/>
      <c r="G203" s="96"/>
    </row>
    <row r="204" spans="2:7" s="73" customFormat="1" x14ac:dyDescent="0.3">
      <c r="B204" s="97"/>
      <c r="C204" s="98"/>
      <c r="F204" s="96"/>
      <c r="G204" s="96"/>
    </row>
    <row r="205" spans="2:7" s="73" customFormat="1" x14ac:dyDescent="0.3">
      <c r="B205" s="97"/>
      <c r="C205" s="98"/>
      <c r="F205" s="96"/>
      <c r="G205" s="96"/>
    </row>
    <row r="206" spans="2:7" s="73" customFormat="1" x14ac:dyDescent="0.3">
      <c r="B206" s="97"/>
      <c r="C206" s="98"/>
      <c r="F206" s="96"/>
      <c r="G206" s="96"/>
    </row>
    <row r="207" spans="2:7" s="73" customFormat="1" x14ac:dyDescent="0.3">
      <c r="B207" s="97"/>
      <c r="C207" s="98"/>
      <c r="F207" s="96"/>
      <c r="G207" s="96"/>
    </row>
    <row r="208" spans="2:7" s="73" customFormat="1" x14ac:dyDescent="0.3">
      <c r="B208" s="97"/>
      <c r="C208" s="98"/>
      <c r="F208" s="96"/>
      <c r="G208" s="96"/>
    </row>
    <row r="209" spans="2:7" s="73" customFormat="1" x14ac:dyDescent="0.3">
      <c r="B209" s="97"/>
      <c r="C209" s="98"/>
      <c r="F209" s="96"/>
      <c r="G209" s="96"/>
    </row>
    <row r="210" spans="2:7" s="73" customFormat="1" x14ac:dyDescent="0.3">
      <c r="B210" s="97"/>
      <c r="C210" s="98"/>
      <c r="F210" s="96"/>
      <c r="G210" s="96"/>
    </row>
    <row r="211" spans="2:7" s="73" customFormat="1" x14ac:dyDescent="0.3">
      <c r="B211" s="97"/>
      <c r="C211" s="98"/>
      <c r="F211" s="96"/>
      <c r="G211" s="96"/>
    </row>
    <row r="212" spans="2:7" s="73" customFormat="1" x14ac:dyDescent="0.3">
      <c r="B212" s="97"/>
      <c r="C212" s="98"/>
      <c r="F212" s="96"/>
      <c r="G212" s="96"/>
    </row>
    <row r="213" spans="2:7" s="73" customFormat="1" x14ac:dyDescent="0.3">
      <c r="B213" s="97"/>
      <c r="C213" s="98"/>
      <c r="F213" s="96"/>
      <c r="G213" s="96"/>
    </row>
    <row r="214" spans="2:7" s="73" customFormat="1" x14ac:dyDescent="0.3">
      <c r="B214" s="97"/>
      <c r="C214" s="98"/>
      <c r="F214" s="96"/>
      <c r="G214" s="96"/>
    </row>
    <row r="215" spans="2:7" s="73" customFormat="1" x14ac:dyDescent="0.3">
      <c r="B215" s="97"/>
      <c r="C215" s="98"/>
      <c r="F215" s="96"/>
      <c r="G215" s="96"/>
    </row>
    <row r="216" spans="2:7" s="73" customFormat="1" x14ac:dyDescent="0.3">
      <c r="B216" s="97"/>
      <c r="C216" s="98"/>
      <c r="F216" s="96"/>
      <c r="G216" s="96"/>
    </row>
    <row r="217" spans="2:7" s="73" customFormat="1" x14ac:dyDescent="0.3">
      <c r="B217" s="97"/>
      <c r="C217" s="98"/>
      <c r="F217" s="96"/>
      <c r="G217" s="96"/>
    </row>
    <row r="218" spans="2:7" s="73" customFormat="1" x14ac:dyDescent="0.3">
      <c r="B218" s="97"/>
      <c r="C218" s="98"/>
      <c r="F218" s="96"/>
      <c r="G218" s="96"/>
    </row>
    <row r="219" spans="2:7" s="73" customFormat="1" x14ac:dyDescent="0.3">
      <c r="B219" s="97"/>
      <c r="C219" s="98"/>
      <c r="F219" s="96"/>
      <c r="G219" s="96"/>
    </row>
    <row r="220" spans="2:7" s="73" customFormat="1" x14ac:dyDescent="0.3">
      <c r="B220" s="97"/>
      <c r="C220" s="98"/>
      <c r="F220" s="96"/>
      <c r="G220" s="96"/>
    </row>
    <row r="221" spans="2:7" s="73" customFormat="1" x14ac:dyDescent="0.3">
      <c r="B221" s="97"/>
      <c r="C221" s="98"/>
      <c r="F221" s="96"/>
      <c r="G221" s="96"/>
    </row>
    <row r="222" spans="2:7" s="73" customFormat="1" x14ac:dyDescent="0.3">
      <c r="B222" s="97"/>
      <c r="C222" s="98"/>
      <c r="F222" s="96"/>
      <c r="G222" s="96"/>
    </row>
    <row r="223" spans="2:7" s="73" customFormat="1" x14ac:dyDescent="0.3">
      <c r="B223" s="97"/>
      <c r="C223" s="98"/>
      <c r="F223" s="96"/>
      <c r="G223" s="96"/>
    </row>
    <row r="224" spans="2:7" s="73" customFormat="1" x14ac:dyDescent="0.3">
      <c r="B224" s="97"/>
      <c r="C224" s="98"/>
      <c r="F224" s="96"/>
      <c r="G224" s="96"/>
    </row>
    <row r="225" spans="2:7" s="73" customFormat="1" x14ac:dyDescent="0.3">
      <c r="B225" s="97"/>
      <c r="C225" s="98"/>
      <c r="F225" s="96"/>
      <c r="G225" s="96"/>
    </row>
    <row r="226" spans="2:7" s="73" customFormat="1" x14ac:dyDescent="0.3">
      <c r="B226" s="97"/>
      <c r="C226" s="98"/>
      <c r="F226" s="96"/>
      <c r="G226" s="96"/>
    </row>
    <row r="227" spans="2:7" s="73" customFormat="1" x14ac:dyDescent="0.3">
      <c r="B227" s="97"/>
      <c r="C227" s="98"/>
      <c r="F227" s="96"/>
      <c r="G227" s="96"/>
    </row>
    <row r="228" spans="2:7" s="73" customFormat="1" x14ac:dyDescent="0.3">
      <c r="B228" s="97"/>
      <c r="C228" s="98"/>
      <c r="F228" s="96"/>
      <c r="G228" s="96"/>
    </row>
    <row r="229" spans="2:7" s="73" customFormat="1" x14ac:dyDescent="0.3">
      <c r="B229" s="97"/>
      <c r="C229" s="98"/>
      <c r="F229" s="96"/>
      <c r="G229" s="96"/>
    </row>
    <row r="230" spans="2:7" s="73" customFormat="1" x14ac:dyDescent="0.3">
      <c r="B230" s="97"/>
      <c r="C230" s="98"/>
      <c r="F230" s="96"/>
      <c r="G230" s="96"/>
    </row>
    <row r="231" spans="2:7" s="73" customFormat="1" x14ac:dyDescent="0.3">
      <c r="B231" s="97"/>
      <c r="C231" s="98"/>
      <c r="F231" s="96"/>
      <c r="G231" s="96"/>
    </row>
    <row r="232" spans="2:7" s="73" customFormat="1" x14ac:dyDescent="0.3">
      <c r="B232" s="97"/>
      <c r="C232" s="98"/>
      <c r="F232" s="96"/>
      <c r="G232" s="96"/>
    </row>
    <row r="233" spans="2:7" s="73" customFormat="1" x14ac:dyDescent="0.3">
      <c r="B233" s="97"/>
      <c r="C233" s="98"/>
      <c r="F233" s="96"/>
      <c r="G233" s="96"/>
    </row>
    <row r="234" spans="2:7" s="73" customFormat="1" x14ac:dyDescent="0.3">
      <c r="B234" s="97"/>
      <c r="C234" s="98"/>
      <c r="F234" s="96"/>
      <c r="G234" s="96"/>
    </row>
    <row r="235" spans="2:7" s="73" customFormat="1" x14ac:dyDescent="0.3">
      <c r="B235" s="97"/>
      <c r="C235" s="98"/>
      <c r="F235" s="96"/>
      <c r="G235" s="96"/>
    </row>
    <row r="236" spans="2:7" s="73" customFormat="1" x14ac:dyDescent="0.3">
      <c r="B236" s="97"/>
      <c r="C236" s="98"/>
      <c r="F236" s="96"/>
      <c r="G236" s="96"/>
    </row>
    <row r="237" spans="2:7" s="73" customFormat="1" x14ac:dyDescent="0.3">
      <c r="B237" s="97"/>
      <c r="C237" s="98"/>
      <c r="F237" s="96"/>
      <c r="G237" s="96"/>
    </row>
    <row r="238" spans="2:7" s="73" customFormat="1" x14ac:dyDescent="0.3">
      <c r="B238" s="97"/>
      <c r="C238" s="98"/>
      <c r="F238" s="96"/>
      <c r="G238" s="96"/>
    </row>
    <row r="239" spans="2:7" s="73" customFormat="1" x14ac:dyDescent="0.3">
      <c r="B239" s="97"/>
      <c r="C239" s="98"/>
      <c r="F239" s="96"/>
      <c r="G239" s="96"/>
    </row>
    <row r="240" spans="2:7" s="73" customFormat="1" x14ac:dyDescent="0.3">
      <c r="B240" s="97"/>
      <c r="C240" s="98"/>
      <c r="F240" s="96"/>
      <c r="G240" s="96"/>
    </row>
    <row r="241" spans="2:7" s="73" customFormat="1" x14ac:dyDescent="0.3">
      <c r="B241" s="97"/>
      <c r="C241" s="98"/>
      <c r="F241" s="96"/>
      <c r="G241" s="96"/>
    </row>
    <row r="242" spans="2:7" s="73" customFormat="1" x14ac:dyDescent="0.3">
      <c r="B242" s="97"/>
      <c r="C242" s="98"/>
      <c r="F242" s="96"/>
      <c r="G242" s="96"/>
    </row>
    <row r="243" spans="2:7" s="73" customFormat="1" x14ac:dyDescent="0.3">
      <c r="B243" s="97"/>
      <c r="C243" s="98"/>
      <c r="F243" s="96"/>
      <c r="G243" s="96"/>
    </row>
    <row r="244" spans="2:7" s="73" customFormat="1" x14ac:dyDescent="0.3">
      <c r="B244" s="97"/>
      <c r="C244" s="98"/>
      <c r="F244" s="96"/>
      <c r="G244" s="96"/>
    </row>
    <row r="245" spans="2:7" s="73" customFormat="1" x14ac:dyDescent="0.3">
      <c r="B245" s="97"/>
      <c r="C245" s="98"/>
      <c r="F245" s="96"/>
      <c r="G245" s="96"/>
    </row>
    <row r="246" spans="2:7" s="73" customFormat="1" x14ac:dyDescent="0.3">
      <c r="B246" s="97"/>
      <c r="C246" s="98"/>
      <c r="F246" s="96"/>
      <c r="G246" s="96"/>
    </row>
    <row r="247" spans="2:7" s="73" customFormat="1" x14ac:dyDescent="0.3">
      <c r="B247" s="97"/>
      <c r="C247" s="98"/>
      <c r="F247" s="96"/>
      <c r="G247" s="96"/>
    </row>
    <row r="248" spans="2:7" s="73" customFormat="1" x14ac:dyDescent="0.3">
      <c r="B248" s="97"/>
      <c r="C248" s="98"/>
      <c r="F248" s="96"/>
      <c r="G248" s="96"/>
    </row>
    <row r="249" spans="2:7" s="73" customFormat="1" x14ac:dyDescent="0.3">
      <c r="B249" s="97"/>
      <c r="C249" s="98"/>
      <c r="F249" s="96"/>
      <c r="G249" s="96"/>
    </row>
    <row r="250" spans="2:7" s="73" customFormat="1" x14ac:dyDescent="0.3">
      <c r="B250" s="97"/>
      <c r="C250" s="98"/>
      <c r="F250" s="96"/>
      <c r="G250" s="96"/>
    </row>
    <row r="251" spans="2:7" s="73" customFormat="1" x14ac:dyDescent="0.3">
      <c r="B251" s="97"/>
      <c r="C251" s="98"/>
      <c r="F251" s="96"/>
      <c r="G251" s="96"/>
    </row>
    <row r="252" spans="2:7" s="73" customFormat="1" x14ac:dyDescent="0.3">
      <c r="B252" s="97"/>
      <c r="C252" s="98"/>
      <c r="F252" s="96"/>
      <c r="G252" s="96"/>
    </row>
    <row r="253" spans="2:7" s="73" customFormat="1" x14ac:dyDescent="0.3">
      <c r="B253" s="97"/>
      <c r="C253" s="98"/>
      <c r="F253" s="96"/>
      <c r="G253" s="96"/>
    </row>
    <row r="254" spans="2:7" s="73" customFormat="1" x14ac:dyDescent="0.3">
      <c r="B254" s="97"/>
      <c r="C254" s="98"/>
      <c r="F254" s="96"/>
      <c r="G254" s="96"/>
    </row>
    <row r="255" spans="2:7" s="73" customFormat="1" x14ac:dyDescent="0.3">
      <c r="B255" s="97"/>
      <c r="C255" s="98"/>
      <c r="F255" s="96"/>
      <c r="G255" s="96"/>
    </row>
    <row r="256" spans="2:7" s="73" customFormat="1" x14ac:dyDescent="0.3">
      <c r="B256" s="97"/>
      <c r="C256" s="98"/>
      <c r="F256" s="96"/>
      <c r="G256" s="96"/>
    </row>
    <row r="257" spans="2:7" s="73" customFormat="1" x14ac:dyDescent="0.3">
      <c r="B257" s="97"/>
      <c r="C257" s="98"/>
      <c r="F257" s="96"/>
      <c r="G257" s="96"/>
    </row>
    <row r="258" spans="2:7" s="73" customFormat="1" x14ac:dyDescent="0.3">
      <c r="B258" s="97"/>
      <c r="C258" s="98"/>
      <c r="F258" s="96"/>
      <c r="G258" s="96"/>
    </row>
    <row r="259" spans="2:7" s="73" customFormat="1" x14ac:dyDescent="0.3">
      <c r="B259" s="97"/>
      <c r="C259" s="98"/>
      <c r="F259" s="96"/>
      <c r="G259" s="96"/>
    </row>
    <row r="260" spans="2:7" s="73" customFormat="1" x14ac:dyDescent="0.3">
      <c r="B260" s="97"/>
      <c r="C260" s="98"/>
      <c r="F260" s="96"/>
      <c r="G260" s="96"/>
    </row>
    <row r="261" spans="2:7" s="73" customFormat="1" x14ac:dyDescent="0.3">
      <c r="B261" s="97"/>
      <c r="C261" s="98"/>
      <c r="F261" s="96"/>
      <c r="G261" s="96"/>
    </row>
    <row r="262" spans="2:7" s="73" customFormat="1" x14ac:dyDescent="0.3">
      <c r="B262" s="97"/>
      <c r="C262" s="98"/>
      <c r="F262" s="96"/>
      <c r="G262" s="96"/>
    </row>
    <row r="263" spans="2:7" s="73" customFormat="1" x14ac:dyDescent="0.3">
      <c r="B263" s="97"/>
      <c r="C263" s="98"/>
      <c r="F263" s="96"/>
      <c r="G263" s="96"/>
    </row>
    <row r="264" spans="2:7" s="73" customFormat="1" x14ac:dyDescent="0.3">
      <c r="B264" s="97"/>
      <c r="C264" s="98"/>
      <c r="F264" s="96"/>
      <c r="G264" s="96"/>
    </row>
    <row r="265" spans="2:7" s="73" customFormat="1" x14ac:dyDescent="0.3">
      <c r="B265" s="97"/>
      <c r="C265" s="98"/>
      <c r="F265" s="96"/>
      <c r="G265" s="96"/>
    </row>
    <row r="266" spans="2:7" s="73" customFormat="1" x14ac:dyDescent="0.3">
      <c r="B266" s="97"/>
      <c r="C266" s="98"/>
      <c r="F266" s="96"/>
      <c r="G266" s="96"/>
    </row>
    <row r="267" spans="2:7" s="73" customFormat="1" x14ac:dyDescent="0.3">
      <c r="B267" s="97"/>
      <c r="C267" s="98"/>
      <c r="F267" s="96"/>
      <c r="G267" s="96"/>
    </row>
    <row r="268" spans="2:7" s="73" customFormat="1" x14ac:dyDescent="0.3">
      <c r="B268" s="97"/>
      <c r="C268" s="98"/>
      <c r="F268" s="96"/>
      <c r="G268" s="96"/>
    </row>
    <row r="269" spans="2:7" s="73" customFormat="1" x14ac:dyDescent="0.3">
      <c r="B269" s="97"/>
      <c r="C269" s="98"/>
      <c r="F269" s="96"/>
      <c r="G269" s="96"/>
    </row>
    <row r="270" spans="2:7" s="73" customFormat="1" x14ac:dyDescent="0.3">
      <c r="B270" s="97"/>
      <c r="C270" s="98"/>
      <c r="F270" s="96"/>
      <c r="G270" s="96"/>
    </row>
    <row r="271" spans="2:7" s="73" customFormat="1" x14ac:dyDescent="0.3">
      <c r="B271" s="97"/>
      <c r="C271" s="98"/>
      <c r="F271" s="96"/>
      <c r="G271" s="96"/>
    </row>
    <row r="272" spans="2:7" s="73" customFormat="1" x14ac:dyDescent="0.3">
      <c r="B272" s="97"/>
      <c r="C272" s="98"/>
      <c r="F272" s="96"/>
      <c r="G272" s="96"/>
    </row>
    <row r="273" spans="2:7" s="73" customFormat="1" x14ac:dyDescent="0.3">
      <c r="B273" s="97"/>
      <c r="C273" s="98"/>
      <c r="F273" s="96"/>
      <c r="G273" s="96"/>
    </row>
    <row r="274" spans="2:7" s="73" customFormat="1" x14ac:dyDescent="0.3">
      <c r="B274" s="97"/>
      <c r="C274" s="98"/>
      <c r="F274" s="96"/>
      <c r="G274" s="96"/>
    </row>
    <row r="275" spans="2:7" s="73" customFormat="1" x14ac:dyDescent="0.3">
      <c r="B275" s="97"/>
      <c r="C275" s="98"/>
      <c r="F275" s="96"/>
      <c r="G275" s="96"/>
    </row>
    <row r="276" spans="2:7" s="73" customFormat="1" x14ac:dyDescent="0.3">
      <c r="B276" s="97"/>
      <c r="C276" s="98"/>
      <c r="F276" s="96"/>
      <c r="G276" s="96"/>
    </row>
    <row r="277" spans="2:7" s="73" customFormat="1" x14ac:dyDescent="0.3">
      <c r="B277" s="97"/>
      <c r="C277" s="98"/>
      <c r="F277" s="96"/>
      <c r="G277" s="96"/>
    </row>
    <row r="278" spans="2:7" s="73" customFormat="1" x14ac:dyDescent="0.3">
      <c r="B278" s="97"/>
      <c r="C278" s="98"/>
      <c r="F278" s="96"/>
      <c r="G278" s="96"/>
    </row>
    <row r="279" spans="2:7" s="73" customFormat="1" x14ac:dyDescent="0.3">
      <c r="B279" s="97"/>
      <c r="C279" s="98"/>
      <c r="F279" s="96"/>
      <c r="G279" s="96"/>
    </row>
    <row r="280" spans="2:7" s="73" customFormat="1" x14ac:dyDescent="0.3">
      <c r="B280" s="97"/>
      <c r="C280" s="98"/>
      <c r="F280" s="96"/>
      <c r="G280" s="96"/>
    </row>
    <row r="281" spans="2:7" s="73" customFormat="1" x14ac:dyDescent="0.3">
      <c r="B281" s="97"/>
      <c r="C281" s="98"/>
      <c r="F281" s="96"/>
      <c r="G281" s="96"/>
    </row>
    <row r="282" spans="2:7" s="73" customFormat="1" x14ac:dyDescent="0.3">
      <c r="B282" s="97"/>
      <c r="C282" s="98"/>
      <c r="F282" s="96"/>
      <c r="G282" s="96"/>
    </row>
    <row r="283" spans="2:7" s="73" customFormat="1" x14ac:dyDescent="0.3">
      <c r="B283" s="97"/>
      <c r="C283" s="98"/>
      <c r="F283" s="96"/>
      <c r="G283" s="96"/>
    </row>
    <row r="284" spans="2:7" s="73" customFormat="1" x14ac:dyDescent="0.3">
      <c r="B284" s="97"/>
      <c r="C284" s="98"/>
      <c r="F284" s="96"/>
      <c r="G284" s="96"/>
    </row>
    <row r="285" spans="2:7" s="73" customFormat="1" x14ac:dyDescent="0.3">
      <c r="B285" s="97"/>
      <c r="C285" s="98"/>
      <c r="F285" s="96"/>
      <c r="G285" s="96"/>
    </row>
    <row r="286" spans="2:7" s="73" customFormat="1" x14ac:dyDescent="0.3">
      <c r="B286" s="97"/>
      <c r="C286" s="98"/>
      <c r="F286" s="96"/>
      <c r="G286" s="96"/>
    </row>
    <row r="287" spans="2:7" s="73" customFormat="1" x14ac:dyDescent="0.3">
      <c r="B287" s="97"/>
      <c r="C287" s="98"/>
      <c r="F287" s="96"/>
      <c r="G287" s="96"/>
    </row>
    <row r="288" spans="2:7" s="73" customFormat="1" x14ac:dyDescent="0.3">
      <c r="B288" s="97"/>
      <c r="C288" s="98"/>
      <c r="F288" s="96"/>
      <c r="G288" s="96"/>
    </row>
    <row r="289" spans="2:7" s="73" customFormat="1" x14ac:dyDescent="0.3">
      <c r="B289" s="97"/>
      <c r="C289" s="98"/>
      <c r="F289" s="96"/>
      <c r="G289" s="96"/>
    </row>
    <row r="290" spans="2:7" s="73" customFormat="1" x14ac:dyDescent="0.3">
      <c r="B290" s="97"/>
      <c r="C290" s="98"/>
      <c r="F290" s="96"/>
      <c r="G290" s="96"/>
    </row>
    <row r="291" spans="2:7" s="73" customFormat="1" x14ac:dyDescent="0.3">
      <c r="B291" s="97"/>
      <c r="C291" s="98"/>
      <c r="F291" s="96"/>
      <c r="G291" s="96"/>
    </row>
    <row r="292" spans="2:7" s="73" customFormat="1" x14ac:dyDescent="0.3">
      <c r="B292" s="97"/>
      <c r="C292" s="98"/>
      <c r="F292" s="96"/>
      <c r="G292" s="96"/>
    </row>
    <row r="293" spans="2:7" s="73" customFormat="1" x14ac:dyDescent="0.3">
      <c r="B293" s="97"/>
      <c r="C293" s="98"/>
      <c r="F293" s="96"/>
      <c r="G293" s="96"/>
    </row>
    <row r="294" spans="2:7" s="73" customFormat="1" x14ac:dyDescent="0.3">
      <c r="B294" s="97"/>
      <c r="C294" s="98"/>
      <c r="F294" s="96"/>
      <c r="G294" s="96"/>
    </row>
    <row r="295" spans="2:7" s="73" customFormat="1" x14ac:dyDescent="0.3">
      <c r="B295" s="97"/>
      <c r="C295" s="98"/>
      <c r="F295" s="96"/>
      <c r="G295" s="96"/>
    </row>
    <row r="296" spans="2:7" s="73" customFormat="1" x14ac:dyDescent="0.3">
      <c r="B296" s="97"/>
      <c r="C296" s="98"/>
      <c r="F296" s="96"/>
      <c r="G296" s="96"/>
    </row>
    <row r="297" spans="2:7" s="73" customFormat="1" x14ac:dyDescent="0.3">
      <c r="B297" s="97"/>
      <c r="C297" s="98"/>
      <c r="F297" s="96"/>
      <c r="G297" s="96"/>
    </row>
    <row r="298" spans="2:7" s="73" customFormat="1" x14ac:dyDescent="0.3">
      <c r="B298" s="97"/>
      <c r="C298" s="98"/>
      <c r="F298" s="96"/>
      <c r="G298" s="96"/>
    </row>
    <row r="299" spans="2:7" s="73" customFormat="1" x14ac:dyDescent="0.3">
      <c r="B299" s="97"/>
      <c r="C299" s="98"/>
      <c r="F299" s="96"/>
      <c r="G299" s="96"/>
    </row>
    <row r="300" spans="2:7" s="73" customFormat="1" x14ac:dyDescent="0.3">
      <c r="B300" s="97"/>
      <c r="C300" s="98"/>
      <c r="F300" s="96"/>
      <c r="G300" s="96"/>
    </row>
    <row r="301" spans="2:7" s="73" customFormat="1" x14ac:dyDescent="0.3">
      <c r="B301" s="97"/>
      <c r="C301" s="98"/>
      <c r="F301" s="96"/>
      <c r="G301" s="96"/>
    </row>
    <row r="302" spans="2:7" s="73" customFormat="1" x14ac:dyDescent="0.3">
      <c r="B302" s="97"/>
      <c r="C302" s="98"/>
      <c r="F302" s="96"/>
      <c r="G302" s="96"/>
    </row>
    <row r="303" spans="2:7" s="73" customFormat="1" x14ac:dyDescent="0.3">
      <c r="B303" s="97"/>
      <c r="C303" s="98"/>
      <c r="F303" s="96"/>
      <c r="G303" s="96"/>
    </row>
    <row r="304" spans="2:7" s="73" customFormat="1" x14ac:dyDescent="0.3">
      <c r="B304" s="97"/>
      <c r="C304" s="98"/>
      <c r="F304" s="96"/>
      <c r="G304" s="96"/>
    </row>
    <row r="305" spans="2:7" s="73" customFormat="1" x14ac:dyDescent="0.3">
      <c r="B305" s="97"/>
      <c r="C305" s="98"/>
      <c r="F305" s="96"/>
      <c r="G305" s="96"/>
    </row>
    <row r="306" spans="2:7" s="73" customFormat="1" x14ac:dyDescent="0.3">
      <c r="B306" s="97"/>
      <c r="C306" s="98"/>
      <c r="F306" s="96"/>
      <c r="G306" s="96"/>
    </row>
    <row r="307" spans="2:7" s="73" customFormat="1" x14ac:dyDescent="0.3">
      <c r="B307" s="97"/>
      <c r="C307" s="98"/>
      <c r="F307" s="96"/>
      <c r="G307" s="96"/>
    </row>
    <row r="308" spans="2:7" s="73" customFormat="1" x14ac:dyDescent="0.3">
      <c r="B308" s="97"/>
      <c r="C308" s="98"/>
      <c r="F308" s="96"/>
      <c r="G308" s="96"/>
    </row>
    <row r="309" spans="2:7" s="73" customFormat="1" x14ac:dyDescent="0.3">
      <c r="B309" s="97"/>
      <c r="C309" s="98"/>
      <c r="F309" s="96"/>
      <c r="G309" s="96"/>
    </row>
    <row r="310" spans="2:7" s="73" customFormat="1" x14ac:dyDescent="0.3">
      <c r="B310" s="97"/>
      <c r="C310" s="98"/>
      <c r="F310" s="96"/>
      <c r="G310" s="96"/>
    </row>
    <row r="311" spans="2:7" s="73" customFormat="1" x14ac:dyDescent="0.3">
      <c r="B311" s="97"/>
      <c r="C311" s="98"/>
      <c r="F311" s="96"/>
      <c r="G311" s="96"/>
    </row>
    <row r="312" spans="2:7" s="73" customFormat="1" x14ac:dyDescent="0.3">
      <c r="B312" s="97"/>
      <c r="C312" s="98"/>
      <c r="F312" s="96"/>
      <c r="G312" s="96"/>
    </row>
    <row r="313" spans="2:7" s="73" customFormat="1" x14ac:dyDescent="0.3">
      <c r="B313" s="97"/>
      <c r="C313" s="98"/>
      <c r="F313" s="96"/>
      <c r="G313" s="96"/>
    </row>
    <row r="314" spans="2:7" s="73" customFormat="1" x14ac:dyDescent="0.3">
      <c r="B314" s="97"/>
      <c r="C314" s="98"/>
      <c r="F314" s="96"/>
      <c r="G314" s="96"/>
    </row>
    <row r="315" spans="2:7" s="73" customFormat="1" x14ac:dyDescent="0.3">
      <c r="B315" s="97"/>
      <c r="C315" s="98"/>
      <c r="F315" s="96"/>
      <c r="G315" s="96"/>
    </row>
    <row r="316" spans="2:7" s="73" customFormat="1" x14ac:dyDescent="0.3">
      <c r="B316" s="97"/>
      <c r="C316" s="98"/>
      <c r="F316" s="96"/>
      <c r="G316" s="96"/>
    </row>
    <row r="317" spans="2:7" s="73" customFormat="1" x14ac:dyDescent="0.3">
      <c r="B317" s="97"/>
      <c r="C317" s="98"/>
      <c r="F317" s="96"/>
      <c r="G317" s="96"/>
    </row>
    <row r="318" spans="2:7" s="73" customFormat="1" x14ac:dyDescent="0.3">
      <c r="B318" s="97"/>
      <c r="C318" s="98"/>
      <c r="F318" s="96"/>
      <c r="G318" s="96"/>
    </row>
    <row r="319" spans="2:7" s="73" customFormat="1" x14ac:dyDescent="0.3">
      <c r="B319" s="97"/>
      <c r="C319" s="98"/>
      <c r="F319" s="96"/>
      <c r="G319" s="96"/>
    </row>
    <row r="320" spans="2:7" s="73" customFormat="1" x14ac:dyDescent="0.3">
      <c r="B320" s="97"/>
      <c r="C320" s="98"/>
      <c r="F320" s="96"/>
      <c r="G320" s="96"/>
    </row>
    <row r="321" spans="2:7" s="73" customFormat="1" x14ac:dyDescent="0.3">
      <c r="B321" s="97"/>
      <c r="C321" s="98"/>
      <c r="F321" s="96"/>
      <c r="G321" s="96"/>
    </row>
    <row r="322" spans="2:7" s="73" customFormat="1" x14ac:dyDescent="0.3">
      <c r="B322" s="97"/>
      <c r="C322" s="98"/>
      <c r="F322" s="96"/>
      <c r="G322" s="96"/>
    </row>
    <row r="323" spans="2:7" s="73" customFormat="1" x14ac:dyDescent="0.3">
      <c r="B323" s="97"/>
      <c r="C323" s="98"/>
      <c r="F323" s="96"/>
      <c r="G323" s="96"/>
    </row>
    <row r="324" spans="2:7" s="73" customFormat="1" x14ac:dyDescent="0.3">
      <c r="B324" s="97"/>
      <c r="C324" s="98"/>
      <c r="F324" s="96"/>
      <c r="G324" s="96"/>
    </row>
    <row r="325" spans="2:7" s="73" customFormat="1" x14ac:dyDescent="0.3">
      <c r="B325" s="97"/>
      <c r="C325" s="98"/>
      <c r="F325" s="96"/>
      <c r="G325" s="96"/>
    </row>
    <row r="326" spans="2:7" s="73" customFormat="1" x14ac:dyDescent="0.3">
      <c r="B326" s="97"/>
      <c r="C326" s="98"/>
      <c r="F326" s="96"/>
      <c r="G326" s="96"/>
    </row>
    <row r="327" spans="2:7" s="73" customFormat="1" x14ac:dyDescent="0.3">
      <c r="B327" s="97"/>
      <c r="C327" s="98"/>
      <c r="F327" s="96"/>
      <c r="G327" s="96"/>
    </row>
    <row r="328" spans="2:7" s="73" customFormat="1" x14ac:dyDescent="0.3">
      <c r="B328" s="97"/>
      <c r="C328" s="98"/>
      <c r="F328" s="96"/>
      <c r="G328" s="96"/>
    </row>
    <row r="329" spans="2:7" s="73" customFormat="1" x14ac:dyDescent="0.3">
      <c r="B329" s="97"/>
      <c r="C329" s="98"/>
      <c r="F329" s="96"/>
      <c r="G329" s="96"/>
    </row>
    <row r="330" spans="2:7" s="73" customFormat="1" x14ac:dyDescent="0.3">
      <c r="B330" s="97"/>
      <c r="C330" s="98"/>
      <c r="F330" s="96"/>
      <c r="G330" s="96"/>
    </row>
    <row r="331" spans="2:7" s="73" customFormat="1" x14ac:dyDescent="0.3">
      <c r="B331" s="97"/>
      <c r="C331" s="98"/>
      <c r="F331" s="96"/>
      <c r="G331" s="96"/>
    </row>
    <row r="332" spans="2:7" s="73" customFormat="1" x14ac:dyDescent="0.3">
      <c r="B332" s="97"/>
      <c r="C332" s="98"/>
      <c r="F332" s="96"/>
      <c r="G332" s="96"/>
    </row>
    <row r="333" spans="2:7" s="73" customFormat="1" x14ac:dyDescent="0.3">
      <c r="B333" s="97"/>
      <c r="C333" s="98"/>
      <c r="F333" s="96"/>
      <c r="G333" s="96"/>
    </row>
    <row r="334" spans="2:7" s="73" customFormat="1" x14ac:dyDescent="0.3">
      <c r="B334" s="97"/>
      <c r="C334" s="98"/>
      <c r="F334" s="96"/>
      <c r="G334" s="96"/>
    </row>
    <row r="335" spans="2:7" s="73" customFormat="1" x14ac:dyDescent="0.3">
      <c r="B335" s="97"/>
      <c r="C335" s="98"/>
      <c r="F335" s="96"/>
      <c r="G335" s="96"/>
    </row>
    <row r="336" spans="2:7" s="73" customFormat="1" x14ac:dyDescent="0.3">
      <c r="B336" s="97"/>
      <c r="C336" s="98"/>
      <c r="F336" s="96"/>
      <c r="G336" s="96"/>
    </row>
    <row r="337" spans="2:7" s="73" customFormat="1" x14ac:dyDescent="0.3">
      <c r="B337" s="97"/>
      <c r="C337" s="98"/>
      <c r="F337" s="96"/>
      <c r="G337" s="96"/>
    </row>
    <row r="338" spans="2:7" s="73" customFormat="1" x14ac:dyDescent="0.3">
      <c r="B338" s="97"/>
      <c r="C338" s="98"/>
      <c r="F338" s="96"/>
      <c r="G338" s="96"/>
    </row>
    <row r="339" spans="2:7" s="73" customFormat="1" x14ac:dyDescent="0.3">
      <c r="B339" s="97"/>
      <c r="C339" s="98"/>
      <c r="F339" s="96"/>
      <c r="G339" s="96"/>
    </row>
    <row r="340" spans="2:7" s="73" customFormat="1" x14ac:dyDescent="0.3">
      <c r="B340" s="97"/>
      <c r="C340" s="98"/>
      <c r="F340" s="96"/>
      <c r="G340" s="96"/>
    </row>
    <row r="341" spans="2:7" s="73" customFormat="1" x14ac:dyDescent="0.3">
      <c r="B341" s="97"/>
      <c r="C341" s="98"/>
      <c r="F341" s="96"/>
      <c r="G341" s="96"/>
    </row>
    <row r="342" spans="2:7" s="73" customFormat="1" x14ac:dyDescent="0.3">
      <c r="B342" s="97"/>
      <c r="C342" s="98"/>
      <c r="F342" s="96"/>
      <c r="G342" s="96"/>
    </row>
    <row r="343" spans="2:7" s="73" customFormat="1" x14ac:dyDescent="0.3">
      <c r="B343" s="97"/>
      <c r="C343" s="98"/>
      <c r="F343" s="96"/>
      <c r="G343" s="96"/>
    </row>
    <row r="344" spans="2:7" s="73" customFormat="1" x14ac:dyDescent="0.3">
      <c r="B344" s="97"/>
      <c r="C344" s="98"/>
      <c r="F344" s="96"/>
      <c r="G344" s="96"/>
    </row>
    <row r="345" spans="2:7" s="73" customFormat="1" x14ac:dyDescent="0.3">
      <c r="B345" s="97"/>
      <c r="C345" s="98"/>
      <c r="F345" s="96"/>
      <c r="G345" s="96"/>
    </row>
    <row r="346" spans="2:7" s="73" customFormat="1" x14ac:dyDescent="0.3">
      <c r="B346" s="97"/>
      <c r="C346" s="98"/>
      <c r="F346" s="96"/>
      <c r="G346" s="96"/>
    </row>
    <row r="347" spans="2:7" s="73" customFormat="1" x14ac:dyDescent="0.3">
      <c r="B347" s="97"/>
      <c r="C347" s="98"/>
      <c r="F347" s="96"/>
      <c r="G347" s="96"/>
    </row>
    <row r="348" spans="2:7" s="73" customFormat="1" x14ac:dyDescent="0.3">
      <c r="B348" s="97"/>
      <c r="C348" s="98"/>
      <c r="F348" s="96"/>
      <c r="G348" s="96"/>
    </row>
    <row r="349" spans="2:7" s="73" customFormat="1" x14ac:dyDescent="0.3">
      <c r="B349" s="97"/>
      <c r="C349" s="98"/>
      <c r="F349" s="96"/>
      <c r="G349" s="96"/>
    </row>
    <row r="350" spans="2:7" s="73" customFormat="1" x14ac:dyDescent="0.3">
      <c r="B350" s="97"/>
      <c r="C350" s="98"/>
      <c r="F350" s="96"/>
      <c r="G350" s="96"/>
    </row>
    <row r="351" spans="2:7" s="73" customFormat="1" x14ac:dyDescent="0.3">
      <c r="B351" s="97"/>
      <c r="C351" s="98"/>
      <c r="F351" s="96"/>
      <c r="G351" s="96"/>
    </row>
    <row r="352" spans="2:7" s="73" customFormat="1" x14ac:dyDescent="0.3">
      <c r="B352" s="97"/>
      <c r="C352" s="98"/>
      <c r="F352" s="96"/>
      <c r="G352" s="96"/>
    </row>
    <row r="353" spans="2:7" s="73" customFormat="1" x14ac:dyDescent="0.3">
      <c r="B353" s="97"/>
      <c r="C353" s="98"/>
      <c r="F353" s="96"/>
      <c r="G353" s="96"/>
    </row>
    <row r="354" spans="2:7" s="73" customFormat="1" x14ac:dyDescent="0.3">
      <c r="B354" s="97"/>
      <c r="C354" s="98"/>
      <c r="F354" s="96"/>
      <c r="G354" s="96"/>
    </row>
    <row r="355" spans="2:7" s="73" customFormat="1" x14ac:dyDescent="0.3">
      <c r="B355" s="97"/>
      <c r="C355" s="98"/>
      <c r="F355" s="96"/>
      <c r="G355" s="96"/>
    </row>
    <row r="356" spans="2:7" s="73" customFormat="1" x14ac:dyDescent="0.3">
      <c r="B356" s="97"/>
      <c r="C356" s="98"/>
      <c r="F356" s="96"/>
      <c r="G356" s="96"/>
    </row>
    <row r="357" spans="2:7" s="73" customFormat="1" x14ac:dyDescent="0.3">
      <c r="B357" s="97"/>
      <c r="C357" s="98"/>
      <c r="F357" s="96"/>
      <c r="G357" s="96"/>
    </row>
    <row r="358" spans="2:7" s="73" customFormat="1" x14ac:dyDescent="0.3">
      <c r="B358" s="97"/>
      <c r="C358" s="98"/>
      <c r="F358" s="96"/>
      <c r="G358" s="96"/>
    </row>
    <row r="359" spans="2:7" s="73" customFormat="1" x14ac:dyDescent="0.3">
      <c r="B359" s="97"/>
      <c r="C359" s="98"/>
      <c r="F359" s="96"/>
      <c r="G359" s="96"/>
    </row>
    <row r="360" spans="2:7" s="73" customFormat="1" x14ac:dyDescent="0.3">
      <c r="B360" s="97"/>
      <c r="C360" s="98"/>
      <c r="F360" s="96"/>
      <c r="G360" s="96"/>
    </row>
    <row r="361" spans="2:7" s="73" customFormat="1" x14ac:dyDescent="0.3">
      <c r="B361" s="97"/>
      <c r="C361" s="98"/>
      <c r="F361" s="96"/>
      <c r="G361" s="96"/>
    </row>
    <row r="362" spans="2:7" s="73" customFormat="1" x14ac:dyDescent="0.3">
      <c r="B362" s="97"/>
      <c r="C362" s="98"/>
      <c r="F362" s="96"/>
      <c r="G362" s="96"/>
    </row>
    <row r="363" spans="2:7" s="73" customFormat="1" x14ac:dyDescent="0.3">
      <c r="B363" s="97"/>
      <c r="C363" s="98"/>
      <c r="F363" s="96"/>
      <c r="G363" s="96"/>
    </row>
    <row r="364" spans="2:7" s="73" customFormat="1" x14ac:dyDescent="0.3">
      <c r="B364" s="97"/>
      <c r="C364" s="98"/>
      <c r="F364" s="96"/>
      <c r="G364" s="96"/>
    </row>
    <row r="365" spans="2:7" s="73" customFormat="1" x14ac:dyDescent="0.3">
      <c r="B365" s="97"/>
      <c r="C365" s="98"/>
      <c r="F365" s="96"/>
      <c r="G365" s="96"/>
    </row>
    <row r="366" spans="2:7" s="73" customFormat="1" x14ac:dyDescent="0.3">
      <c r="B366" s="97"/>
      <c r="C366" s="98"/>
      <c r="F366" s="96"/>
      <c r="G366" s="96"/>
    </row>
    <row r="367" spans="2:7" s="73" customFormat="1" x14ac:dyDescent="0.3">
      <c r="B367" s="97"/>
      <c r="C367" s="98"/>
      <c r="F367" s="96"/>
      <c r="G367" s="96"/>
    </row>
    <row r="368" spans="2:7" s="73" customFormat="1" x14ac:dyDescent="0.3">
      <c r="B368" s="97"/>
      <c r="C368" s="98"/>
      <c r="F368" s="96"/>
      <c r="G368" s="96"/>
    </row>
    <row r="369" spans="2:7" s="73" customFormat="1" x14ac:dyDescent="0.3">
      <c r="B369" s="97"/>
      <c r="C369" s="98"/>
      <c r="F369" s="96"/>
      <c r="G369" s="96"/>
    </row>
    <row r="370" spans="2:7" s="73" customFormat="1" x14ac:dyDescent="0.3">
      <c r="B370" s="97"/>
      <c r="C370" s="98"/>
      <c r="F370" s="96"/>
      <c r="G370" s="96"/>
    </row>
    <row r="371" spans="2:7" s="73" customFormat="1" x14ac:dyDescent="0.3">
      <c r="B371" s="97"/>
      <c r="C371" s="98"/>
      <c r="F371" s="96"/>
      <c r="G371" s="96"/>
    </row>
    <row r="372" spans="2:7" s="73" customFormat="1" x14ac:dyDescent="0.3">
      <c r="B372" s="97"/>
      <c r="C372" s="98"/>
      <c r="F372" s="96"/>
      <c r="G372" s="96"/>
    </row>
    <row r="373" spans="2:7" s="73" customFormat="1" x14ac:dyDescent="0.3">
      <c r="B373" s="97"/>
      <c r="C373" s="98"/>
      <c r="F373" s="96"/>
      <c r="G373" s="96"/>
    </row>
    <row r="374" spans="2:7" s="73" customFormat="1" x14ac:dyDescent="0.3">
      <c r="B374" s="97"/>
      <c r="C374" s="98"/>
      <c r="F374" s="96"/>
      <c r="G374" s="96"/>
    </row>
    <row r="375" spans="2:7" s="73" customFormat="1" x14ac:dyDescent="0.3">
      <c r="B375" s="97"/>
      <c r="C375" s="98"/>
      <c r="F375" s="96"/>
      <c r="G375" s="96"/>
    </row>
    <row r="376" spans="2:7" s="73" customFormat="1" x14ac:dyDescent="0.3">
      <c r="B376" s="97"/>
      <c r="C376" s="98"/>
      <c r="F376" s="96"/>
      <c r="G376" s="96"/>
    </row>
    <row r="377" spans="2:7" s="73" customFormat="1" x14ac:dyDescent="0.3">
      <c r="B377" s="97"/>
      <c r="C377" s="98"/>
      <c r="F377" s="96"/>
      <c r="G377" s="96"/>
    </row>
    <row r="378" spans="2:7" s="73" customFormat="1" x14ac:dyDescent="0.3">
      <c r="B378" s="97"/>
      <c r="C378" s="98"/>
      <c r="F378" s="96"/>
      <c r="G378" s="96"/>
    </row>
    <row r="379" spans="2:7" s="73" customFormat="1" x14ac:dyDescent="0.3">
      <c r="B379" s="97"/>
      <c r="C379" s="98"/>
      <c r="F379" s="96"/>
      <c r="G379" s="96"/>
    </row>
    <row r="380" spans="2:7" s="73" customFormat="1" x14ac:dyDescent="0.3">
      <c r="B380" s="97"/>
      <c r="C380" s="98"/>
      <c r="F380" s="96"/>
      <c r="G380" s="96"/>
    </row>
    <row r="381" spans="2:7" s="73" customFormat="1" x14ac:dyDescent="0.3">
      <c r="B381" s="97"/>
      <c r="C381" s="98"/>
      <c r="F381" s="96"/>
      <c r="G381" s="96"/>
    </row>
    <row r="382" spans="2:7" s="73" customFormat="1" x14ac:dyDescent="0.3">
      <c r="B382" s="97"/>
      <c r="C382" s="98"/>
      <c r="F382" s="96"/>
      <c r="G382" s="96"/>
    </row>
    <row r="383" spans="2:7" s="73" customFormat="1" x14ac:dyDescent="0.3">
      <c r="B383" s="97"/>
      <c r="C383" s="98"/>
      <c r="F383" s="96"/>
      <c r="G383" s="96"/>
    </row>
    <row r="384" spans="2:7" s="73" customFormat="1" x14ac:dyDescent="0.3">
      <c r="B384" s="97"/>
      <c r="C384" s="98"/>
      <c r="F384" s="96"/>
      <c r="G384" s="96"/>
    </row>
    <row r="385" spans="2:7" s="73" customFormat="1" x14ac:dyDescent="0.3">
      <c r="B385" s="97"/>
      <c r="C385" s="98"/>
      <c r="F385" s="96"/>
      <c r="G385" s="96"/>
    </row>
    <row r="386" spans="2:7" s="73" customFormat="1" x14ac:dyDescent="0.3">
      <c r="B386" s="97"/>
      <c r="C386" s="98"/>
      <c r="F386" s="96"/>
      <c r="G386" s="96"/>
    </row>
    <row r="387" spans="2:7" s="73" customFormat="1" x14ac:dyDescent="0.3">
      <c r="B387" s="97"/>
      <c r="C387" s="98"/>
      <c r="F387" s="96"/>
      <c r="G387" s="96"/>
    </row>
    <row r="388" spans="2:7" s="73" customFormat="1" x14ac:dyDescent="0.3">
      <c r="B388" s="97"/>
      <c r="C388" s="98"/>
      <c r="F388" s="96"/>
      <c r="G388" s="96"/>
    </row>
    <row r="389" spans="2:7" s="73" customFormat="1" x14ac:dyDescent="0.3">
      <c r="B389" s="97"/>
      <c r="C389" s="98"/>
      <c r="F389" s="96"/>
      <c r="G389" s="96"/>
    </row>
    <row r="390" spans="2:7" s="73" customFormat="1" x14ac:dyDescent="0.3">
      <c r="B390" s="97"/>
      <c r="C390" s="98"/>
      <c r="F390" s="96"/>
      <c r="G390" s="96"/>
    </row>
    <row r="391" spans="2:7" s="73" customFormat="1" x14ac:dyDescent="0.3">
      <c r="B391" s="97"/>
      <c r="C391" s="98"/>
      <c r="F391" s="96"/>
      <c r="G391" s="96"/>
    </row>
    <row r="392" spans="2:7" s="73" customFormat="1" x14ac:dyDescent="0.3">
      <c r="B392" s="97"/>
      <c r="C392" s="98"/>
      <c r="F392" s="96"/>
      <c r="G392" s="96"/>
    </row>
    <row r="393" spans="2:7" s="73" customFormat="1" x14ac:dyDescent="0.3">
      <c r="B393" s="97"/>
      <c r="C393" s="98"/>
      <c r="F393" s="96"/>
      <c r="G393" s="96"/>
    </row>
    <row r="394" spans="2:7" s="73" customFormat="1" x14ac:dyDescent="0.3">
      <c r="B394" s="97"/>
      <c r="C394" s="98"/>
      <c r="F394" s="96"/>
      <c r="G394" s="96"/>
    </row>
    <row r="395" spans="2:7" s="73" customFormat="1" x14ac:dyDescent="0.3">
      <c r="B395" s="97"/>
      <c r="C395" s="98"/>
      <c r="F395" s="96"/>
      <c r="G395" s="96"/>
    </row>
    <row r="396" spans="2:7" s="73" customFormat="1" x14ac:dyDescent="0.3">
      <c r="B396" s="97"/>
      <c r="C396" s="98"/>
      <c r="F396" s="96"/>
      <c r="G396" s="96"/>
    </row>
    <row r="397" spans="2:7" s="73" customFormat="1" x14ac:dyDescent="0.3">
      <c r="B397" s="97"/>
      <c r="C397" s="98"/>
      <c r="F397" s="96"/>
      <c r="G397" s="96"/>
    </row>
    <row r="398" spans="2:7" s="73" customFormat="1" x14ac:dyDescent="0.3">
      <c r="B398" s="97"/>
      <c r="C398" s="98"/>
      <c r="F398" s="96"/>
      <c r="G398" s="96"/>
    </row>
    <row r="399" spans="2:7" s="73" customFormat="1" x14ac:dyDescent="0.3">
      <c r="B399" s="97"/>
      <c r="C399" s="98"/>
      <c r="F399" s="96"/>
      <c r="G399" s="96"/>
    </row>
    <row r="400" spans="2:7" s="73" customFormat="1" x14ac:dyDescent="0.3">
      <c r="B400" s="97"/>
      <c r="C400" s="98"/>
      <c r="F400" s="96"/>
      <c r="G400" s="96"/>
    </row>
    <row r="401" spans="2:7" s="73" customFormat="1" x14ac:dyDescent="0.3">
      <c r="B401" s="97"/>
      <c r="C401" s="98"/>
      <c r="F401" s="96"/>
      <c r="G401" s="96"/>
    </row>
    <row r="402" spans="2:7" s="73" customFormat="1" x14ac:dyDescent="0.3">
      <c r="B402" s="97"/>
      <c r="C402" s="98"/>
      <c r="F402" s="96"/>
      <c r="G402" s="96"/>
    </row>
    <row r="403" spans="2:7" s="73" customFormat="1" x14ac:dyDescent="0.3">
      <c r="B403" s="97"/>
      <c r="C403" s="98"/>
      <c r="F403" s="96"/>
      <c r="G403" s="96"/>
    </row>
    <row r="404" spans="2:7" s="73" customFormat="1" x14ac:dyDescent="0.3">
      <c r="B404" s="97"/>
      <c r="C404" s="98"/>
      <c r="F404" s="96"/>
      <c r="G404" s="96"/>
    </row>
    <row r="405" spans="2:7" s="73" customFormat="1" x14ac:dyDescent="0.3">
      <c r="B405" s="97"/>
      <c r="C405" s="98"/>
      <c r="F405" s="96"/>
      <c r="G405" s="96"/>
    </row>
    <row r="406" spans="2:7" s="73" customFormat="1" x14ac:dyDescent="0.3">
      <c r="B406" s="97"/>
      <c r="C406" s="98"/>
      <c r="F406" s="96"/>
      <c r="G406" s="96"/>
    </row>
    <row r="407" spans="2:7" s="73" customFormat="1" x14ac:dyDescent="0.3">
      <c r="B407" s="97"/>
      <c r="C407" s="98"/>
      <c r="F407" s="96"/>
      <c r="G407" s="96"/>
    </row>
    <row r="408" spans="2:7" s="73" customFormat="1" x14ac:dyDescent="0.3">
      <c r="B408" s="97"/>
      <c r="C408" s="98"/>
      <c r="F408" s="96"/>
      <c r="G408" s="96"/>
    </row>
    <row r="409" spans="2:7" s="73" customFormat="1" x14ac:dyDescent="0.3">
      <c r="B409" s="97"/>
      <c r="C409" s="98"/>
      <c r="F409" s="96"/>
      <c r="G409" s="96"/>
    </row>
    <row r="410" spans="2:7" s="73" customFormat="1" x14ac:dyDescent="0.3">
      <c r="B410" s="97"/>
      <c r="C410" s="98"/>
      <c r="F410" s="96"/>
      <c r="G410" s="96"/>
    </row>
    <row r="411" spans="2:7" s="73" customFormat="1" x14ac:dyDescent="0.3">
      <c r="B411" s="97"/>
      <c r="C411" s="98"/>
      <c r="F411" s="96"/>
      <c r="G411" s="96"/>
    </row>
    <row r="412" spans="2:7" s="73" customFormat="1" x14ac:dyDescent="0.3">
      <c r="B412" s="97"/>
      <c r="C412" s="98"/>
      <c r="F412" s="96"/>
      <c r="G412" s="96"/>
    </row>
    <row r="413" spans="2:7" s="73" customFormat="1" x14ac:dyDescent="0.3">
      <c r="B413" s="97"/>
      <c r="C413" s="98"/>
      <c r="F413" s="96"/>
      <c r="G413" s="96"/>
    </row>
    <row r="414" spans="2:7" s="73" customFormat="1" x14ac:dyDescent="0.3">
      <c r="B414" s="97"/>
      <c r="C414" s="98"/>
      <c r="F414" s="96"/>
      <c r="G414" s="96"/>
    </row>
    <row r="415" spans="2:7" s="73" customFormat="1" x14ac:dyDescent="0.3">
      <c r="B415" s="97"/>
      <c r="C415" s="98"/>
      <c r="F415" s="96"/>
      <c r="G415" s="96"/>
    </row>
    <row r="416" spans="2:7" s="73" customFormat="1" x14ac:dyDescent="0.3">
      <c r="B416" s="97"/>
      <c r="C416" s="98"/>
      <c r="F416" s="96"/>
      <c r="G416" s="96"/>
    </row>
    <row r="417" spans="2:7" s="73" customFormat="1" x14ac:dyDescent="0.3">
      <c r="B417" s="97"/>
      <c r="C417" s="98"/>
      <c r="F417" s="96"/>
      <c r="G417" s="96"/>
    </row>
    <row r="418" spans="2:7" s="73" customFormat="1" x14ac:dyDescent="0.3">
      <c r="B418" s="97"/>
      <c r="C418" s="98"/>
      <c r="F418" s="96"/>
      <c r="G418" s="96"/>
    </row>
    <row r="419" spans="2:7" s="73" customFormat="1" x14ac:dyDescent="0.3">
      <c r="B419" s="97"/>
      <c r="C419" s="98"/>
      <c r="F419" s="96"/>
      <c r="G419" s="96"/>
    </row>
    <row r="420" spans="2:7" s="73" customFormat="1" x14ac:dyDescent="0.3">
      <c r="B420" s="97"/>
      <c r="C420" s="98"/>
      <c r="F420" s="96"/>
      <c r="G420" s="96"/>
    </row>
    <row r="421" spans="2:7" s="73" customFormat="1" x14ac:dyDescent="0.3">
      <c r="B421" s="97"/>
      <c r="C421" s="98"/>
      <c r="F421" s="96"/>
      <c r="G421" s="96"/>
    </row>
    <row r="422" spans="2:7" s="73" customFormat="1" x14ac:dyDescent="0.3">
      <c r="B422" s="97"/>
      <c r="C422" s="98"/>
      <c r="F422" s="96"/>
      <c r="G422" s="96"/>
    </row>
    <row r="423" spans="2:7" s="73" customFormat="1" x14ac:dyDescent="0.3">
      <c r="B423" s="97"/>
      <c r="C423" s="98"/>
      <c r="F423" s="96"/>
      <c r="G423" s="96"/>
    </row>
    <row r="424" spans="2:7" s="73" customFormat="1" x14ac:dyDescent="0.3">
      <c r="B424" s="97"/>
      <c r="C424" s="98"/>
      <c r="F424" s="96"/>
      <c r="G424" s="96"/>
    </row>
    <row r="425" spans="2:7" s="73" customFormat="1" x14ac:dyDescent="0.3">
      <c r="B425" s="97"/>
      <c r="C425" s="98"/>
      <c r="F425" s="96"/>
      <c r="G425" s="96"/>
    </row>
    <row r="426" spans="2:7" s="73" customFormat="1" x14ac:dyDescent="0.3">
      <c r="B426" s="97"/>
      <c r="C426" s="98"/>
      <c r="F426" s="96"/>
      <c r="G426" s="96"/>
    </row>
    <row r="427" spans="2:7" s="73" customFormat="1" x14ac:dyDescent="0.3">
      <c r="B427" s="97"/>
      <c r="C427" s="98"/>
      <c r="F427" s="96"/>
      <c r="G427" s="96"/>
    </row>
    <row r="428" spans="2:7" s="73" customFormat="1" x14ac:dyDescent="0.3">
      <c r="B428" s="97"/>
      <c r="C428" s="98"/>
      <c r="F428" s="96"/>
      <c r="G428" s="96"/>
    </row>
    <row r="429" spans="2:7" s="73" customFormat="1" x14ac:dyDescent="0.3">
      <c r="B429" s="97"/>
      <c r="C429" s="98"/>
      <c r="F429" s="96"/>
      <c r="G429" s="96"/>
    </row>
    <row r="430" spans="2:7" s="73" customFormat="1" x14ac:dyDescent="0.3">
      <c r="B430" s="97"/>
      <c r="C430" s="98"/>
      <c r="F430" s="96"/>
      <c r="G430" s="96"/>
    </row>
    <row r="431" spans="2:7" s="73" customFormat="1" x14ac:dyDescent="0.3">
      <c r="B431" s="97"/>
      <c r="C431" s="98"/>
      <c r="F431" s="96"/>
      <c r="G431" s="96"/>
    </row>
    <row r="432" spans="2:7" s="73" customFormat="1" x14ac:dyDescent="0.3">
      <c r="B432" s="97"/>
      <c r="C432" s="98"/>
      <c r="F432" s="96"/>
      <c r="G432" s="96"/>
    </row>
    <row r="433" spans="2:7" s="73" customFormat="1" x14ac:dyDescent="0.3">
      <c r="B433" s="97"/>
      <c r="C433" s="98"/>
      <c r="F433" s="96"/>
      <c r="G433" s="96"/>
    </row>
    <row r="434" spans="2:7" s="73" customFormat="1" x14ac:dyDescent="0.3">
      <c r="B434" s="97"/>
      <c r="C434" s="98"/>
      <c r="F434" s="96"/>
      <c r="G434" s="96"/>
    </row>
    <row r="435" spans="2:7" s="73" customFormat="1" x14ac:dyDescent="0.3">
      <c r="B435" s="97"/>
      <c r="C435" s="98"/>
      <c r="F435" s="96"/>
      <c r="G435" s="96"/>
    </row>
    <row r="436" spans="2:7" s="73" customFormat="1" x14ac:dyDescent="0.3">
      <c r="B436" s="97"/>
      <c r="C436" s="98"/>
      <c r="F436" s="96"/>
      <c r="G436" s="96"/>
    </row>
    <row r="437" spans="2:7" s="73" customFormat="1" x14ac:dyDescent="0.3">
      <c r="B437" s="97"/>
      <c r="C437" s="98"/>
      <c r="F437" s="96"/>
      <c r="G437" s="96"/>
    </row>
    <row r="438" spans="2:7" s="73" customFormat="1" x14ac:dyDescent="0.3">
      <c r="B438" s="97"/>
      <c r="C438" s="98"/>
      <c r="F438" s="96"/>
      <c r="G438" s="96"/>
    </row>
    <row r="439" spans="2:7" s="73" customFormat="1" x14ac:dyDescent="0.3">
      <c r="B439" s="97"/>
      <c r="C439" s="98"/>
      <c r="F439" s="96"/>
      <c r="G439" s="96"/>
    </row>
    <row r="440" spans="2:7" s="73" customFormat="1" x14ac:dyDescent="0.3">
      <c r="B440" s="97"/>
      <c r="C440" s="98"/>
      <c r="F440" s="96"/>
      <c r="G440" s="96"/>
    </row>
    <row r="441" spans="2:7" s="73" customFormat="1" x14ac:dyDescent="0.3">
      <c r="B441" s="97"/>
      <c r="C441" s="98"/>
      <c r="F441" s="96"/>
      <c r="G441" s="96"/>
    </row>
    <row r="442" spans="2:7" s="73" customFormat="1" x14ac:dyDescent="0.3">
      <c r="B442" s="97"/>
      <c r="C442" s="98"/>
      <c r="F442" s="96"/>
      <c r="G442" s="96"/>
    </row>
    <row r="443" spans="2:7" s="73" customFormat="1" x14ac:dyDescent="0.3">
      <c r="B443" s="97"/>
      <c r="C443" s="98"/>
      <c r="F443" s="96"/>
      <c r="G443" s="96"/>
    </row>
    <row r="444" spans="2:7" s="73" customFormat="1" x14ac:dyDescent="0.3">
      <c r="B444" s="97"/>
      <c r="C444" s="98"/>
      <c r="F444" s="96"/>
      <c r="G444" s="96"/>
    </row>
    <row r="445" spans="2:7" s="73" customFormat="1" x14ac:dyDescent="0.3">
      <c r="B445" s="97"/>
      <c r="C445" s="98"/>
      <c r="F445" s="96"/>
      <c r="G445" s="96"/>
    </row>
    <row r="446" spans="2:7" s="73" customFormat="1" x14ac:dyDescent="0.3">
      <c r="B446" s="97"/>
      <c r="C446" s="98"/>
      <c r="F446" s="96"/>
      <c r="G446" s="96"/>
    </row>
    <row r="447" spans="2:7" s="73" customFormat="1" x14ac:dyDescent="0.3">
      <c r="B447" s="97"/>
      <c r="C447" s="98"/>
      <c r="F447" s="96"/>
      <c r="G447" s="96"/>
    </row>
    <row r="448" spans="2:7" s="73" customFormat="1" x14ac:dyDescent="0.3">
      <c r="B448" s="97"/>
      <c r="C448" s="98"/>
      <c r="F448" s="96"/>
      <c r="G448" s="96"/>
    </row>
    <row r="449" spans="2:7" s="73" customFormat="1" x14ac:dyDescent="0.3">
      <c r="B449" s="97"/>
      <c r="C449" s="98"/>
      <c r="F449" s="96"/>
      <c r="G449" s="96"/>
    </row>
    <row r="450" spans="2:7" s="73" customFormat="1" x14ac:dyDescent="0.3">
      <c r="B450" s="97"/>
      <c r="C450" s="98"/>
      <c r="F450" s="96"/>
      <c r="G450" s="96"/>
    </row>
    <row r="451" spans="2:7" s="73" customFormat="1" x14ac:dyDescent="0.3">
      <c r="B451" s="97"/>
      <c r="C451" s="98"/>
      <c r="F451" s="96"/>
      <c r="G451" s="96"/>
    </row>
    <row r="452" spans="2:7" s="73" customFormat="1" x14ac:dyDescent="0.3">
      <c r="B452" s="97"/>
      <c r="C452" s="98"/>
      <c r="F452" s="96"/>
      <c r="G452" s="96"/>
    </row>
    <row r="453" spans="2:7" s="73" customFormat="1" x14ac:dyDescent="0.3">
      <c r="B453" s="97"/>
      <c r="C453" s="98"/>
      <c r="F453" s="96"/>
      <c r="G453" s="96"/>
    </row>
    <row r="454" spans="2:7" s="73" customFormat="1" x14ac:dyDescent="0.3">
      <c r="B454" s="97"/>
      <c r="C454" s="98"/>
      <c r="F454" s="96"/>
      <c r="G454" s="96"/>
    </row>
    <row r="455" spans="2:7" s="73" customFormat="1" x14ac:dyDescent="0.3">
      <c r="B455" s="97"/>
      <c r="C455" s="98"/>
      <c r="F455" s="96"/>
      <c r="G455" s="96"/>
    </row>
    <row r="456" spans="2:7" s="73" customFormat="1" x14ac:dyDescent="0.3">
      <c r="B456" s="97"/>
      <c r="C456" s="98"/>
      <c r="F456" s="96"/>
      <c r="G456" s="96"/>
    </row>
    <row r="457" spans="2:7" s="73" customFormat="1" x14ac:dyDescent="0.3">
      <c r="B457" s="97"/>
      <c r="C457" s="98"/>
      <c r="F457" s="96"/>
      <c r="G457" s="96"/>
    </row>
    <row r="458" spans="2:7" s="73" customFormat="1" x14ac:dyDescent="0.3">
      <c r="B458" s="97"/>
      <c r="C458" s="98"/>
      <c r="F458" s="96"/>
      <c r="G458" s="96"/>
    </row>
    <row r="459" spans="2:7" s="73" customFormat="1" x14ac:dyDescent="0.3">
      <c r="B459" s="97"/>
      <c r="C459" s="98"/>
      <c r="F459" s="96"/>
      <c r="G459" s="96"/>
    </row>
    <row r="460" spans="2:7" s="73" customFormat="1" x14ac:dyDescent="0.3">
      <c r="B460" s="97"/>
      <c r="C460" s="98"/>
      <c r="F460" s="96"/>
      <c r="G460" s="96"/>
    </row>
    <row r="461" spans="2:7" s="73" customFormat="1" x14ac:dyDescent="0.3">
      <c r="B461" s="97"/>
      <c r="C461" s="98"/>
      <c r="F461" s="96"/>
      <c r="G461" s="96"/>
    </row>
    <row r="462" spans="2:7" s="73" customFormat="1" x14ac:dyDescent="0.3">
      <c r="B462" s="97"/>
      <c r="C462" s="98"/>
      <c r="F462" s="96"/>
      <c r="G462" s="96"/>
    </row>
    <row r="463" spans="2:7" s="73" customFormat="1" x14ac:dyDescent="0.3">
      <c r="B463" s="97"/>
      <c r="C463" s="98"/>
      <c r="F463" s="96"/>
      <c r="G463" s="96"/>
    </row>
    <row r="464" spans="2:7" s="73" customFormat="1" x14ac:dyDescent="0.3">
      <c r="B464" s="97"/>
      <c r="C464" s="98"/>
      <c r="F464" s="96"/>
      <c r="G464" s="96"/>
    </row>
    <row r="465" spans="2:7" s="73" customFormat="1" x14ac:dyDescent="0.3">
      <c r="B465" s="97"/>
      <c r="C465" s="98"/>
      <c r="F465" s="96"/>
      <c r="G465" s="96"/>
    </row>
    <row r="466" spans="2:7" s="73" customFormat="1" x14ac:dyDescent="0.3">
      <c r="B466" s="97"/>
      <c r="C466" s="98"/>
      <c r="F466" s="96"/>
      <c r="G466" s="96"/>
    </row>
    <row r="467" spans="2:7" s="73" customFormat="1" x14ac:dyDescent="0.3">
      <c r="B467" s="97"/>
      <c r="C467" s="98"/>
      <c r="F467" s="96"/>
      <c r="G467" s="96"/>
    </row>
    <row r="468" spans="2:7" s="73" customFormat="1" x14ac:dyDescent="0.3">
      <c r="B468" s="97"/>
      <c r="C468" s="98"/>
      <c r="F468" s="96"/>
      <c r="G468" s="96"/>
    </row>
    <row r="469" spans="2:7" s="73" customFormat="1" x14ac:dyDescent="0.3">
      <c r="B469" s="97"/>
      <c r="C469" s="98"/>
      <c r="F469" s="96"/>
      <c r="G469" s="96"/>
    </row>
    <row r="470" spans="2:7" s="73" customFormat="1" x14ac:dyDescent="0.3">
      <c r="B470" s="97"/>
      <c r="C470" s="98"/>
      <c r="F470" s="96"/>
      <c r="G470" s="96"/>
    </row>
    <row r="471" spans="2:7" s="73" customFormat="1" x14ac:dyDescent="0.3">
      <c r="B471" s="97"/>
      <c r="C471" s="98"/>
      <c r="F471" s="96"/>
      <c r="G471" s="96"/>
    </row>
    <row r="472" spans="2:7" s="73" customFormat="1" x14ac:dyDescent="0.3">
      <c r="B472" s="97"/>
      <c r="C472" s="98"/>
      <c r="F472" s="96"/>
      <c r="G472" s="96"/>
    </row>
    <row r="473" spans="2:7" s="73" customFormat="1" x14ac:dyDescent="0.3">
      <c r="B473" s="97"/>
      <c r="C473" s="98"/>
      <c r="F473" s="96"/>
      <c r="G473" s="96"/>
    </row>
    <row r="474" spans="2:7" s="73" customFormat="1" x14ac:dyDescent="0.3">
      <c r="B474" s="97"/>
      <c r="C474" s="98"/>
      <c r="F474" s="96"/>
      <c r="G474" s="96"/>
    </row>
    <row r="475" spans="2:7" s="73" customFormat="1" x14ac:dyDescent="0.3">
      <c r="B475" s="97"/>
      <c r="C475" s="98"/>
      <c r="F475" s="96"/>
      <c r="G475" s="96"/>
    </row>
    <row r="476" spans="2:7" s="73" customFormat="1" x14ac:dyDescent="0.3">
      <c r="B476" s="97"/>
      <c r="C476" s="98"/>
      <c r="F476" s="96"/>
      <c r="G476" s="96"/>
    </row>
    <row r="477" spans="2:7" s="73" customFormat="1" x14ac:dyDescent="0.3">
      <c r="B477" s="97"/>
      <c r="C477" s="98"/>
      <c r="F477" s="96"/>
      <c r="G477" s="96"/>
    </row>
    <row r="478" spans="2:7" s="73" customFormat="1" x14ac:dyDescent="0.3">
      <c r="B478" s="97"/>
      <c r="C478" s="98"/>
      <c r="F478" s="96"/>
      <c r="G478" s="96"/>
    </row>
    <row r="479" spans="2:7" s="73" customFormat="1" x14ac:dyDescent="0.3">
      <c r="B479" s="97"/>
      <c r="C479" s="98"/>
      <c r="F479" s="96"/>
      <c r="G479" s="96"/>
    </row>
    <row r="480" spans="2:7" s="73" customFormat="1" x14ac:dyDescent="0.3">
      <c r="B480" s="97"/>
      <c r="C480" s="98"/>
      <c r="F480" s="96"/>
      <c r="G480" s="96"/>
    </row>
    <row r="481" spans="2:7" s="73" customFormat="1" x14ac:dyDescent="0.3">
      <c r="B481" s="97"/>
      <c r="C481" s="98"/>
      <c r="F481" s="96"/>
      <c r="G481" s="96"/>
    </row>
    <row r="482" spans="2:7" s="73" customFormat="1" x14ac:dyDescent="0.3">
      <c r="B482" s="97"/>
      <c r="C482" s="98"/>
      <c r="F482" s="96"/>
      <c r="G482" s="96"/>
    </row>
    <row r="483" spans="2:7" s="73" customFormat="1" x14ac:dyDescent="0.3">
      <c r="B483" s="97"/>
      <c r="C483" s="98"/>
      <c r="F483" s="96"/>
      <c r="G483" s="96"/>
    </row>
    <row r="484" spans="2:7" s="73" customFormat="1" x14ac:dyDescent="0.3">
      <c r="B484" s="97"/>
      <c r="C484" s="98"/>
      <c r="F484" s="96"/>
      <c r="G484" s="96"/>
    </row>
    <row r="485" spans="2:7" s="73" customFormat="1" x14ac:dyDescent="0.3">
      <c r="B485" s="97"/>
      <c r="C485" s="98"/>
      <c r="F485" s="96"/>
      <c r="G485" s="96"/>
    </row>
    <row r="486" spans="2:7" s="73" customFormat="1" x14ac:dyDescent="0.3">
      <c r="B486" s="97"/>
      <c r="C486" s="98"/>
      <c r="F486" s="96"/>
      <c r="G486" s="96"/>
    </row>
    <row r="487" spans="2:7" s="73" customFormat="1" x14ac:dyDescent="0.3">
      <c r="B487" s="97"/>
      <c r="C487" s="98"/>
      <c r="F487" s="96"/>
      <c r="G487" s="96"/>
    </row>
    <row r="488" spans="2:7" s="73" customFormat="1" x14ac:dyDescent="0.3">
      <c r="B488" s="97"/>
      <c r="C488" s="98"/>
      <c r="F488" s="96"/>
      <c r="G488" s="96"/>
    </row>
    <row r="489" spans="2:7" s="73" customFormat="1" x14ac:dyDescent="0.3">
      <c r="B489" s="97"/>
      <c r="C489" s="98"/>
      <c r="F489" s="96"/>
      <c r="G489" s="96"/>
    </row>
    <row r="490" spans="2:7" s="73" customFormat="1" x14ac:dyDescent="0.3">
      <c r="B490" s="97"/>
      <c r="C490" s="98"/>
      <c r="F490" s="96"/>
      <c r="G490" s="96"/>
    </row>
    <row r="491" spans="2:7" s="73" customFormat="1" x14ac:dyDescent="0.3">
      <c r="B491" s="97"/>
      <c r="C491" s="98"/>
      <c r="F491" s="96"/>
      <c r="G491" s="96"/>
    </row>
    <row r="492" spans="2:7" s="73" customFormat="1" x14ac:dyDescent="0.3">
      <c r="B492" s="97"/>
      <c r="C492" s="98"/>
      <c r="F492" s="96"/>
      <c r="G492" s="96"/>
    </row>
    <row r="493" spans="2:7" s="73" customFormat="1" x14ac:dyDescent="0.3">
      <c r="B493" s="97"/>
      <c r="C493" s="98"/>
      <c r="F493" s="96"/>
      <c r="G493" s="96"/>
    </row>
    <row r="494" spans="2:7" s="73" customFormat="1" x14ac:dyDescent="0.3">
      <c r="B494" s="97"/>
      <c r="C494" s="98"/>
      <c r="F494" s="96"/>
      <c r="G494" s="96"/>
    </row>
    <row r="495" spans="2:7" s="73" customFormat="1" x14ac:dyDescent="0.3">
      <c r="B495" s="97"/>
      <c r="C495" s="98"/>
      <c r="F495" s="96"/>
      <c r="G495" s="96"/>
    </row>
    <row r="496" spans="2:7" s="73" customFormat="1" x14ac:dyDescent="0.3">
      <c r="B496" s="97"/>
      <c r="C496" s="98"/>
      <c r="F496" s="96"/>
      <c r="G496" s="96"/>
    </row>
    <row r="497" spans="2:7" s="73" customFormat="1" x14ac:dyDescent="0.3">
      <c r="B497" s="97"/>
      <c r="C497" s="98"/>
      <c r="F497" s="96"/>
      <c r="G497" s="96"/>
    </row>
    <row r="498" spans="2:7" s="73" customFormat="1" x14ac:dyDescent="0.3">
      <c r="B498" s="97"/>
      <c r="C498" s="98"/>
      <c r="F498" s="96"/>
      <c r="G498" s="96"/>
    </row>
    <row r="499" spans="2:7" s="73" customFormat="1" x14ac:dyDescent="0.3">
      <c r="B499" s="97"/>
      <c r="C499" s="98"/>
      <c r="F499" s="96"/>
      <c r="G499" s="96"/>
    </row>
    <row r="500" spans="2:7" s="73" customFormat="1" x14ac:dyDescent="0.3">
      <c r="B500" s="97"/>
      <c r="C500" s="98"/>
      <c r="F500" s="96"/>
      <c r="G500" s="96"/>
    </row>
    <row r="501" spans="2:7" s="73" customFormat="1" x14ac:dyDescent="0.3">
      <c r="B501" s="97"/>
      <c r="C501" s="98"/>
      <c r="F501" s="96"/>
      <c r="G501" s="96"/>
    </row>
    <row r="502" spans="2:7" s="73" customFormat="1" x14ac:dyDescent="0.3">
      <c r="B502" s="97"/>
      <c r="C502" s="98"/>
      <c r="F502" s="96"/>
      <c r="G502" s="96"/>
    </row>
    <row r="503" spans="2:7" s="73" customFormat="1" x14ac:dyDescent="0.3">
      <c r="B503" s="97"/>
      <c r="C503" s="98"/>
      <c r="F503" s="96"/>
      <c r="G503" s="96"/>
    </row>
    <row r="504" spans="2:7" s="73" customFormat="1" x14ac:dyDescent="0.3">
      <c r="B504" s="97"/>
      <c r="C504" s="98"/>
      <c r="F504" s="96"/>
      <c r="G504" s="96"/>
    </row>
    <row r="505" spans="2:7" s="73" customFormat="1" x14ac:dyDescent="0.3">
      <c r="B505" s="97"/>
      <c r="C505" s="98"/>
      <c r="F505" s="96"/>
      <c r="G505" s="96"/>
    </row>
    <row r="506" spans="2:7" s="73" customFormat="1" x14ac:dyDescent="0.3">
      <c r="B506" s="97"/>
      <c r="C506" s="98"/>
      <c r="F506" s="96"/>
      <c r="G506" s="96"/>
    </row>
    <row r="507" spans="2:7" s="73" customFormat="1" x14ac:dyDescent="0.3">
      <c r="B507" s="97"/>
      <c r="C507" s="98"/>
      <c r="F507" s="96"/>
      <c r="G507" s="96"/>
    </row>
    <row r="508" spans="2:7" s="73" customFormat="1" x14ac:dyDescent="0.3">
      <c r="B508" s="97"/>
      <c r="C508" s="98"/>
      <c r="F508" s="96"/>
      <c r="G508" s="96"/>
    </row>
    <row r="509" spans="2:7" s="73" customFormat="1" x14ac:dyDescent="0.3">
      <c r="B509" s="97"/>
      <c r="C509" s="98"/>
      <c r="F509" s="96"/>
      <c r="G509" s="96"/>
    </row>
    <row r="510" spans="2:7" s="73" customFormat="1" x14ac:dyDescent="0.3">
      <c r="B510" s="97"/>
      <c r="C510" s="98"/>
      <c r="F510" s="96"/>
      <c r="G510" s="96"/>
    </row>
    <row r="511" spans="2:7" s="73" customFormat="1" x14ac:dyDescent="0.3">
      <c r="B511" s="97"/>
      <c r="C511" s="98"/>
      <c r="F511" s="96"/>
      <c r="G511" s="96"/>
    </row>
    <row r="512" spans="2:7" s="73" customFormat="1" x14ac:dyDescent="0.3">
      <c r="B512" s="97"/>
      <c r="C512" s="98"/>
      <c r="F512" s="96"/>
      <c r="G512" s="96"/>
    </row>
    <row r="513" spans="2:7" s="73" customFormat="1" x14ac:dyDescent="0.3">
      <c r="B513" s="97"/>
      <c r="C513" s="98"/>
      <c r="F513" s="96"/>
      <c r="G513" s="96"/>
    </row>
    <row r="514" spans="2:7" s="73" customFormat="1" x14ac:dyDescent="0.3">
      <c r="B514" s="97"/>
      <c r="C514" s="98"/>
      <c r="F514" s="96"/>
      <c r="G514" s="96"/>
    </row>
    <row r="515" spans="2:7" s="73" customFormat="1" x14ac:dyDescent="0.3">
      <c r="B515" s="97"/>
      <c r="C515" s="98"/>
      <c r="F515" s="96"/>
      <c r="G515" s="96"/>
    </row>
    <row r="516" spans="2:7" s="73" customFormat="1" x14ac:dyDescent="0.3">
      <c r="B516" s="97"/>
      <c r="C516" s="98"/>
      <c r="F516" s="96"/>
      <c r="G516" s="96"/>
    </row>
    <row r="517" spans="2:7" s="73" customFormat="1" x14ac:dyDescent="0.3">
      <c r="B517" s="97"/>
      <c r="C517" s="98"/>
      <c r="F517" s="96"/>
      <c r="G517" s="96"/>
    </row>
    <row r="518" spans="2:7" s="73" customFormat="1" x14ac:dyDescent="0.3">
      <c r="B518" s="97"/>
      <c r="C518" s="98"/>
      <c r="F518" s="96"/>
      <c r="G518" s="96"/>
    </row>
    <row r="519" spans="2:7" s="73" customFormat="1" x14ac:dyDescent="0.3">
      <c r="B519" s="97"/>
      <c r="C519" s="98"/>
      <c r="F519" s="96"/>
      <c r="G519" s="96"/>
    </row>
    <row r="520" spans="2:7" s="73" customFormat="1" x14ac:dyDescent="0.3">
      <c r="B520" s="97"/>
      <c r="C520" s="98"/>
      <c r="F520" s="96"/>
      <c r="G520" s="96"/>
    </row>
    <row r="521" spans="2:7" s="73" customFormat="1" x14ac:dyDescent="0.3">
      <c r="B521" s="97"/>
      <c r="C521" s="98"/>
      <c r="F521" s="96"/>
      <c r="G521" s="96"/>
    </row>
    <row r="522" spans="2:7" s="73" customFormat="1" x14ac:dyDescent="0.3">
      <c r="B522" s="97"/>
      <c r="C522" s="98"/>
      <c r="F522" s="96"/>
      <c r="G522" s="96"/>
    </row>
    <row r="523" spans="2:7" s="73" customFormat="1" x14ac:dyDescent="0.3">
      <c r="B523" s="97"/>
      <c r="C523" s="98"/>
      <c r="F523" s="96"/>
      <c r="G523" s="96"/>
    </row>
    <row r="524" spans="2:7" s="73" customFormat="1" x14ac:dyDescent="0.3">
      <c r="B524" s="97"/>
      <c r="C524" s="98"/>
      <c r="F524" s="96"/>
      <c r="G524" s="96"/>
    </row>
    <row r="525" spans="2:7" s="73" customFormat="1" x14ac:dyDescent="0.3">
      <c r="B525" s="97"/>
      <c r="C525" s="98"/>
      <c r="F525" s="96"/>
      <c r="G525" s="96"/>
    </row>
    <row r="526" spans="2:7" s="73" customFormat="1" x14ac:dyDescent="0.3">
      <c r="B526" s="97"/>
      <c r="C526" s="98"/>
      <c r="F526" s="96"/>
      <c r="G526" s="96"/>
    </row>
    <row r="527" spans="2:7" s="73" customFormat="1" x14ac:dyDescent="0.3">
      <c r="B527" s="97"/>
      <c r="C527" s="98"/>
      <c r="F527" s="96"/>
      <c r="G527" s="96"/>
    </row>
    <row r="528" spans="2:7" s="73" customFormat="1" x14ac:dyDescent="0.3">
      <c r="B528" s="97"/>
      <c r="C528" s="98"/>
      <c r="F528" s="96"/>
      <c r="G528" s="96"/>
    </row>
    <row r="529" spans="2:7" s="73" customFormat="1" x14ac:dyDescent="0.3">
      <c r="B529" s="97"/>
      <c r="C529" s="98"/>
      <c r="F529" s="96"/>
      <c r="G529" s="96"/>
    </row>
    <row r="530" spans="2:7" s="73" customFormat="1" x14ac:dyDescent="0.3">
      <c r="B530" s="97"/>
      <c r="C530" s="98"/>
      <c r="F530" s="96"/>
      <c r="G530" s="96"/>
    </row>
    <row r="531" spans="2:7" s="73" customFormat="1" x14ac:dyDescent="0.3">
      <c r="B531" s="97"/>
      <c r="C531" s="98"/>
      <c r="F531" s="96"/>
      <c r="G531" s="96"/>
    </row>
    <row r="532" spans="2:7" s="73" customFormat="1" x14ac:dyDescent="0.3">
      <c r="B532" s="97"/>
      <c r="C532" s="98"/>
      <c r="F532" s="96"/>
      <c r="G532" s="96"/>
    </row>
    <row r="533" spans="2:7" s="73" customFormat="1" x14ac:dyDescent="0.3">
      <c r="B533" s="97"/>
      <c r="C533" s="98"/>
      <c r="F533" s="96"/>
      <c r="G533" s="96"/>
    </row>
    <row r="534" spans="2:7" s="73" customFormat="1" x14ac:dyDescent="0.3">
      <c r="B534" s="97"/>
      <c r="C534" s="98"/>
      <c r="F534" s="96"/>
      <c r="G534" s="96"/>
    </row>
    <row r="535" spans="2:7" s="73" customFormat="1" x14ac:dyDescent="0.3">
      <c r="B535" s="97"/>
      <c r="C535" s="98"/>
      <c r="F535" s="96"/>
      <c r="G535" s="96"/>
    </row>
    <row r="536" spans="2:7" s="73" customFormat="1" x14ac:dyDescent="0.3">
      <c r="B536" s="97"/>
      <c r="C536" s="98"/>
      <c r="F536" s="96"/>
      <c r="G536" s="96"/>
    </row>
    <row r="537" spans="2:7" s="73" customFormat="1" x14ac:dyDescent="0.3">
      <c r="B537" s="97"/>
      <c r="C537" s="98"/>
      <c r="F537" s="96"/>
      <c r="G537" s="96"/>
    </row>
    <row r="538" spans="2:7" s="73" customFormat="1" x14ac:dyDescent="0.3">
      <c r="B538" s="97"/>
      <c r="C538" s="98"/>
      <c r="F538" s="96"/>
      <c r="G538" s="96"/>
    </row>
    <row r="539" spans="2:7" s="73" customFormat="1" x14ac:dyDescent="0.3">
      <c r="B539" s="97"/>
      <c r="C539" s="98"/>
      <c r="F539" s="96"/>
      <c r="G539" s="96"/>
    </row>
    <row r="540" spans="2:7" s="73" customFormat="1" x14ac:dyDescent="0.3">
      <c r="B540" s="97"/>
      <c r="C540" s="98"/>
      <c r="F540" s="96"/>
      <c r="G540" s="96"/>
    </row>
    <row r="541" spans="2:7" s="73" customFormat="1" x14ac:dyDescent="0.3">
      <c r="B541" s="97"/>
      <c r="C541" s="98"/>
      <c r="F541" s="96"/>
      <c r="G541" s="96"/>
    </row>
    <row r="542" spans="2:7" s="73" customFormat="1" x14ac:dyDescent="0.3">
      <c r="B542" s="97"/>
      <c r="C542" s="98"/>
      <c r="F542" s="96"/>
      <c r="G542" s="96"/>
    </row>
    <row r="543" spans="2:7" s="73" customFormat="1" x14ac:dyDescent="0.3">
      <c r="B543" s="97"/>
      <c r="C543" s="98"/>
      <c r="F543" s="96"/>
      <c r="G543" s="96"/>
    </row>
    <row r="544" spans="2:7" s="73" customFormat="1" x14ac:dyDescent="0.3">
      <c r="B544" s="97"/>
      <c r="C544" s="98"/>
      <c r="F544" s="96"/>
      <c r="G544" s="96"/>
    </row>
    <row r="545" spans="2:7" s="73" customFormat="1" x14ac:dyDescent="0.3">
      <c r="B545" s="97"/>
      <c r="C545" s="98"/>
      <c r="F545" s="96"/>
      <c r="G545" s="96"/>
    </row>
    <row r="546" spans="2:7" s="73" customFormat="1" x14ac:dyDescent="0.3">
      <c r="B546" s="97"/>
      <c r="C546" s="98"/>
      <c r="F546" s="96"/>
      <c r="G546" s="96"/>
    </row>
    <row r="547" spans="2:7" s="73" customFormat="1" x14ac:dyDescent="0.3">
      <c r="B547" s="97"/>
      <c r="C547" s="98"/>
      <c r="F547" s="96"/>
      <c r="G547" s="96"/>
    </row>
    <row r="548" spans="2:7" s="73" customFormat="1" x14ac:dyDescent="0.3">
      <c r="B548" s="97"/>
      <c r="C548" s="98"/>
      <c r="F548" s="96"/>
      <c r="G548" s="96"/>
    </row>
    <row r="549" spans="2:7" s="73" customFormat="1" x14ac:dyDescent="0.3">
      <c r="B549" s="97"/>
      <c r="C549" s="98"/>
      <c r="F549" s="96"/>
      <c r="G549" s="96"/>
    </row>
    <row r="550" spans="2:7" s="73" customFormat="1" x14ac:dyDescent="0.3">
      <c r="B550" s="97"/>
      <c r="C550" s="98"/>
      <c r="F550" s="96"/>
      <c r="G550" s="96"/>
    </row>
    <row r="551" spans="2:7" s="73" customFormat="1" x14ac:dyDescent="0.3">
      <c r="B551" s="97"/>
      <c r="C551" s="98"/>
      <c r="F551" s="96"/>
      <c r="G551" s="96"/>
    </row>
    <row r="552" spans="2:7" s="73" customFormat="1" x14ac:dyDescent="0.3">
      <c r="B552" s="97"/>
      <c r="C552" s="98"/>
      <c r="F552" s="96"/>
      <c r="G552" s="96"/>
    </row>
    <row r="553" spans="2:7" s="73" customFormat="1" x14ac:dyDescent="0.3">
      <c r="B553" s="97"/>
      <c r="C553" s="98"/>
      <c r="F553" s="96"/>
      <c r="G553" s="96"/>
    </row>
    <row r="554" spans="2:7" s="73" customFormat="1" x14ac:dyDescent="0.3">
      <c r="B554" s="97"/>
      <c r="C554" s="98"/>
      <c r="F554" s="96"/>
      <c r="G554" s="96"/>
    </row>
    <row r="555" spans="2:7" s="73" customFormat="1" x14ac:dyDescent="0.3">
      <c r="B555" s="97"/>
      <c r="C555" s="98"/>
      <c r="F555" s="96"/>
      <c r="G555" s="96"/>
    </row>
    <row r="556" spans="2:7" s="73" customFormat="1" x14ac:dyDescent="0.3">
      <c r="B556" s="97"/>
      <c r="C556" s="98"/>
      <c r="F556" s="96"/>
      <c r="G556" s="96"/>
    </row>
    <row r="557" spans="2:7" s="73" customFormat="1" x14ac:dyDescent="0.3">
      <c r="B557" s="97"/>
      <c r="C557" s="98"/>
      <c r="F557" s="96"/>
      <c r="G557" s="96"/>
    </row>
    <row r="558" spans="2:7" s="73" customFormat="1" x14ac:dyDescent="0.3">
      <c r="B558" s="97"/>
      <c r="C558" s="98"/>
      <c r="F558" s="96"/>
      <c r="G558" s="96"/>
    </row>
    <row r="559" spans="2:7" s="73" customFormat="1" x14ac:dyDescent="0.3">
      <c r="B559" s="97"/>
      <c r="C559" s="98"/>
      <c r="F559" s="96"/>
      <c r="G559" s="96"/>
    </row>
    <row r="560" spans="2:7" s="73" customFormat="1" x14ac:dyDescent="0.3">
      <c r="B560" s="97"/>
      <c r="C560" s="98"/>
      <c r="F560" s="96"/>
      <c r="G560" s="96"/>
    </row>
    <row r="561" spans="2:7" s="73" customFormat="1" x14ac:dyDescent="0.3">
      <c r="B561" s="97"/>
      <c r="C561" s="98"/>
      <c r="F561" s="96"/>
      <c r="G561" s="96"/>
    </row>
    <row r="562" spans="2:7" s="73" customFormat="1" x14ac:dyDescent="0.3">
      <c r="B562" s="97"/>
      <c r="C562" s="98"/>
      <c r="F562" s="96"/>
      <c r="G562" s="96"/>
    </row>
    <row r="563" spans="2:7" s="73" customFormat="1" x14ac:dyDescent="0.3">
      <c r="B563" s="97"/>
      <c r="C563" s="98"/>
      <c r="F563" s="96"/>
      <c r="G563" s="96"/>
    </row>
    <row r="564" spans="2:7" s="73" customFormat="1" x14ac:dyDescent="0.3">
      <c r="B564" s="97"/>
      <c r="C564" s="98"/>
      <c r="F564" s="96"/>
      <c r="G564" s="96"/>
    </row>
    <row r="565" spans="2:7" s="73" customFormat="1" x14ac:dyDescent="0.3">
      <c r="B565" s="97"/>
      <c r="C565" s="98"/>
      <c r="F565" s="96"/>
      <c r="G565" s="96"/>
    </row>
    <row r="566" spans="2:7" s="73" customFormat="1" x14ac:dyDescent="0.3">
      <c r="B566" s="97"/>
      <c r="C566" s="98"/>
      <c r="F566" s="96"/>
      <c r="G566" s="96"/>
    </row>
    <row r="567" spans="2:7" s="73" customFormat="1" x14ac:dyDescent="0.3">
      <c r="B567" s="97"/>
      <c r="C567" s="98"/>
      <c r="F567" s="96"/>
      <c r="G567" s="96"/>
    </row>
    <row r="568" spans="2:7" s="73" customFormat="1" x14ac:dyDescent="0.3">
      <c r="B568" s="97"/>
      <c r="C568" s="98"/>
      <c r="F568" s="96"/>
      <c r="G568" s="96"/>
    </row>
    <row r="569" spans="2:7" s="73" customFormat="1" x14ac:dyDescent="0.3">
      <c r="B569" s="97"/>
      <c r="C569" s="98"/>
      <c r="F569" s="96"/>
      <c r="G569" s="96"/>
    </row>
    <row r="570" spans="2:7" s="73" customFormat="1" x14ac:dyDescent="0.3">
      <c r="B570" s="97"/>
      <c r="C570" s="98"/>
      <c r="F570" s="96"/>
      <c r="G570" s="96"/>
    </row>
    <row r="571" spans="2:7" s="73" customFormat="1" x14ac:dyDescent="0.3">
      <c r="B571" s="97"/>
      <c r="C571" s="98"/>
      <c r="F571" s="96"/>
      <c r="G571" s="96"/>
    </row>
    <row r="572" spans="2:7" s="73" customFormat="1" x14ac:dyDescent="0.3">
      <c r="B572" s="97"/>
      <c r="C572" s="98"/>
      <c r="F572" s="96"/>
      <c r="G572" s="96"/>
    </row>
    <row r="573" spans="2:7" s="73" customFormat="1" x14ac:dyDescent="0.3">
      <c r="B573" s="97"/>
      <c r="C573" s="98"/>
      <c r="F573" s="96"/>
      <c r="G573" s="96"/>
    </row>
    <row r="574" spans="2:7" s="73" customFormat="1" x14ac:dyDescent="0.3">
      <c r="B574" s="97"/>
      <c r="C574" s="98"/>
      <c r="F574" s="96"/>
      <c r="G574" s="96"/>
    </row>
    <row r="575" spans="2:7" s="73" customFormat="1" x14ac:dyDescent="0.3">
      <c r="B575" s="97"/>
      <c r="C575" s="98"/>
      <c r="F575" s="96"/>
      <c r="G575" s="96"/>
    </row>
    <row r="576" spans="2:7" s="73" customFormat="1" x14ac:dyDescent="0.3">
      <c r="B576" s="97"/>
      <c r="C576" s="98"/>
      <c r="F576" s="96"/>
      <c r="G576" s="96"/>
    </row>
    <row r="577" spans="2:7" s="73" customFormat="1" x14ac:dyDescent="0.3">
      <c r="B577" s="97"/>
      <c r="C577" s="98"/>
      <c r="F577" s="96"/>
      <c r="G577" s="96"/>
    </row>
    <row r="578" spans="2:7" s="73" customFormat="1" x14ac:dyDescent="0.3">
      <c r="B578" s="97"/>
      <c r="C578" s="98"/>
      <c r="F578" s="96"/>
      <c r="G578" s="96"/>
    </row>
    <row r="579" spans="2:7" s="73" customFormat="1" x14ac:dyDescent="0.3">
      <c r="B579" s="97"/>
      <c r="C579" s="98"/>
      <c r="F579" s="96"/>
      <c r="G579" s="96"/>
    </row>
    <row r="580" spans="2:7" s="73" customFormat="1" x14ac:dyDescent="0.3">
      <c r="B580" s="97"/>
      <c r="C580" s="98"/>
      <c r="F580" s="96"/>
      <c r="G580" s="96"/>
    </row>
    <row r="581" spans="2:7" s="73" customFormat="1" x14ac:dyDescent="0.3">
      <c r="B581" s="97"/>
      <c r="C581" s="98"/>
      <c r="F581" s="96"/>
      <c r="G581" s="96"/>
    </row>
    <row r="582" spans="2:7" s="73" customFormat="1" x14ac:dyDescent="0.3">
      <c r="B582" s="97"/>
      <c r="C582" s="98"/>
      <c r="F582" s="96"/>
      <c r="G582" s="96"/>
    </row>
    <row r="583" spans="2:7" s="73" customFormat="1" x14ac:dyDescent="0.3">
      <c r="B583" s="97"/>
      <c r="C583" s="98"/>
      <c r="F583" s="96"/>
      <c r="G583" s="96"/>
    </row>
    <row r="584" spans="2:7" s="73" customFormat="1" x14ac:dyDescent="0.3">
      <c r="B584" s="97"/>
      <c r="C584" s="98"/>
      <c r="F584" s="96"/>
      <c r="G584" s="96"/>
    </row>
    <row r="585" spans="2:7" s="73" customFormat="1" x14ac:dyDescent="0.3">
      <c r="B585" s="97"/>
      <c r="C585" s="98"/>
      <c r="F585" s="96"/>
      <c r="G585" s="96"/>
    </row>
    <row r="586" spans="2:7" s="73" customFormat="1" x14ac:dyDescent="0.3">
      <c r="B586" s="97"/>
      <c r="C586" s="98"/>
      <c r="F586" s="96"/>
      <c r="G586" s="96"/>
    </row>
    <row r="587" spans="2:7" s="73" customFormat="1" x14ac:dyDescent="0.3">
      <c r="B587" s="97"/>
      <c r="C587" s="98"/>
      <c r="F587" s="96"/>
      <c r="G587" s="96"/>
    </row>
    <row r="588" spans="2:7" s="73" customFormat="1" x14ac:dyDescent="0.3">
      <c r="B588" s="97"/>
      <c r="C588" s="98"/>
      <c r="F588" s="96"/>
      <c r="G588" s="96"/>
    </row>
    <row r="589" spans="2:7" s="73" customFormat="1" x14ac:dyDescent="0.3">
      <c r="B589" s="97"/>
      <c r="C589" s="98"/>
      <c r="F589" s="96"/>
      <c r="G589" s="96"/>
    </row>
    <row r="590" spans="2:7" s="73" customFormat="1" x14ac:dyDescent="0.3">
      <c r="B590" s="97"/>
      <c r="C590" s="98"/>
      <c r="F590" s="96"/>
      <c r="G590" s="96"/>
    </row>
    <row r="591" spans="2:7" s="73" customFormat="1" x14ac:dyDescent="0.3">
      <c r="B591" s="97"/>
      <c r="C591" s="98"/>
      <c r="F591" s="96"/>
      <c r="G591" s="96"/>
    </row>
    <row r="592" spans="2:7" s="73" customFormat="1" x14ac:dyDescent="0.3">
      <c r="B592" s="97"/>
      <c r="C592" s="98"/>
      <c r="F592" s="96"/>
      <c r="G592" s="96"/>
    </row>
    <row r="593" spans="2:7" s="73" customFormat="1" x14ac:dyDescent="0.3">
      <c r="B593" s="97"/>
      <c r="C593" s="98"/>
      <c r="F593" s="96"/>
      <c r="G593" s="96"/>
    </row>
    <row r="594" spans="2:7" s="73" customFormat="1" x14ac:dyDescent="0.3">
      <c r="B594" s="97"/>
      <c r="C594" s="98"/>
      <c r="F594" s="96"/>
      <c r="G594" s="96"/>
    </row>
    <row r="595" spans="2:7" s="73" customFormat="1" x14ac:dyDescent="0.3">
      <c r="B595" s="97"/>
      <c r="C595" s="98"/>
      <c r="F595" s="96"/>
      <c r="G595" s="96"/>
    </row>
    <row r="596" spans="2:7" s="73" customFormat="1" x14ac:dyDescent="0.3">
      <c r="B596" s="97"/>
      <c r="C596" s="98"/>
      <c r="F596" s="96"/>
      <c r="G596" s="96"/>
    </row>
    <row r="597" spans="2:7" s="73" customFormat="1" x14ac:dyDescent="0.3">
      <c r="B597" s="97"/>
      <c r="C597" s="98"/>
      <c r="F597" s="96"/>
      <c r="G597" s="96"/>
    </row>
    <row r="598" spans="2:7" s="73" customFormat="1" x14ac:dyDescent="0.3">
      <c r="B598" s="97"/>
      <c r="C598" s="98"/>
      <c r="F598" s="96"/>
      <c r="G598" s="96"/>
    </row>
    <row r="599" spans="2:7" s="73" customFormat="1" x14ac:dyDescent="0.3">
      <c r="B599" s="97"/>
      <c r="C599" s="98"/>
      <c r="F599" s="96"/>
      <c r="G599" s="96"/>
    </row>
    <row r="600" spans="2:7" s="73" customFormat="1" x14ac:dyDescent="0.3">
      <c r="B600" s="97"/>
      <c r="C600" s="98"/>
      <c r="F600" s="96"/>
      <c r="G600" s="96"/>
    </row>
    <row r="601" spans="2:7" s="73" customFormat="1" x14ac:dyDescent="0.3">
      <c r="B601" s="97"/>
      <c r="C601" s="98"/>
      <c r="F601" s="96"/>
      <c r="G601" s="96"/>
    </row>
    <row r="602" spans="2:7" s="73" customFormat="1" x14ac:dyDescent="0.3">
      <c r="B602" s="97"/>
      <c r="C602" s="98"/>
      <c r="F602" s="96"/>
      <c r="G602" s="96"/>
    </row>
    <row r="603" spans="2:7" s="73" customFormat="1" x14ac:dyDescent="0.3">
      <c r="B603" s="97"/>
      <c r="C603" s="98"/>
      <c r="F603" s="96"/>
      <c r="G603" s="96"/>
    </row>
    <row r="604" spans="2:7" s="73" customFormat="1" x14ac:dyDescent="0.3">
      <c r="B604" s="97"/>
      <c r="C604" s="98"/>
      <c r="F604" s="96"/>
      <c r="G604" s="96"/>
    </row>
    <row r="605" spans="2:7" s="73" customFormat="1" x14ac:dyDescent="0.3">
      <c r="B605" s="97"/>
      <c r="C605" s="98"/>
      <c r="F605" s="96"/>
      <c r="G605" s="96"/>
    </row>
    <row r="606" spans="2:7" s="73" customFormat="1" x14ac:dyDescent="0.3">
      <c r="B606" s="97"/>
      <c r="C606" s="98"/>
      <c r="F606" s="96"/>
      <c r="G606" s="96"/>
    </row>
    <row r="607" spans="2:7" s="73" customFormat="1" x14ac:dyDescent="0.3">
      <c r="B607" s="97"/>
      <c r="C607" s="98"/>
      <c r="F607" s="96"/>
      <c r="G607" s="96"/>
    </row>
    <row r="608" spans="2:7" s="73" customFormat="1" x14ac:dyDescent="0.3">
      <c r="B608" s="97"/>
      <c r="C608" s="98"/>
      <c r="F608" s="96"/>
      <c r="G608" s="96"/>
    </row>
    <row r="609" spans="2:7" s="73" customFormat="1" x14ac:dyDescent="0.3">
      <c r="B609" s="97"/>
      <c r="C609" s="98"/>
      <c r="F609" s="96"/>
      <c r="G609" s="96"/>
    </row>
    <row r="610" spans="2:7" s="73" customFormat="1" x14ac:dyDescent="0.3">
      <c r="B610" s="97"/>
      <c r="C610" s="98"/>
      <c r="F610" s="96"/>
      <c r="G610" s="96"/>
    </row>
    <row r="611" spans="2:7" s="73" customFormat="1" x14ac:dyDescent="0.3">
      <c r="B611" s="97"/>
      <c r="C611" s="98"/>
      <c r="F611" s="96"/>
      <c r="G611" s="96"/>
    </row>
    <row r="612" spans="2:7" s="73" customFormat="1" x14ac:dyDescent="0.3">
      <c r="B612" s="97"/>
      <c r="C612" s="98"/>
      <c r="F612" s="96"/>
      <c r="G612" s="96"/>
    </row>
    <row r="613" spans="2:7" s="73" customFormat="1" x14ac:dyDescent="0.3">
      <c r="B613" s="97"/>
      <c r="C613" s="98"/>
      <c r="F613" s="96"/>
      <c r="G613" s="96"/>
    </row>
    <row r="614" spans="2:7" s="73" customFormat="1" x14ac:dyDescent="0.3">
      <c r="B614" s="97"/>
      <c r="C614" s="98"/>
      <c r="F614" s="96"/>
      <c r="G614" s="96"/>
    </row>
    <row r="615" spans="2:7" s="73" customFormat="1" x14ac:dyDescent="0.3">
      <c r="B615" s="97"/>
      <c r="C615" s="98"/>
      <c r="F615" s="96"/>
      <c r="G615" s="96"/>
    </row>
    <row r="616" spans="2:7" s="73" customFormat="1" x14ac:dyDescent="0.3">
      <c r="B616" s="97"/>
      <c r="C616" s="98"/>
      <c r="F616" s="96"/>
      <c r="G616" s="96"/>
    </row>
    <row r="617" spans="2:7" s="73" customFormat="1" x14ac:dyDescent="0.3">
      <c r="B617" s="97"/>
      <c r="C617" s="98"/>
      <c r="F617" s="96"/>
      <c r="G617" s="96"/>
    </row>
    <row r="618" spans="2:7" s="73" customFormat="1" x14ac:dyDescent="0.3">
      <c r="B618" s="97"/>
      <c r="C618" s="98"/>
      <c r="F618" s="96"/>
      <c r="G618" s="96"/>
    </row>
    <row r="619" spans="2:7" s="73" customFormat="1" x14ac:dyDescent="0.3">
      <c r="B619" s="97"/>
      <c r="C619" s="98"/>
      <c r="F619" s="96"/>
      <c r="G619" s="96"/>
    </row>
    <row r="620" spans="2:7" s="73" customFormat="1" x14ac:dyDescent="0.3">
      <c r="B620" s="97"/>
      <c r="C620" s="98"/>
      <c r="F620" s="96"/>
      <c r="G620" s="96"/>
    </row>
    <row r="621" spans="2:7" s="73" customFormat="1" x14ac:dyDescent="0.3">
      <c r="B621" s="97"/>
      <c r="C621" s="98"/>
      <c r="F621" s="96"/>
      <c r="G621" s="96"/>
    </row>
    <row r="622" spans="2:7" s="73" customFormat="1" x14ac:dyDescent="0.3">
      <c r="B622" s="97"/>
      <c r="C622" s="98"/>
      <c r="F622" s="96"/>
      <c r="G622" s="96"/>
    </row>
    <row r="623" spans="2:7" s="73" customFormat="1" x14ac:dyDescent="0.3">
      <c r="B623" s="97"/>
      <c r="C623" s="98"/>
      <c r="F623" s="96"/>
      <c r="G623" s="96"/>
    </row>
    <row r="624" spans="2:7" s="73" customFormat="1" x14ac:dyDescent="0.3">
      <c r="B624" s="97"/>
      <c r="C624" s="98"/>
      <c r="F624" s="96"/>
      <c r="G624" s="96"/>
    </row>
    <row r="625" spans="2:7" s="73" customFormat="1" x14ac:dyDescent="0.3">
      <c r="B625" s="97"/>
      <c r="C625" s="98"/>
      <c r="F625" s="96"/>
      <c r="G625" s="96"/>
    </row>
    <row r="626" spans="2:7" s="73" customFormat="1" x14ac:dyDescent="0.3">
      <c r="B626" s="97"/>
      <c r="C626" s="98"/>
      <c r="F626" s="96"/>
      <c r="G626" s="96"/>
    </row>
    <row r="627" spans="2:7" s="73" customFormat="1" x14ac:dyDescent="0.3">
      <c r="B627" s="97"/>
      <c r="C627" s="98"/>
      <c r="F627" s="96"/>
      <c r="G627" s="96"/>
    </row>
    <row r="628" spans="2:7" s="73" customFormat="1" x14ac:dyDescent="0.3">
      <c r="B628" s="97"/>
      <c r="C628" s="98"/>
      <c r="F628" s="96"/>
      <c r="G628" s="96"/>
    </row>
    <row r="629" spans="2:7" s="73" customFormat="1" x14ac:dyDescent="0.3">
      <c r="B629" s="97"/>
      <c r="C629" s="98"/>
      <c r="F629" s="96"/>
      <c r="G629" s="96"/>
    </row>
    <row r="630" spans="2:7" s="73" customFormat="1" x14ac:dyDescent="0.3">
      <c r="B630" s="97"/>
      <c r="C630" s="98"/>
      <c r="F630" s="96"/>
      <c r="G630" s="96"/>
    </row>
    <row r="631" spans="2:7" s="73" customFormat="1" x14ac:dyDescent="0.3">
      <c r="B631" s="97"/>
      <c r="C631" s="98"/>
      <c r="F631" s="96"/>
      <c r="G631" s="96"/>
    </row>
    <row r="632" spans="2:7" s="73" customFormat="1" x14ac:dyDescent="0.3">
      <c r="B632" s="97"/>
      <c r="C632" s="98"/>
      <c r="F632" s="96"/>
      <c r="G632" s="96"/>
    </row>
    <row r="633" spans="2:7" s="73" customFormat="1" x14ac:dyDescent="0.3">
      <c r="B633" s="97"/>
      <c r="C633" s="98"/>
      <c r="F633" s="96"/>
      <c r="G633" s="96"/>
    </row>
    <row r="634" spans="2:7" s="73" customFormat="1" x14ac:dyDescent="0.3">
      <c r="B634" s="97"/>
      <c r="C634" s="98"/>
      <c r="F634" s="96"/>
      <c r="G634" s="96"/>
    </row>
    <row r="635" spans="2:7" s="73" customFormat="1" x14ac:dyDescent="0.3">
      <c r="B635" s="97"/>
      <c r="C635" s="98"/>
      <c r="F635" s="96"/>
      <c r="G635" s="96"/>
    </row>
    <row r="636" spans="2:7" s="73" customFormat="1" x14ac:dyDescent="0.3">
      <c r="B636" s="97"/>
      <c r="C636" s="98"/>
      <c r="F636" s="96"/>
      <c r="G636" s="96"/>
    </row>
    <row r="637" spans="2:7" s="73" customFormat="1" x14ac:dyDescent="0.3">
      <c r="B637" s="97"/>
      <c r="C637" s="98"/>
      <c r="F637" s="96"/>
      <c r="G637" s="96"/>
    </row>
    <row r="638" spans="2:7" s="73" customFormat="1" x14ac:dyDescent="0.3">
      <c r="B638" s="97"/>
      <c r="C638" s="98"/>
      <c r="F638" s="96"/>
      <c r="G638" s="96"/>
    </row>
    <row r="639" spans="2:7" s="73" customFormat="1" x14ac:dyDescent="0.3">
      <c r="B639" s="97"/>
      <c r="C639" s="98"/>
      <c r="F639" s="96"/>
      <c r="G639" s="96"/>
    </row>
    <row r="640" spans="2:7" s="73" customFormat="1" x14ac:dyDescent="0.3">
      <c r="B640" s="97"/>
      <c r="C640" s="98"/>
      <c r="F640" s="96"/>
      <c r="G640" s="96"/>
    </row>
    <row r="641" spans="2:7" s="73" customFormat="1" x14ac:dyDescent="0.3">
      <c r="B641" s="97"/>
      <c r="C641" s="98"/>
      <c r="F641" s="96"/>
      <c r="G641" s="96"/>
    </row>
    <row r="642" spans="2:7" s="73" customFormat="1" x14ac:dyDescent="0.3">
      <c r="B642" s="97"/>
      <c r="C642" s="98"/>
      <c r="F642" s="96"/>
      <c r="G642" s="96"/>
    </row>
    <row r="643" spans="2:7" s="73" customFormat="1" x14ac:dyDescent="0.3">
      <c r="B643" s="97"/>
      <c r="C643" s="98"/>
      <c r="F643" s="96"/>
      <c r="G643" s="96"/>
    </row>
    <row r="644" spans="2:7" s="73" customFormat="1" x14ac:dyDescent="0.3">
      <c r="B644" s="97"/>
      <c r="C644" s="98"/>
      <c r="F644" s="96"/>
      <c r="G644" s="96"/>
    </row>
    <row r="645" spans="2:7" s="73" customFormat="1" x14ac:dyDescent="0.3">
      <c r="B645" s="97"/>
      <c r="C645" s="98"/>
      <c r="F645" s="96"/>
      <c r="G645" s="96"/>
    </row>
    <row r="646" spans="2:7" s="73" customFormat="1" x14ac:dyDescent="0.3">
      <c r="B646" s="97"/>
      <c r="C646" s="98"/>
      <c r="F646" s="96"/>
      <c r="G646" s="96"/>
    </row>
    <row r="647" spans="2:7" s="73" customFormat="1" x14ac:dyDescent="0.3">
      <c r="B647" s="97"/>
      <c r="C647" s="98"/>
      <c r="F647" s="96"/>
      <c r="G647" s="96"/>
    </row>
    <row r="648" spans="2:7" s="73" customFormat="1" x14ac:dyDescent="0.3">
      <c r="B648" s="97"/>
      <c r="C648" s="98"/>
      <c r="F648" s="96"/>
      <c r="G648" s="96"/>
    </row>
    <row r="649" spans="2:7" s="73" customFormat="1" x14ac:dyDescent="0.3">
      <c r="B649" s="97"/>
      <c r="C649" s="98"/>
      <c r="F649" s="96"/>
      <c r="G649" s="96"/>
    </row>
    <row r="650" spans="2:7" s="73" customFormat="1" x14ac:dyDescent="0.3">
      <c r="B650" s="97"/>
      <c r="C650" s="98"/>
      <c r="F650" s="96"/>
      <c r="G650" s="96"/>
    </row>
    <row r="651" spans="2:7" s="73" customFormat="1" x14ac:dyDescent="0.3">
      <c r="B651" s="97"/>
      <c r="C651" s="98"/>
      <c r="F651" s="96"/>
      <c r="G651" s="96"/>
    </row>
    <row r="652" spans="2:7" s="73" customFormat="1" x14ac:dyDescent="0.3">
      <c r="B652" s="97"/>
      <c r="C652" s="98"/>
      <c r="F652" s="96"/>
      <c r="G652" s="96"/>
    </row>
    <row r="653" spans="2:7" s="73" customFormat="1" x14ac:dyDescent="0.3">
      <c r="B653" s="97"/>
      <c r="C653" s="98"/>
      <c r="F653" s="96"/>
      <c r="G653" s="96"/>
    </row>
    <row r="654" spans="2:7" s="73" customFormat="1" x14ac:dyDescent="0.3">
      <c r="B654" s="97"/>
      <c r="C654" s="98"/>
      <c r="F654" s="96"/>
      <c r="G654" s="96"/>
    </row>
    <row r="655" spans="2:7" s="73" customFormat="1" x14ac:dyDescent="0.3">
      <c r="B655" s="97"/>
      <c r="C655" s="98"/>
      <c r="F655" s="96"/>
      <c r="G655" s="96"/>
    </row>
    <row r="656" spans="2:7" s="73" customFormat="1" x14ac:dyDescent="0.3">
      <c r="B656" s="97"/>
      <c r="C656" s="98"/>
      <c r="F656" s="96"/>
      <c r="G656" s="96"/>
    </row>
    <row r="657" spans="2:7" s="73" customFormat="1" x14ac:dyDescent="0.3">
      <c r="B657" s="97"/>
      <c r="C657" s="98"/>
      <c r="F657" s="96"/>
      <c r="G657" s="96"/>
    </row>
    <row r="658" spans="2:7" s="73" customFormat="1" x14ac:dyDescent="0.3">
      <c r="B658" s="97"/>
      <c r="C658" s="98"/>
      <c r="F658" s="96"/>
      <c r="G658" s="96"/>
    </row>
    <row r="659" spans="2:7" s="73" customFormat="1" x14ac:dyDescent="0.3">
      <c r="B659" s="97"/>
      <c r="C659" s="98"/>
      <c r="F659" s="96"/>
      <c r="G659" s="96"/>
    </row>
    <row r="660" spans="2:7" s="73" customFormat="1" x14ac:dyDescent="0.3">
      <c r="B660" s="97"/>
      <c r="C660" s="98"/>
      <c r="F660" s="96"/>
      <c r="G660" s="96"/>
    </row>
    <row r="661" spans="2:7" s="73" customFormat="1" x14ac:dyDescent="0.3">
      <c r="B661" s="97"/>
      <c r="C661" s="98"/>
      <c r="F661" s="96"/>
      <c r="G661" s="96"/>
    </row>
    <row r="662" spans="2:7" s="73" customFormat="1" x14ac:dyDescent="0.3">
      <c r="B662" s="97"/>
      <c r="C662" s="98"/>
      <c r="F662" s="96"/>
      <c r="G662" s="96"/>
    </row>
    <row r="663" spans="2:7" s="73" customFormat="1" x14ac:dyDescent="0.3">
      <c r="B663" s="97"/>
      <c r="C663" s="98"/>
      <c r="F663" s="96"/>
      <c r="G663" s="96"/>
    </row>
    <row r="664" spans="2:7" s="73" customFormat="1" x14ac:dyDescent="0.3">
      <c r="B664" s="97"/>
      <c r="C664" s="98"/>
      <c r="F664" s="96"/>
      <c r="G664" s="96"/>
    </row>
    <row r="665" spans="2:7" s="73" customFormat="1" x14ac:dyDescent="0.3">
      <c r="B665" s="97"/>
      <c r="C665" s="98"/>
      <c r="F665" s="96"/>
      <c r="G665" s="96"/>
    </row>
    <row r="666" spans="2:7" s="73" customFormat="1" x14ac:dyDescent="0.3">
      <c r="B666" s="97"/>
      <c r="C666" s="98"/>
      <c r="F666" s="96"/>
      <c r="G666" s="96"/>
    </row>
    <row r="667" spans="2:7" s="73" customFormat="1" x14ac:dyDescent="0.3">
      <c r="B667" s="97"/>
      <c r="C667" s="98"/>
      <c r="F667" s="96"/>
      <c r="G667" s="96"/>
    </row>
    <row r="668" spans="2:7" s="73" customFormat="1" x14ac:dyDescent="0.3">
      <c r="B668" s="97"/>
      <c r="C668" s="98"/>
      <c r="F668" s="96"/>
      <c r="G668" s="96"/>
    </row>
    <row r="669" spans="2:7" s="73" customFormat="1" x14ac:dyDescent="0.3">
      <c r="B669" s="97"/>
      <c r="C669" s="98"/>
      <c r="F669" s="96"/>
      <c r="G669" s="96"/>
    </row>
    <row r="670" spans="2:7" s="73" customFormat="1" x14ac:dyDescent="0.3">
      <c r="B670" s="97"/>
      <c r="C670" s="98"/>
      <c r="F670" s="96"/>
      <c r="G670" s="96"/>
    </row>
    <row r="671" spans="2:7" s="73" customFormat="1" x14ac:dyDescent="0.3">
      <c r="B671" s="97"/>
      <c r="C671" s="98"/>
      <c r="F671" s="96"/>
      <c r="G671" s="96"/>
    </row>
    <row r="672" spans="2:7" s="73" customFormat="1" x14ac:dyDescent="0.3">
      <c r="B672" s="97"/>
      <c r="C672" s="98"/>
      <c r="F672" s="96"/>
      <c r="G672" s="96"/>
    </row>
    <row r="673" spans="2:7" s="73" customFormat="1" x14ac:dyDescent="0.3">
      <c r="B673" s="97"/>
      <c r="C673" s="98"/>
      <c r="F673" s="96"/>
      <c r="G673" s="96"/>
    </row>
    <row r="674" spans="2:7" s="73" customFormat="1" x14ac:dyDescent="0.3">
      <c r="B674" s="97"/>
      <c r="C674" s="98"/>
      <c r="F674" s="96"/>
      <c r="G674" s="96"/>
    </row>
    <row r="675" spans="2:7" s="73" customFormat="1" x14ac:dyDescent="0.3">
      <c r="B675" s="97"/>
      <c r="C675" s="98"/>
      <c r="F675" s="96"/>
      <c r="G675" s="96"/>
    </row>
    <row r="676" spans="2:7" s="73" customFormat="1" x14ac:dyDescent="0.3">
      <c r="B676" s="97"/>
      <c r="C676" s="98"/>
      <c r="F676" s="96"/>
      <c r="G676" s="96"/>
    </row>
    <row r="677" spans="2:7" s="73" customFormat="1" x14ac:dyDescent="0.3">
      <c r="B677" s="97"/>
      <c r="C677" s="98"/>
      <c r="F677" s="96"/>
      <c r="G677" s="96"/>
    </row>
    <row r="678" spans="2:7" s="73" customFormat="1" x14ac:dyDescent="0.3">
      <c r="B678" s="97"/>
      <c r="C678" s="98"/>
      <c r="F678" s="96"/>
      <c r="G678" s="96"/>
    </row>
    <row r="679" spans="2:7" s="73" customFormat="1" x14ac:dyDescent="0.3">
      <c r="B679" s="97"/>
      <c r="C679" s="98"/>
      <c r="F679" s="96"/>
      <c r="G679" s="96"/>
    </row>
    <row r="680" spans="2:7" s="73" customFormat="1" x14ac:dyDescent="0.3">
      <c r="B680" s="97"/>
      <c r="C680" s="98"/>
      <c r="F680" s="96"/>
      <c r="G680" s="96"/>
    </row>
    <row r="681" spans="2:7" s="73" customFormat="1" x14ac:dyDescent="0.3">
      <c r="B681" s="97"/>
      <c r="C681" s="98"/>
      <c r="F681" s="96"/>
      <c r="G681" s="96"/>
    </row>
    <row r="682" spans="2:7" s="73" customFormat="1" x14ac:dyDescent="0.3">
      <c r="B682" s="97"/>
      <c r="C682" s="98"/>
      <c r="F682" s="96"/>
      <c r="G682" s="96"/>
    </row>
    <row r="683" spans="2:7" s="73" customFormat="1" x14ac:dyDescent="0.3">
      <c r="B683" s="97"/>
      <c r="C683" s="98"/>
      <c r="F683" s="96"/>
      <c r="G683" s="96"/>
    </row>
    <row r="684" spans="2:7" s="73" customFormat="1" x14ac:dyDescent="0.3">
      <c r="B684" s="97"/>
      <c r="C684" s="98"/>
      <c r="F684" s="96"/>
      <c r="G684" s="96"/>
    </row>
    <row r="685" spans="2:7" s="73" customFormat="1" x14ac:dyDescent="0.3">
      <c r="B685" s="97"/>
      <c r="C685" s="98"/>
      <c r="F685" s="96"/>
      <c r="G685" s="96"/>
    </row>
    <row r="686" spans="2:7" s="73" customFormat="1" x14ac:dyDescent="0.3">
      <c r="B686" s="97"/>
      <c r="C686" s="98"/>
      <c r="F686" s="96"/>
      <c r="G686" s="96"/>
    </row>
    <row r="687" spans="2:7" s="73" customFormat="1" x14ac:dyDescent="0.3">
      <c r="B687" s="97"/>
      <c r="C687" s="98"/>
      <c r="F687" s="96"/>
      <c r="G687" s="96"/>
    </row>
    <row r="688" spans="2:7" s="73" customFormat="1" x14ac:dyDescent="0.3">
      <c r="B688" s="97"/>
      <c r="C688" s="98"/>
      <c r="F688" s="96"/>
      <c r="G688" s="96"/>
    </row>
    <row r="689" spans="2:7" s="73" customFormat="1" x14ac:dyDescent="0.3">
      <c r="B689" s="97"/>
      <c r="C689" s="98"/>
      <c r="F689" s="96"/>
      <c r="G689" s="96"/>
    </row>
    <row r="690" spans="2:7" s="73" customFormat="1" x14ac:dyDescent="0.3">
      <c r="B690" s="97"/>
      <c r="C690" s="98"/>
      <c r="F690" s="96"/>
      <c r="G690" s="96"/>
    </row>
    <row r="691" spans="2:7" s="73" customFormat="1" x14ac:dyDescent="0.3">
      <c r="B691" s="97"/>
      <c r="C691" s="98"/>
      <c r="F691" s="96"/>
      <c r="G691" s="96"/>
    </row>
    <row r="692" spans="2:7" s="73" customFormat="1" x14ac:dyDescent="0.3">
      <c r="B692" s="97"/>
      <c r="C692" s="98"/>
      <c r="F692" s="96"/>
      <c r="G692" s="96"/>
    </row>
    <row r="693" spans="2:7" s="73" customFormat="1" x14ac:dyDescent="0.3">
      <c r="B693" s="97"/>
      <c r="C693" s="98"/>
      <c r="F693" s="96"/>
      <c r="G693" s="96"/>
    </row>
    <row r="694" spans="2:7" s="73" customFormat="1" x14ac:dyDescent="0.3">
      <c r="B694" s="97"/>
      <c r="C694" s="98"/>
      <c r="F694" s="96"/>
      <c r="G694" s="96"/>
    </row>
    <row r="695" spans="2:7" s="73" customFormat="1" x14ac:dyDescent="0.3">
      <c r="B695" s="97"/>
      <c r="C695" s="98"/>
      <c r="F695" s="96"/>
      <c r="G695" s="96"/>
    </row>
    <row r="696" spans="2:7" s="73" customFormat="1" x14ac:dyDescent="0.3">
      <c r="B696" s="97"/>
      <c r="C696" s="98"/>
      <c r="F696" s="96"/>
      <c r="G696" s="96"/>
    </row>
    <row r="697" spans="2:7" s="73" customFormat="1" x14ac:dyDescent="0.3">
      <c r="B697" s="97"/>
      <c r="C697" s="98"/>
      <c r="F697" s="96"/>
      <c r="G697" s="96"/>
    </row>
    <row r="698" spans="2:7" s="73" customFormat="1" x14ac:dyDescent="0.3">
      <c r="B698" s="97"/>
      <c r="C698" s="98"/>
      <c r="F698" s="96"/>
      <c r="G698" s="96"/>
    </row>
    <row r="699" spans="2:7" s="73" customFormat="1" x14ac:dyDescent="0.3">
      <c r="B699" s="97"/>
      <c r="C699" s="98"/>
      <c r="F699" s="96"/>
      <c r="G699" s="96"/>
    </row>
    <row r="700" spans="2:7" s="73" customFormat="1" x14ac:dyDescent="0.3">
      <c r="B700" s="97"/>
      <c r="C700" s="98"/>
      <c r="F700" s="96"/>
      <c r="G700" s="96"/>
    </row>
    <row r="701" spans="2:7" s="73" customFormat="1" x14ac:dyDescent="0.3">
      <c r="B701" s="97"/>
      <c r="C701" s="98"/>
      <c r="F701" s="96"/>
      <c r="G701" s="96"/>
    </row>
    <row r="702" spans="2:7" s="73" customFormat="1" x14ac:dyDescent="0.3">
      <c r="B702" s="97"/>
      <c r="C702" s="98"/>
      <c r="F702" s="96"/>
      <c r="G702" s="96"/>
    </row>
    <row r="703" spans="2:7" s="73" customFormat="1" x14ac:dyDescent="0.3">
      <c r="B703" s="97"/>
      <c r="C703" s="98"/>
      <c r="F703" s="96"/>
      <c r="G703" s="96"/>
    </row>
    <row r="704" spans="2:7" s="73" customFormat="1" x14ac:dyDescent="0.3">
      <c r="B704" s="97"/>
      <c r="C704" s="98"/>
      <c r="F704" s="96"/>
      <c r="G704" s="96"/>
    </row>
    <row r="705" spans="2:7" s="73" customFormat="1" x14ac:dyDescent="0.3">
      <c r="B705" s="97"/>
      <c r="C705" s="98"/>
      <c r="F705" s="96"/>
      <c r="G705" s="96"/>
    </row>
    <row r="706" spans="2:7" s="73" customFormat="1" x14ac:dyDescent="0.3">
      <c r="B706" s="97"/>
      <c r="C706" s="98"/>
      <c r="F706" s="96"/>
      <c r="G706" s="96"/>
    </row>
    <row r="707" spans="2:7" s="73" customFormat="1" x14ac:dyDescent="0.3">
      <c r="B707" s="97"/>
      <c r="C707" s="98"/>
      <c r="F707" s="96"/>
      <c r="G707" s="96"/>
    </row>
    <row r="708" spans="2:7" s="73" customFormat="1" x14ac:dyDescent="0.3">
      <c r="B708" s="97"/>
      <c r="C708" s="98"/>
      <c r="F708" s="96"/>
      <c r="G708" s="96"/>
    </row>
    <row r="709" spans="2:7" s="73" customFormat="1" x14ac:dyDescent="0.3">
      <c r="B709" s="97"/>
      <c r="C709" s="98"/>
      <c r="F709" s="96"/>
      <c r="G709" s="96"/>
    </row>
    <row r="710" spans="2:7" s="73" customFormat="1" x14ac:dyDescent="0.3">
      <c r="B710" s="97"/>
      <c r="C710" s="98"/>
      <c r="F710" s="96"/>
      <c r="G710" s="96"/>
    </row>
    <row r="711" spans="2:7" s="73" customFormat="1" x14ac:dyDescent="0.3">
      <c r="B711" s="97"/>
      <c r="C711" s="98"/>
      <c r="F711" s="96"/>
      <c r="G711" s="96"/>
    </row>
    <row r="712" spans="2:7" s="73" customFormat="1" x14ac:dyDescent="0.3">
      <c r="B712" s="97"/>
      <c r="C712" s="98"/>
      <c r="F712" s="96"/>
      <c r="G712" s="96"/>
    </row>
    <row r="713" spans="2:7" s="73" customFormat="1" x14ac:dyDescent="0.3">
      <c r="B713" s="97"/>
      <c r="C713" s="98"/>
      <c r="F713" s="96"/>
      <c r="G713" s="96"/>
    </row>
    <row r="714" spans="2:7" s="73" customFormat="1" x14ac:dyDescent="0.3">
      <c r="B714" s="97"/>
      <c r="C714" s="98"/>
      <c r="F714" s="96"/>
      <c r="G714" s="96"/>
    </row>
    <row r="715" spans="2:7" s="73" customFormat="1" x14ac:dyDescent="0.3">
      <c r="B715" s="97"/>
      <c r="C715" s="98"/>
      <c r="F715" s="96"/>
      <c r="G715" s="96"/>
    </row>
    <row r="716" spans="2:7" s="73" customFormat="1" x14ac:dyDescent="0.3">
      <c r="B716" s="97"/>
      <c r="C716" s="98"/>
      <c r="F716" s="96"/>
      <c r="G716" s="96"/>
    </row>
    <row r="717" spans="2:7" s="73" customFormat="1" x14ac:dyDescent="0.3">
      <c r="B717" s="97"/>
      <c r="C717" s="98"/>
      <c r="F717" s="96"/>
      <c r="G717" s="96"/>
    </row>
    <row r="718" spans="2:7" s="73" customFormat="1" x14ac:dyDescent="0.3">
      <c r="B718" s="97"/>
      <c r="C718" s="98"/>
      <c r="F718" s="96"/>
      <c r="G718" s="96"/>
    </row>
    <row r="719" spans="2:7" s="73" customFormat="1" x14ac:dyDescent="0.3">
      <c r="B719" s="97"/>
      <c r="C719" s="98"/>
      <c r="F719" s="96"/>
      <c r="G719" s="96"/>
    </row>
    <row r="720" spans="2:7" s="73" customFormat="1" x14ac:dyDescent="0.3">
      <c r="B720" s="97"/>
      <c r="C720" s="98"/>
      <c r="F720" s="96"/>
      <c r="G720" s="96"/>
    </row>
    <row r="721" spans="2:7" s="73" customFormat="1" x14ac:dyDescent="0.3">
      <c r="B721" s="97"/>
      <c r="C721" s="98"/>
      <c r="F721" s="96"/>
      <c r="G721" s="96"/>
    </row>
    <row r="722" spans="2:7" s="73" customFormat="1" x14ac:dyDescent="0.3">
      <c r="B722" s="97"/>
      <c r="C722" s="98"/>
      <c r="F722" s="96"/>
      <c r="G722" s="96"/>
    </row>
    <row r="723" spans="2:7" s="73" customFormat="1" x14ac:dyDescent="0.3">
      <c r="B723" s="97"/>
      <c r="C723" s="98"/>
      <c r="F723" s="96"/>
      <c r="G723" s="96"/>
    </row>
    <row r="724" spans="2:7" s="73" customFormat="1" x14ac:dyDescent="0.3">
      <c r="B724" s="97"/>
      <c r="C724" s="98"/>
      <c r="F724" s="96"/>
      <c r="G724" s="96"/>
    </row>
    <row r="725" spans="2:7" s="73" customFormat="1" x14ac:dyDescent="0.3">
      <c r="B725" s="97"/>
      <c r="C725" s="98"/>
      <c r="F725" s="96"/>
      <c r="G725" s="96"/>
    </row>
    <row r="726" spans="2:7" s="73" customFormat="1" x14ac:dyDescent="0.3">
      <c r="B726" s="97"/>
      <c r="C726" s="98"/>
      <c r="F726" s="96"/>
      <c r="G726" s="96"/>
    </row>
    <row r="727" spans="2:7" s="73" customFormat="1" x14ac:dyDescent="0.3">
      <c r="B727" s="97"/>
      <c r="C727" s="98"/>
      <c r="F727" s="96"/>
      <c r="G727" s="96"/>
    </row>
    <row r="728" spans="2:7" s="73" customFormat="1" x14ac:dyDescent="0.3">
      <c r="B728" s="97"/>
      <c r="C728" s="98"/>
      <c r="F728" s="96"/>
      <c r="G728" s="96"/>
    </row>
    <row r="729" spans="2:7" s="73" customFormat="1" x14ac:dyDescent="0.3">
      <c r="B729" s="97"/>
      <c r="C729" s="98"/>
      <c r="F729" s="96"/>
      <c r="G729" s="96"/>
    </row>
    <row r="730" spans="2:7" s="73" customFormat="1" x14ac:dyDescent="0.3">
      <c r="B730" s="97"/>
      <c r="C730" s="98"/>
      <c r="F730" s="96"/>
      <c r="G730" s="96"/>
    </row>
    <row r="731" spans="2:7" s="73" customFormat="1" x14ac:dyDescent="0.3">
      <c r="B731" s="97"/>
      <c r="C731" s="98"/>
      <c r="F731" s="96"/>
      <c r="G731" s="96"/>
    </row>
    <row r="732" spans="2:7" s="73" customFormat="1" x14ac:dyDescent="0.3">
      <c r="B732" s="97"/>
      <c r="C732" s="98"/>
      <c r="F732" s="96"/>
      <c r="G732" s="96"/>
    </row>
    <row r="733" spans="2:7" s="73" customFormat="1" x14ac:dyDescent="0.3">
      <c r="B733" s="97"/>
      <c r="C733" s="98"/>
      <c r="F733" s="96"/>
      <c r="G733" s="96"/>
    </row>
    <row r="734" spans="2:7" s="73" customFormat="1" x14ac:dyDescent="0.3">
      <c r="B734" s="97"/>
      <c r="C734" s="98"/>
      <c r="F734" s="96"/>
      <c r="G734" s="96"/>
    </row>
    <row r="735" spans="2:7" s="73" customFormat="1" x14ac:dyDescent="0.3">
      <c r="B735" s="97"/>
      <c r="C735" s="98"/>
      <c r="F735" s="96"/>
      <c r="G735" s="96"/>
    </row>
    <row r="736" spans="2:7" s="73" customFormat="1" x14ac:dyDescent="0.3">
      <c r="B736" s="97"/>
      <c r="C736" s="98"/>
      <c r="F736" s="96"/>
      <c r="G736" s="96"/>
    </row>
    <row r="737" spans="2:7" s="73" customFormat="1" x14ac:dyDescent="0.3">
      <c r="B737" s="97"/>
      <c r="C737" s="98"/>
      <c r="F737" s="96"/>
      <c r="G737" s="96"/>
    </row>
    <row r="738" spans="2:7" s="73" customFormat="1" x14ac:dyDescent="0.3">
      <c r="B738" s="97"/>
      <c r="C738" s="98"/>
      <c r="F738" s="96"/>
      <c r="G738" s="96"/>
    </row>
    <row r="739" spans="2:7" s="73" customFormat="1" x14ac:dyDescent="0.3">
      <c r="B739" s="97"/>
      <c r="C739" s="98"/>
      <c r="F739" s="96"/>
      <c r="G739" s="96"/>
    </row>
    <row r="740" spans="2:7" s="73" customFormat="1" x14ac:dyDescent="0.3">
      <c r="B740" s="97"/>
      <c r="C740" s="98"/>
      <c r="F740" s="96"/>
      <c r="G740" s="96"/>
    </row>
    <row r="741" spans="2:7" s="73" customFormat="1" x14ac:dyDescent="0.3">
      <c r="B741" s="97"/>
      <c r="C741" s="98"/>
      <c r="F741" s="96"/>
      <c r="G741" s="96"/>
    </row>
    <row r="742" spans="2:7" s="73" customFormat="1" x14ac:dyDescent="0.3">
      <c r="B742" s="97"/>
      <c r="C742" s="98"/>
      <c r="F742" s="96"/>
      <c r="G742" s="96"/>
    </row>
    <row r="743" spans="2:7" s="73" customFormat="1" x14ac:dyDescent="0.3">
      <c r="B743" s="97"/>
      <c r="C743" s="98"/>
      <c r="F743" s="96"/>
      <c r="G743" s="96"/>
    </row>
    <row r="744" spans="2:7" s="73" customFormat="1" x14ac:dyDescent="0.3">
      <c r="B744" s="97"/>
      <c r="C744" s="98"/>
      <c r="F744" s="96"/>
      <c r="G744" s="96"/>
    </row>
    <row r="745" spans="2:7" s="73" customFormat="1" x14ac:dyDescent="0.3">
      <c r="B745" s="97"/>
      <c r="C745" s="98"/>
      <c r="F745" s="96"/>
      <c r="G745" s="96"/>
    </row>
    <row r="746" spans="2:7" s="73" customFormat="1" x14ac:dyDescent="0.3">
      <c r="B746" s="97"/>
      <c r="C746" s="98"/>
      <c r="F746" s="96"/>
      <c r="G746" s="96"/>
    </row>
    <row r="747" spans="2:7" s="73" customFormat="1" x14ac:dyDescent="0.3">
      <c r="B747" s="97"/>
      <c r="C747" s="98"/>
      <c r="F747" s="96"/>
      <c r="G747" s="96"/>
    </row>
    <row r="748" spans="2:7" s="73" customFormat="1" x14ac:dyDescent="0.3">
      <c r="B748" s="97"/>
      <c r="C748" s="98"/>
      <c r="F748" s="96"/>
      <c r="G748" s="96"/>
    </row>
    <row r="749" spans="2:7" s="73" customFormat="1" x14ac:dyDescent="0.3">
      <c r="B749" s="97"/>
      <c r="C749" s="98"/>
      <c r="F749" s="96"/>
      <c r="G749" s="96"/>
    </row>
    <row r="750" spans="2:7" s="73" customFormat="1" x14ac:dyDescent="0.3">
      <c r="B750" s="97"/>
      <c r="C750" s="98"/>
      <c r="F750" s="96"/>
      <c r="G750" s="96"/>
    </row>
    <row r="751" spans="2:7" s="73" customFormat="1" x14ac:dyDescent="0.3">
      <c r="B751" s="97"/>
      <c r="C751" s="98"/>
      <c r="F751" s="96"/>
      <c r="G751" s="96"/>
    </row>
    <row r="752" spans="2:7" s="73" customFormat="1" x14ac:dyDescent="0.3">
      <c r="B752" s="97"/>
      <c r="C752" s="98"/>
      <c r="F752" s="96"/>
      <c r="G752" s="96"/>
    </row>
    <row r="753" spans="2:7" s="73" customFormat="1" x14ac:dyDescent="0.3">
      <c r="B753" s="97"/>
      <c r="C753" s="98"/>
      <c r="F753" s="96"/>
      <c r="G753" s="96"/>
    </row>
    <row r="754" spans="2:7" s="73" customFormat="1" x14ac:dyDescent="0.3">
      <c r="B754" s="97"/>
      <c r="C754" s="98"/>
      <c r="F754" s="96"/>
      <c r="G754" s="96"/>
    </row>
    <row r="755" spans="2:7" s="73" customFormat="1" x14ac:dyDescent="0.3">
      <c r="B755" s="97"/>
      <c r="C755" s="98"/>
      <c r="F755" s="96"/>
      <c r="G755" s="96"/>
    </row>
    <row r="756" spans="2:7" s="73" customFormat="1" x14ac:dyDescent="0.3">
      <c r="B756" s="97"/>
      <c r="C756" s="98"/>
      <c r="F756" s="96"/>
      <c r="G756" s="96"/>
    </row>
    <row r="757" spans="2:7" s="73" customFormat="1" x14ac:dyDescent="0.3">
      <c r="B757" s="97"/>
      <c r="C757" s="98"/>
      <c r="F757" s="96"/>
      <c r="G757" s="96"/>
    </row>
    <row r="758" spans="2:7" s="73" customFormat="1" x14ac:dyDescent="0.3">
      <c r="B758" s="97"/>
      <c r="C758" s="98"/>
      <c r="F758" s="96"/>
      <c r="G758" s="96"/>
    </row>
    <row r="759" spans="2:7" s="73" customFormat="1" x14ac:dyDescent="0.3">
      <c r="B759" s="97"/>
      <c r="C759" s="98"/>
      <c r="F759" s="96"/>
      <c r="G759" s="96"/>
    </row>
    <row r="760" spans="2:7" s="73" customFormat="1" x14ac:dyDescent="0.3">
      <c r="B760" s="97"/>
      <c r="C760" s="98"/>
      <c r="F760" s="96"/>
      <c r="G760" s="96"/>
    </row>
    <row r="761" spans="2:7" s="73" customFormat="1" x14ac:dyDescent="0.3">
      <c r="B761" s="97"/>
      <c r="C761" s="98"/>
      <c r="F761" s="96"/>
      <c r="G761" s="96"/>
    </row>
    <row r="762" spans="2:7" s="73" customFormat="1" x14ac:dyDescent="0.3">
      <c r="B762" s="97"/>
      <c r="C762" s="98"/>
      <c r="F762" s="96"/>
      <c r="G762" s="96"/>
    </row>
    <row r="763" spans="2:7" s="73" customFormat="1" x14ac:dyDescent="0.3">
      <c r="B763" s="97"/>
      <c r="C763" s="98"/>
      <c r="F763" s="96"/>
      <c r="G763" s="96"/>
    </row>
    <row r="764" spans="2:7" s="73" customFormat="1" x14ac:dyDescent="0.3">
      <c r="B764" s="97"/>
      <c r="C764" s="98"/>
      <c r="F764" s="96"/>
      <c r="G764" s="96"/>
    </row>
    <row r="765" spans="2:7" s="73" customFormat="1" x14ac:dyDescent="0.3">
      <c r="B765" s="97"/>
      <c r="C765" s="98"/>
      <c r="F765" s="96"/>
      <c r="G765" s="96"/>
    </row>
    <row r="766" spans="2:7" s="73" customFormat="1" x14ac:dyDescent="0.3">
      <c r="B766" s="97"/>
      <c r="C766" s="98"/>
      <c r="F766" s="96"/>
      <c r="G766" s="96"/>
    </row>
    <row r="767" spans="2:7" s="73" customFormat="1" x14ac:dyDescent="0.3">
      <c r="B767" s="97"/>
      <c r="C767" s="98"/>
      <c r="F767" s="96"/>
      <c r="G767" s="96"/>
    </row>
    <row r="768" spans="2:7" s="73" customFormat="1" x14ac:dyDescent="0.3">
      <c r="B768" s="97"/>
      <c r="C768" s="98"/>
      <c r="F768" s="96"/>
      <c r="G768" s="96"/>
    </row>
    <row r="769" spans="2:7" s="73" customFormat="1" x14ac:dyDescent="0.3">
      <c r="B769" s="97"/>
      <c r="C769" s="98"/>
      <c r="F769" s="96"/>
      <c r="G769" s="96"/>
    </row>
    <row r="770" spans="2:7" s="73" customFormat="1" x14ac:dyDescent="0.3">
      <c r="B770" s="97"/>
      <c r="C770" s="98"/>
      <c r="F770" s="96"/>
      <c r="G770" s="96"/>
    </row>
    <row r="771" spans="2:7" s="73" customFormat="1" x14ac:dyDescent="0.3">
      <c r="B771" s="97"/>
      <c r="C771" s="98"/>
      <c r="F771" s="96"/>
      <c r="G771" s="96"/>
    </row>
    <row r="772" spans="2:7" s="73" customFormat="1" x14ac:dyDescent="0.3">
      <c r="B772" s="97"/>
      <c r="C772" s="98"/>
      <c r="F772" s="96"/>
      <c r="G772" s="96"/>
    </row>
    <row r="773" spans="2:7" s="73" customFormat="1" x14ac:dyDescent="0.3">
      <c r="B773" s="97"/>
      <c r="C773" s="98"/>
      <c r="F773" s="96"/>
      <c r="G773" s="96"/>
    </row>
    <row r="774" spans="2:7" s="73" customFormat="1" x14ac:dyDescent="0.3">
      <c r="B774" s="97"/>
      <c r="C774" s="98"/>
      <c r="F774" s="96"/>
      <c r="G774" s="96"/>
    </row>
    <row r="775" spans="2:7" s="73" customFormat="1" x14ac:dyDescent="0.3">
      <c r="B775" s="97"/>
      <c r="C775" s="98"/>
      <c r="F775" s="96"/>
      <c r="G775" s="96"/>
    </row>
    <row r="776" spans="2:7" s="73" customFormat="1" x14ac:dyDescent="0.3">
      <c r="B776" s="97"/>
      <c r="C776" s="98"/>
      <c r="F776" s="96"/>
      <c r="G776" s="96"/>
    </row>
    <row r="777" spans="2:7" s="73" customFormat="1" x14ac:dyDescent="0.3">
      <c r="B777" s="97"/>
      <c r="C777" s="98"/>
      <c r="F777" s="96"/>
      <c r="G777" s="96"/>
    </row>
    <row r="778" spans="2:7" s="73" customFormat="1" x14ac:dyDescent="0.3">
      <c r="B778" s="97"/>
      <c r="C778" s="98"/>
      <c r="F778" s="96"/>
      <c r="G778" s="96"/>
    </row>
    <row r="779" spans="2:7" s="73" customFormat="1" x14ac:dyDescent="0.3">
      <c r="B779" s="97"/>
      <c r="C779" s="98"/>
      <c r="F779" s="96"/>
      <c r="G779" s="96"/>
    </row>
    <row r="780" spans="2:7" s="73" customFormat="1" x14ac:dyDescent="0.3">
      <c r="B780" s="97"/>
      <c r="C780" s="98"/>
      <c r="F780" s="96"/>
      <c r="G780" s="96"/>
    </row>
    <row r="781" spans="2:7" s="73" customFormat="1" x14ac:dyDescent="0.3">
      <c r="B781" s="97"/>
      <c r="C781" s="98"/>
      <c r="F781" s="96"/>
      <c r="G781" s="96"/>
    </row>
    <row r="782" spans="2:7" s="73" customFormat="1" x14ac:dyDescent="0.3">
      <c r="B782" s="97"/>
      <c r="C782" s="98"/>
      <c r="F782" s="96"/>
      <c r="G782" s="96"/>
    </row>
    <row r="783" spans="2:7" s="73" customFormat="1" x14ac:dyDescent="0.3">
      <c r="B783" s="97"/>
      <c r="C783" s="98"/>
      <c r="F783" s="96"/>
      <c r="G783" s="96"/>
    </row>
    <row r="784" spans="2:7" s="73" customFormat="1" x14ac:dyDescent="0.3">
      <c r="B784" s="97"/>
      <c r="C784" s="98"/>
      <c r="F784" s="96"/>
      <c r="G784" s="96"/>
    </row>
    <row r="785" spans="2:7" s="73" customFormat="1" x14ac:dyDescent="0.3">
      <c r="B785" s="97"/>
      <c r="C785" s="98"/>
      <c r="F785" s="96"/>
      <c r="G785" s="96"/>
    </row>
    <row r="786" spans="2:7" s="73" customFormat="1" x14ac:dyDescent="0.3">
      <c r="B786" s="97"/>
      <c r="C786" s="98"/>
      <c r="F786" s="96"/>
      <c r="G786" s="96"/>
    </row>
    <row r="787" spans="2:7" s="73" customFormat="1" x14ac:dyDescent="0.3">
      <c r="B787" s="97"/>
      <c r="C787" s="98"/>
      <c r="F787" s="96"/>
      <c r="G787" s="96"/>
    </row>
    <row r="788" spans="2:7" s="73" customFormat="1" x14ac:dyDescent="0.3">
      <c r="B788" s="97"/>
      <c r="C788" s="98"/>
      <c r="F788" s="96"/>
      <c r="G788" s="96"/>
    </row>
    <row r="789" spans="2:7" s="73" customFormat="1" x14ac:dyDescent="0.3">
      <c r="B789" s="97"/>
      <c r="C789" s="98"/>
      <c r="F789" s="96"/>
      <c r="G789" s="96"/>
    </row>
    <row r="790" spans="2:7" s="73" customFormat="1" x14ac:dyDescent="0.3">
      <c r="B790" s="97"/>
      <c r="C790" s="98"/>
      <c r="F790" s="96"/>
      <c r="G790" s="96"/>
    </row>
    <row r="791" spans="2:7" s="73" customFormat="1" x14ac:dyDescent="0.3">
      <c r="B791" s="97"/>
      <c r="C791" s="98"/>
      <c r="F791" s="96"/>
      <c r="G791" s="96"/>
    </row>
    <row r="792" spans="2:7" s="73" customFormat="1" x14ac:dyDescent="0.3">
      <c r="B792" s="97"/>
      <c r="C792" s="98"/>
      <c r="F792" s="96"/>
      <c r="G792" s="96"/>
    </row>
    <row r="793" spans="2:7" s="73" customFormat="1" x14ac:dyDescent="0.3">
      <c r="B793" s="97"/>
      <c r="C793" s="98"/>
      <c r="F793" s="96"/>
      <c r="G793" s="96"/>
    </row>
    <row r="794" spans="2:7" s="73" customFormat="1" x14ac:dyDescent="0.3">
      <c r="B794" s="97"/>
      <c r="C794" s="98"/>
      <c r="F794" s="96"/>
      <c r="G794" s="96"/>
    </row>
    <row r="795" spans="2:7" s="73" customFormat="1" x14ac:dyDescent="0.3">
      <c r="B795" s="97"/>
      <c r="C795" s="98"/>
      <c r="F795" s="96"/>
      <c r="G795" s="96"/>
    </row>
    <row r="796" spans="2:7" s="73" customFormat="1" x14ac:dyDescent="0.3">
      <c r="B796" s="97"/>
      <c r="C796" s="98"/>
      <c r="F796" s="96"/>
      <c r="G796" s="96"/>
    </row>
    <row r="797" spans="2:7" s="73" customFormat="1" x14ac:dyDescent="0.3">
      <c r="B797" s="97"/>
      <c r="C797" s="98"/>
      <c r="F797" s="96"/>
      <c r="G797" s="96"/>
    </row>
    <row r="798" spans="2:7" s="73" customFormat="1" x14ac:dyDescent="0.3">
      <c r="B798" s="97"/>
      <c r="C798" s="98"/>
      <c r="F798" s="96"/>
      <c r="G798" s="96"/>
    </row>
    <row r="799" spans="2:7" s="73" customFormat="1" x14ac:dyDescent="0.3">
      <c r="B799" s="97"/>
      <c r="C799" s="98"/>
      <c r="F799" s="96"/>
      <c r="G799" s="96"/>
    </row>
    <row r="800" spans="2:7" s="73" customFormat="1" x14ac:dyDescent="0.3">
      <c r="B800" s="97"/>
      <c r="C800" s="98"/>
      <c r="F800" s="96"/>
      <c r="G800" s="96"/>
    </row>
    <row r="801" spans="2:7" s="73" customFormat="1" x14ac:dyDescent="0.3">
      <c r="B801" s="97"/>
      <c r="C801" s="98"/>
      <c r="F801" s="96"/>
      <c r="G801" s="96"/>
    </row>
    <row r="802" spans="2:7" s="73" customFormat="1" x14ac:dyDescent="0.3">
      <c r="B802" s="97"/>
      <c r="C802" s="98"/>
      <c r="F802" s="96"/>
      <c r="G802" s="96"/>
    </row>
    <row r="803" spans="2:7" s="73" customFormat="1" x14ac:dyDescent="0.3">
      <c r="B803" s="97"/>
      <c r="C803" s="98"/>
      <c r="F803" s="96"/>
      <c r="G803" s="96"/>
    </row>
    <row r="804" spans="2:7" s="73" customFormat="1" x14ac:dyDescent="0.3">
      <c r="B804" s="97"/>
      <c r="C804" s="98"/>
      <c r="F804" s="96"/>
      <c r="G804" s="96"/>
    </row>
    <row r="805" spans="2:7" s="73" customFormat="1" x14ac:dyDescent="0.3">
      <c r="B805" s="97"/>
      <c r="C805" s="98"/>
      <c r="F805" s="96"/>
      <c r="G805" s="96"/>
    </row>
    <row r="806" spans="2:7" s="73" customFormat="1" x14ac:dyDescent="0.3">
      <c r="B806" s="97"/>
      <c r="C806" s="98"/>
      <c r="F806" s="96"/>
      <c r="G806" s="96"/>
    </row>
    <row r="807" spans="2:7" s="73" customFormat="1" x14ac:dyDescent="0.3">
      <c r="B807" s="97"/>
      <c r="C807" s="98"/>
      <c r="F807" s="96"/>
      <c r="G807" s="96"/>
    </row>
    <row r="808" spans="2:7" s="73" customFormat="1" x14ac:dyDescent="0.3">
      <c r="B808" s="97"/>
      <c r="C808" s="98"/>
      <c r="F808" s="96"/>
      <c r="G808" s="96"/>
    </row>
    <row r="809" spans="2:7" s="73" customFormat="1" x14ac:dyDescent="0.3">
      <c r="B809" s="97"/>
      <c r="C809" s="98"/>
      <c r="F809" s="96"/>
      <c r="G809" s="96"/>
    </row>
    <row r="810" spans="2:7" s="73" customFormat="1" x14ac:dyDescent="0.3">
      <c r="B810" s="97"/>
      <c r="C810" s="98"/>
      <c r="F810" s="96"/>
      <c r="G810" s="96"/>
    </row>
    <row r="811" spans="2:7" s="73" customFormat="1" x14ac:dyDescent="0.3">
      <c r="B811" s="97"/>
      <c r="C811" s="98"/>
      <c r="F811" s="96"/>
      <c r="G811" s="96"/>
    </row>
    <row r="812" spans="2:7" s="73" customFormat="1" x14ac:dyDescent="0.3">
      <c r="B812" s="97"/>
      <c r="C812" s="98"/>
      <c r="F812" s="96"/>
      <c r="G812" s="96"/>
    </row>
    <row r="813" spans="2:7" s="73" customFormat="1" x14ac:dyDescent="0.3">
      <c r="B813" s="97"/>
      <c r="C813" s="98"/>
      <c r="F813" s="96"/>
      <c r="G813" s="96"/>
    </row>
    <row r="814" spans="2:7" s="73" customFormat="1" x14ac:dyDescent="0.3">
      <c r="B814" s="97"/>
      <c r="C814" s="98"/>
      <c r="F814" s="96"/>
      <c r="G814" s="96"/>
    </row>
    <row r="815" spans="2:7" s="73" customFormat="1" x14ac:dyDescent="0.3">
      <c r="B815" s="97"/>
      <c r="C815" s="98"/>
      <c r="F815" s="96"/>
      <c r="G815" s="96"/>
    </row>
    <row r="816" spans="2:7" s="73" customFormat="1" x14ac:dyDescent="0.3">
      <c r="B816" s="97"/>
      <c r="C816" s="98"/>
      <c r="F816" s="96"/>
      <c r="G816" s="96"/>
    </row>
    <row r="817" spans="2:7" s="73" customFormat="1" x14ac:dyDescent="0.3">
      <c r="B817" s="97"/>
      <c r="C817" s="98"/>
      <c r="F817" s="96"/>
      <c r="G817" s="96"/>
    </row>
    <row r="818" spans="2:7" s="73" customFormat="1" x14ac:dyDescent="0.3">
      <c r="B818" s="97"/>
      <c r="C818" s="98"/>
      <c r="F818" s="96"/>
      <c r="G818" s="96"/>
    </row>
    <row r="819" spans="2:7" s="73" customFormat="1" x14ac:dyDescent="0.3">
      <c r="B819" s="97"/>
      <c r="C819" s="98"/>
      <c r="F819" s="96"/>
      <c r="G819" s="96"/>
    </row>
    <row r="820" spans="2:7" s="73" customFormat="1" x14ac:dyDescent="0.3">
      <c r="B820" s="97"/>
      <c r="C820" s="98"/>
      <c r="F820" s="96"/>
      <c r="G820" s="96"/>
    </row>
    <row r="821" spans="2:7" s="73" customFormat="1" x14ac:dyDescent="0.3">
      <c r="B821" s="97"/>
      <c r="C821" s="98"/>
      <c r="F821" s="96"/>
      <c r="G821" s="96"/>
    </row>
    <row r="822" spans="2:7" s="73" customFormat="1" x14ac:dyDescent="0.3">
      <c r="B822" s="97"/>
      <c r="C822" s="98"/>
      <c r="F822" s="96"/>
      <c r="G822" s="96"/>
    </row>
    <row r="823" spans="2:7" s="73" customFormat="1" x14ac:dyDescent="0.3">
      <c r="B823" s="97"/>
      <c r="C823" s="98"/>
      <c r="F823" s="96"/>
      <c r="G823" s="96"/>
    </row>
    <row r="824" spans="2:7" s="73" customFormat="1" x14ac:dyDescent="0.3">
      <c r="B824" s="97"/>
      <c r="C824" s="98"/>
      <c r="F824" s="96"/>
      <c r="G824" s="96"/>
    </row>
    <row r="825" spans="2:7" s="73" customFormat="1" x14ac:dyDescent="0.3">
      <c r="B825" s="97"/>
      <c r="C825" s="98"/>
      <c r="F825" s="96"/>
      <c r="G825" s="96"/>
    </row>
    <row r="826" spans="2:7" s="73" customFormat="1" x14ac:dyDescent="0.3">
      <c r="B826" s="97"/>
      <c r="C826" s="98"/>
      <c r="F826" s="96"/>
      <c r="G826" s="96"/>
    </row>
    <row r="827" spans="2:7" s="73" customFormat="1" x14ac:dyDescent="0.3">
      <c r="B827" s="97"/>
      <c r="C827" s="98"/>
      <c r="F827" s="96"/>
      <c r="G827" s="96"/>
    </row>
    <row r="828" spans="2:7" s="73" customFormat="1" x14ac:dyDescent="0.3">
      <c r="B828" s="97"/>
      <c r="C828" s="98"/>
      <c r="F828" s="96"/>
      <c r="G828" s="96"/>
    </row>
    <row r="829" spans="2:7" s="73" customFormat="1" x14ac:dyDescent="0.3">
      <c r="B829" s="97"/>
      <c r="C829" s="98"/>
      <c r="F829" s="96"/>
      <c r="G829" s="96"/>
    </row>
    <row r="830" spans="2:7" s="73" customFormat="1" x14ac:dyDescent="0.3">
      <c r="B830" s="97"/>
      <c r="C830" s="98"/>
      <c r="F830" s="96"/>
      <c r="G830" s="96"/>
    </row>
    <row r="831" spans="2:7" s="73" customFormat="1" x14ac:dyDescent="0.3">
      <c r="B831" s="97"/>
      <c r="C831" s="98"/>
      <c r="F831" s="96"/>
      <c r="G831" s="96"/>
    </row>
    <row r="832" spans="2:7" s="73" customFormat="1" x14ac:dyDescent="0.3">
      <c r="B832" s="97"/>
      <c r="C832" s="98"/>
      <c r="F832" s="96"/>
      <c r="G832" s="96"/>
    </row>
    <row r="833" spans="2:7" s="73" customFormat="1" x14ac:dyDescent="0.3">
      <c r="B833" s="97"/>
      <c r="C833" s="98"/>
      <c r="F833" s="96"/>
      <c r="G833" s="96"/>
    </row>
    <row r="834" spans="2:7" s="73" customFormat="1" x14ac:dyDescent="0.3">
      <c r="B834" s="97"/>
      <c r="C834" s="98"/>
      <c r="F834" s="96"/>
      <c r="G834" s="96"/>
    </row>
    <row r="835" spans="2:7" s="73" customFormat="1" x14ac:dyDescent="0.3">
      <c r="B835" s="97"/>
      <c r="C835" s="98"/>
      <c r="F835" s="96"/>
      <c r="G835" s="96"/>
    </row>
    <row r="836" spans="2:7" s="73" customFormat="1" x14ac:dyDescent="0.3">
      <c r="B836" s="97"/>
      <c r="C836" s="98"/>
      <c r="F836" s="96"/>
      <c r="G836" s="96"/>
    </row>
    <row r="837" spans="2:7" s="73" customFormat="1" x14ac:dyDescent="0.3">
      <c r="B837" s="97"/>
      <c r="C837" s="98"/>
      <c r="F837" s="96"/>
      <c r="G837" s="96"/>
    </row>
    <row r="838" spans="2:7" s="73" customFormat="1" x14ac:dyDescent="0.3">
      <c r="B838" s="97"/>
      <c r="C838" s="98"/>
      <c r="F838" s="96"/>
      <c r="G838" s="96"/>
    </row>
    <row r="839" spans="2:7" s="73" customFormat="1" x14ac:dyDescent="0.3">
      <c r="B839" s="97"/>
      <c r="C839" s="98"/>
      <c r="F839" s="96"/>
      <c r="G839" s="96"/>
    </row>
    <row r="840" spans="2:7" s="73" customFormat="1" x14ac:dyDescent="0.3">
      <c r="B840" s="97"/>
      <c r="C840" s="98"/>
      <c r="F840" s="96"/>
      <c r="G840" s="96"/>
    </row>
    <row r="841" spans="2:7" s="73" customFormat="1" x14ac:dyDescent="0.3">
      <c r="B841" s="97"/>
      <c r="C841" s="98"/>
      <c r="F841" s="96"/>
      <c r="G841" s="96"/>
    </row>
    <row r="842" spans="2:7" s="73" customFormat="1" x14ac:dyDescent="0.3">
      <c r="B842" s="97"/>
      <c r="C842" s="98"/>
      <c r="F842" s="96"/>
      <c r="G842" s="96"/>
    </row>
    <row r="843" spans="2:7" s="73" customFormat="1" x14ac:dyDescent="0.3">
      <c r="B843" s="97"/>
      <c r="C843" s="98"/>
      <c r="F843" s="96"/>
      <c r="G843" s="96"/>
    </row>
    <row r="844" spans="2:7" s="73" customFormat="1" x14ac:dyDescent="0.3">
      <c r="B844" s="97"/>
      <c r="C844" s="98"/>
      <c r="F844" s="96"/>
      <c r="G844" s="96"/>
    </row>
    <row r="845" spans="2:7" s="73" customFormat="1" x14ac:dyDescent="0.3">
      <c r="B845" s="97"/>
      <c r="C845" s="98"/>
      <c r="F845" s="96"/>
      <c r="G845" s="96"/>
    </row>
    <row r="846" spans="2:7" s="73" customFormat="1" x14ac:dyDescent="0.3">
      <c r="B846" s="97"/>
      <c r="C846" s="98"/>
      <c r="F846" s="96"/>
      <c r="G846" s="96"/>
    </row>
    <row r="847" spans="2:7" s="73" customFormat="1" x14ac:dyDescent="0.3">
      <c r="B847" s="97"/>
      <c r="C847" s="98"/>
      <c r="F847" s="96"/>
      <c r="G847" s="96"/>
    </row>
    <row r="848" spans="2:7" s="73" customFormat="1" x14ac:dyDescent="0.3">
      <c r="B848" s="97"/>
      <c r="C848" s="98"/>
      <c r="F848" s="96"/>
      <c r="G848" s="96"/>
    </row>
    <row r="849" spans="2:7" s="73" customFormat="1" x14ac:dyDescent="0.3">
      <c r="B849" s="97"/>
      <c r="C849" s="98"/>
      <c r="F849" s="96"/>
      <c r="G849" s="96"/>
    </row>
    <row r="850" spans="2:7" s="73" customFormat="1" x14ac:dyDescent="0.3">
      <c r="B850" s="97"/>
      <c r="C850" s="98"/>
      <c r="F850" s="96"/>
      <c r="G850" s="96"/>
    </row>
    <row r="851" spans="2:7" s="73" customFormat="1" x14ac:dyDescent="0.3">
      <c r="B851" s="97"/>
      <c r="C851" s="98"/>
      <c r="F851" s="96"/>
      <c r="G851" s="96"/>
    </row>
    <row r="852" spans="2:7" s="73" customFormat="1" x14ac:dyDescent="0.3">
      <c r="B852" s="97"/>
      <c r="C852" s="98"/>
      <c r="F852" s="96"/>
      <c r="G852" s="96"/>
    </row>
    <row r="853" spans="2:7" s="73" customFormat="1" x14ac:dyDescent="0.3">
      <c r="B853" s="97"/>
      <c r="C853" s="98"/>
      <c r="F853" s="96"/>
      <c r="G853" s="96"/>
    </row>
    <row r="854" spans="2:7" s="73" customFormat="1" x14ac:dyDescent="0.3">
      <c r="B854" s="97"/>
      <c r="C854" s="98"/>
      <c r="F854" s="96"/>
      <c r="G854" s="96"/>
    </row>
    <row r="855" spans="2:7" s="73" customFormat="1" x14ac:dyDescent="0.3">
      <c r="B855" s="97"/>
      <c r="C855" s="98"/>
      <c r="F855" s="96"/>
      <c r="G855" s="96"/>
    </row>
    <row r="856" spans="2:7" s="73" customFormat="1" x14ac:dyDescent="0.3">
      <c r="B856" s="97"/>
      <c r="C856" s="98"/>
      <c r="F856" s="96"/>
      <c r="G856" s="96"/>
    </row>
    <row r="857" spans="2:7" s="73" customFormat="1" x14ac:dyDescent="0.3">
      <c r="B857" s="97"/>
      <c r="C857" s="98"/>
      <c r="F857" s="96"/>
      <c r="G857" s="96"/>
    </row>
    <row r="858" spans="2:7" s="73" customFormat="1" x14ac:dyDescent="0.3">
      <c r="B858" s="97"/>
      <c r="C858" s="98"/>
      <c r="F858" s="96"/>
      <c r="G858" s="96"/>
    </row>
    <row r="859" spans="2:7" s="73" customFormat="1" x14ac:dyDescent="0.3">
      <c r="B859" s="97"/>
      <c r="C859" s="98"/>
      <c r="F859" s="96"/>
      <c r="G859" s="96"/>
    </row>
    <row r="860" spans="2:7" s="73" customFormat="1" x14ac:dyDescent="0.3">
      <c r="B860" s="97"/>
      <c r="C860" s="98"/>
      <c r="F860" s="96"/>
      <c r="G860" s="96"/>
    </row>
    <row r="861" spans="2:7" s="73" customFormat="1" x14ac:dyDescent="0.3">
      <c r="B861" s="97"/>
      <c r="C861" s="98"/>
      <c r="F861" s="96"/>
      <c r="G861" s="96"/>
    </row>
    <row r="862" spans="2:7" s="73" customFormat="1" x14ac:dyDescent="0.3">
      <c r="B862" s="97"/>
      <c r="C862" s="98"/>
      <c r="F862" s="96"/>
      <c r="G862" s="96"/>
    </row>
    <row r="863" spans="2:7" s="73" customFormat="1" x14ac:dyDescent="0.3">
      <c r="B863" s="97"/>
      <c r="C863" s="98"/>
      <c r="F863" s="96"/>
      <c r="G863" s="96"/>
    </row>
    <row r="864" spans="2:7" s="73" customFormat="1" x14ac:dyDescent="0.3">
      <c r="B864" s="97"/>
      <c r="C864" s="98"/>
      <c r="F864" s="96"/>
      <c r="G864" s="96"/>
    </row>
    <row r="865" spans="2:7" s="73" customFormat="1" x14ac:dyDescent="0.3">
      <c r="B865" s="97"/>
      <c r="C865" s="98"/>
      <c r="F865" s="96"/>
      <c r="G865" s="96"/>
    </row>
    <row r="866" spans="2:7" s="73" customFormat="1" x14ac:dyDescent="0.3">
      <c r="B866" s="97"/>
      <c r="C866" s="98"/>
      <c r="F866" s="96"/>
      <c r="G866" s="96"/>
    </row>
    <row r="867" spans="2:7" s="73" customFormat="1" x14ac:dyDescent="0.3">
      <c r="B867" s="97"/>
      <c r="C867" s="98"/>
      <c r="F867" s="96"/>
      <c r="G867" s="96"/>
    </row>
    <row r="868" spans="2:7" s="73" customFormat="1" x14ac:dyDescent="0.3">
      <c r="B868" s="97"/>
      <c r="C868" s="98"/>
      <c r="F868" s="96"/>
      <c r="G868" s="96"/>
    </row>
    <row r="869" spans="2:7" s="73" customFormat="1" x14ac:dyDescent="0.3">
      <c r="B869" s="97"/>
      <c r="C869" s="98"/>
      <c r="F869" s="96"/>
      <c r="G869" s="96"/>
    </row>
    <row r="870" spans="2:7" s="73" customFormat="1" x14ac:dyDescent="0.3">
      <c r="B870" s="97"/>
      <c r="C870" s="98"/>
      <c r="F870" s="96"/>
      <c r="G870" s="96"/>
    </row>
    <row r="871" spans="2:7" s="73" customFormat="1" x14ac:dyDescent="0.3">
      <c r="B871" s="97"/>
      <c r="C871" s="98"/>
      <c r="F871" s="96"/>
      <c r="G871" s="96"/>
    </row>
    <row r="872" spans="2:7" s="73" customFormat="1" x14ac:dyDescent="0.3">
      <c r="B872" s="97"/>
      <c r="C872" s="98"/>
      <c r="F872" s="96"/>
      <c r="G872" s="96"/>
    </row>
    <row r="873" spans="2:7" s="73" customFormat="1" x14ac:dyDescent="0.3">
      <c r="B873" s="97"/>
      <c r="C873" s="98"/>
      <c r="F873" s="96"/>
      <c r="G873" s="96"/>
    </row>
    <row r="874" spans="2:7" s="73" customFormat="1" x14ac:dyDescent="0.3">
      <c r="B874" s="97"/>
      <c r="C874" s="98"/>
      <c r="F874" s="96"/>
      <c r="G874" s="96"/>
    </row>
    <row r="875" spans="2:7" s="73" customFormat="1" x14ac:dyDescent="0.3">
      <c r="B875" s="97"/>
      <c r="C875" s="98"/>
      <c r="F875" s="96"/>
      <c r="G875" s="96"/>
    </row>
    <row r="876" spans="2:7" s="73" customFormat="1" x14ac:dyDescent="0.3">
      <c r="B876" s="97"/>
      <c r="C876" s="98"/>
      <c r="F876" s="96"/>
      <c r="G876" s="96"/>
    </row>
    <row r="877" spans="2:7" s="73" customFormat="1" x14ac:dyDescent="0.3">
      <c r="B877" s="97"/>
      <c r="C877" s="98"/>
      <c r="F877" s="96"/>
      <c r="G877" s="96"/>
    </row>
    <row r="878" spans="2:7" s="73" customFormat="1" x14ac:dyDescent="0.3">
      <c r="B878" s="97"/>
      <c r="C878" s="98"/>
      <c r="F878" s="96"/>
      <c r="G878" s="96"/>
    </row>
    <row r="879" spans="2:7" s="73" customFormat="1" x14ac:dyDescent="0.3">
      <c r="B879" s="97"/>
      <c r="C879" s="98"/>
      <c r="F879" s="96"/>
      <c r="G879" s="96"/>
    </row>
    <row r="880" spans="2:7" s="73" customFormat="1" x14ac:dyDescent="0.3">
      <c r="B880" s="97"/>
      <c r="C880" s="98"/>
      <c r="F880" s="96"/>
      <c r="G880" s="96"/>
    </row>
    <row r="881" spans="2:7" s="73" customFormat="1" x14ac:dyDescent="0.3">
      <c r="B881" s="97"/>
      <c r="C881" s="98"/>
      <c r="F881" s="96"/>
      <c r="G881" s="96"/>
    </row>
    <row r="882" spans="2:7" s="73" customFormat="1" x14ac:dyDescent="0.3">
      <c r="B882" s="97"/>
      <c r="C882" s="98"/>
      <c r="F882" s="96"/>
      <c r="G882" s="96"/>
    </row>
    <row r="883" spans="2:7" s="73" customFormat="1" x14ac:dyDescent="0.3">
      <c r="B883" s="97"/>
      <c r="C883" s="98"/>
      <c r="F883" s="96"/>
      <c r="G883" s="96"/>
    </row>
    <row r="884" spans="2:7" s="73" customFormat="1" x14ac:dyDescent="0.3">
      <c r="B884" s="97"/>
      <c r="C884" s="98"/>
      <c r="F884" s="96"/>
      <c r="G884" s="96"/>
    </row>
    <row r="885" spans="2:7" s="73" customFormat="1" x14ac:dyDescent="0.3">
      <c r="B885" s="97"/>
      <c r="C885" s="98"/>
      <c r="F885" s="96"/>
      <c r="G885" s="96"/>
    </row>
    <row r="886" spans="2:7" s="73" customFormat="1" x14ac:dyDescent="0.3">
      <c r="B886" s="97"/>
      <c r="C886" s="98"/>
      <c r="F886" s="96"/>
      <c r="G886" s="96"/>
    </row>
    <row r="887" spans="2:7" s="73" customFormat="1" x14ac:dyDescent="0.3">
      <c r="B887" s="97"/>
      <c r="C887" s="98"/>
      <c r="F887" s="96"/>
      <c r="G887" s="96"/>
    </row>
    <row r="888" spans="2:7" s="73" customFormat="1" x14ac:dyDescent="0.3">
      <c r="B888" s="97"/>
      <c r="C888" s="98"/>
      <c r="F888" s="96"/>
      <c r="G888" s="96"/>
    </row>
    <row r="889" spans="2:7" s="73" customFormat="1" x14ac:dyDescent="0.3">
      <c r="B889" s="97"/>
      <c r="C889" s="98"/>
      <c r="F889" s="96"/>
      <c r="G889" s="96"/>
    </row>
    <row r="890" spans="2:7" s="73" customFormat="1" x14ac:dyDescent="0.3">
      <c r="B890" s="97"/>
      <c r="C890" s="98"/>
      <c r="F890" s="96"/>
      <c r="G890" s="96"/>
    </row>
    <row r="891" spans="2:7" s="73" customFormat="1" x14ac:dyDescent="0.3">
      <c r="B891" s="97"/>
      <c r="C891" s="98"/>
      <c r="F891" s="96"/>
      <c r="G891" s="96"/>
    </row>
    <row r="892" spans="2:7" s="73" customFormat="1" x14ac:dyDescent="0.3">
      <c r="B892" s="97"/>
      <c r="C892" s="98"/>
      <c r="F892" s="96"/>
      <c r="G892" s="96"/>
    </row>
    <row r="893" spans="2:7" s="73" customFormat="1" x14ac:dyDescent="0.3">
      <c r="B893" s="97"/>
      <c r="C893" s="98"/>
      <c r="F893" s="96"/>
      <c r="G893" s="96"/>
    </row>
    <row r="894" spans="2:7" s="73" customFormat="1" x14ac:dyDescent="0.3">
      <c r="B894" s="97"/>
      <c r="C894" s="98"/>
      <c r="F894" s="96"/>
      <c r="G894" s="96"/>
    </row>
    <row r="895" spans="2:7" s="73" customFormat="1" x14ac:dyDescent="0.3">
      <c r="B895" s="97"/>
      <c r="C895" s="98"/>
      <c r="F895" s="96"/>
      <c r="G895" s="96"/>
    </row>
    <row r="896" spans="2:7" s="73" customFormat="1" x14ac:dyDescent="0.3">
      <c r="B896" s="97"/>
      <c r="C896" s="98"/>
      <c r="F896" s="96"/>
      <c r="G896" s="96"/>
    </row>
    <row r="897" spans="2:7" s="73" customFormat="1" x14ac:dyDescent="0.3">
      <c r="B897" s="97"/>
      <c r="C897" s="98"/>
      <c r="F897" s="96"/>
      <c r="G897" s="96"/>
    </row>
    <row r="898" spans="2:7" s="73" customFormat="1" x14ac:dyDescent="0.3">
      <c r="B898" s="97"/>
      <c r="C898" s="98"/>
      <c r="F898" s="96"/>
      <c r="G898" s="96"/>
    </row>
    <row r="899" spans="2:7" s="73" customFormat="1" x14ac:dyDescent="0.3">
      <c r="B899" s="97"/>
      <c r="C899" s="98"/>
      <c r="F899" s="96"/>
      <c r="G899" s="96"/>
    </row>
    <row r="900" spans="2:7" s="73" customFormat="1" x14ac:dyDescent="0.3">
      <c r="B900" s="97"/>
      <c r="C900" s="98"/>
      <c r="F900" s="96"/>
      <c r="G900" s="96"/>
    </row>
    <row r="901" spans="2:7" s="73" customFormat="1" x14ac:dyDescent="0.3">
      <c r="B901" s="97"/>
      <c r="C901" s="98"/>
      <c r="F901" s="96"/>
      <c r="G901" s="96"/>
    </row>
    <row r="902" spans="2:7" s="73" customFormat="1" x14ac:dyDescent="0.3">
      <c r="B902" s="97"/>
      <c r="C902" s="98"/>
      <c r="F902" s="96"/>
      <c r="G902" s="96"/>
    </row>
    <row r="903" spans="2:7" s="73" customFormat="1" x14ac:dyDescent="0.3">
      <c r="B903" s="97"/>
      <c r="C903" s="98"/>
      <c r="F903" s="96"/>
      <c r="G903" s="96"/>
    </row>
    <row r="904" spans="2:7" s="73" customFormat="1" x14ac:dyDescent="0.3">
      <c r="B904" s="97"/>
      <c r="C904" s="98"/>
      <c r="F904" s="96"/>
      <c r="G904" s="96"/>
    </row>
    <row r="905" spans="2:7" s="73" customFormat="1" x14ac:dyDescent="0.3">
      <c r="B905" s="97"/>
      <c r="C905" s="98"/>
      <c r="F905" s="96"/>
      <c r="G905" s="96"/>
    </row>
    <row r="906" spans="2:7" s="73" customFormat="1" x14ac:dyDescent="0.3">
      <c r="B906" s="97"/>
      <c r="C906" s="98"/>
      <c r="F906" s="96"/>
      <c r="G906" s="96"/>
    </row>
    <row r="907" spans="2:7" s="73" customFormat="1" x14ac:dyDescent="0.3">
      <c r="B907" s="97"/>
      <c r="C907" s="98"/>
      <c r="F907" s="96"/>
      <c r="G907" s="96"/>
    </row>
    <row r="908" spans="2:7" s="73" customFormat="1" x14ac:dyDescent="0.3">
      <c r="B908" s="97"/>
      <c r="C908" s="98"/>
      <c r="F908" s="96"/>
      <c r="G908" s="96"/>
    </row>
    <row r="909" spans="2:7" s="73" customFormat="1" x14ac:dyDescent="0.3">
      <c r="B909" s="97"/>
      <c r="C909" s="98"/>
      <c r="F909" s="96"/>
      <c r="G909" s="96"/>
    </row>
    <row r="910" spans="2:7" s="73" customFormat="1" x14ac:dyDescent="0.3">
      <c r="B910" s="97"/>
      <c r="C910" s="98"/>
      <c r="F910" s="96"/>
      <c r="G910" s="96"/>
    </row>
    <row r="911" spans="2:7" s="73" customFormat="1" x14ac:dyDescent="0.3">
      <c r="B911" s="97"/>
      <c r="C911" s="98"/>
      <c r="F911" s="96"/>
      <c r="G911" s="96"/>
    </row>
    <row r="912" spans="2:7" s="73" customFormat="1" x14ac:dyDescent="0.3">
      <c r="B912" s="97"/>
      <c r="C912" s="98"/>
      <c r="F912" s="96"/>
      <c r="G912" s="96"/>
    </row>
    <row r="913" spans="2:7" s="73" customFormat="1" x14ac:dyDescent="0.3">
      <c r="B913" s="97"/>
      <c r="C913" s="98"/>
      <c r="F913" s="96"/>
      <c r="G913" s="96"/>
    </row>
    <row r="914" spans="2:7" s="73" customFormat="1" x14ac:dyDescent="0.3">
      <c r="B914" s="97"/>
      <c r="C914" s="98"/>
      <c r="F914" s="96"/>
      <c r="G914" s="96"/>
    </row>
    <row r="915" spans="2:7" s="73" customFormat="1" x14ac:dyDescent="0.3">
      <c r="B915" s="97"/>
      <c r="C915" s="98"/>
      <c r="F915" s="96"/>
      <c r="G915" s="96"/>
    </row>
    <row r="916" spans="2:7" s="73" customFormat="1" x14ac:dyDescent="0.3">
      <c r="B916" s="97"/>
      <c r="C916" s="98"/>
      <c r="F916" s="96"/>
      <c r="G916" s="96"/>
    </row>
    <row r="917" spans="2:7" s="73" customFormat="1" x14ac:dyDescent="0.3">
      <c r="B917" s="97"/>
      <c r="C917" s="98"/>
      <c r="F917" s="96"/>
      <c r="G917" s="96"/>
    </row>
    <row r="918" spans="2:7" s="73" customFormat="1" x14ac:dyDescent="0.3">
      <c r="B918" s="97"/>
      <c r="C918" s="98"/>
      <c r="F918" s="96"/>
      <c r="G918" s="96"/>
    </row>
    <row r="919" spans="2:7" s="73" customFormat="1" x14ac:dyDescent="0.3">
      <c r="B919" s="97"/>
      <c r="C919" s="98"/>
      <c r="F919" s="96"/>
      <c r="G919" s="96"/>
    </row>
    <row r="920" spans="2:7" s="73" customFormat="1" x14ac:dyDescent="0.3">
      <c r="B920" s="97"/>
      <c r="C920" s="98"/>
      <c r="F920" s="96"/>
      <c r="G920" s="96"/>
    </row>
    <row r="921" spans="2:7" s="73" customFormat="1" x14ac:dyDescent="0.3">
      <c r="B921" s="97"/>
      <c r="C921" s="98"/>
      <c r="F921" s="96"/>
      <c r="G921" s="96"/>
    </row>
    <row r="922" spans="2:7" s="73" customFormat="1" x14ac:dyDescent="0.3">
      <c r="B922" s="97"/>
      <c r="C922" s="98"/>
      <c r="F922" s="96"/>
      <c r="G922" s="96"/>
    </row>
    <row r="923" spans="2:7" s="73" customFormat="1" x14ac:dyDescent="0.3">
      <c r="B923" s="97"/>
      <c r="C923" s="98"/>
      <c r="F923" s="96"/>
      <c r="G923" s="96"/>
    </row>
    <row r="924" spans="2:7" s="73" customFormat="1" x14ac:dyDescent="0.3">
      <c r="B924" s="97"/>
      <c r="C924" s="98"/>
      <c r="F924" s="96"/>
      <c r="G924" s="96"/>
    </row>
    <row r="925" spans="2:7" s="73" customFormat="1" x14ac:dyDescent="0.3">
      <c r="B925" s="97"/>
      <c r="C925" s="98"/>
      <c r="F925" s="96"/>
      <c r="G925" s="96"/>
    </row>
    <row r="926" spans="2:7" s="73" customFormat="1" x14ac:dyDescent="0.3">
      <c r="B926" s="97"/>
      <c r="C926" s="98"/>
      <c r="F926" s="96"/>
      <c r="G926" s="96"/>
    </row>
    <row r="927" spans="2:7" s="73" customFormat="1" x14ac:dyDescent="0.3">
      <c r="B927" s="97"/>
      <c r="C927" s="98"/>
      <c r="F927" s="96"/>
      <c r="G927" s="96"/>
    </row>
    <row r="928" spans="2:7" s="73" customFormat="1" x14ac:dyDescent="0.3">
      <c r="B928" s="97"/>
      <c r="C928" s="98"/>
      <c r="F928" s="96"/>
      <c r="G928" s="96"/>
    </row>
    <row r="929" spans="2:7" s="73" customFormat="1" x14ac:dyDescent="0.3">
      <c r="B929" s="97"/>
      <c r="C929" s="98"/>
      <c r="F929" s="96"/>
      <c r="G929" s="96"/>
    </row>
    <row r="930" spans="2:7" s="73" customFormat="1" x14ac:dyDescent="0.3">
      <c r="B930" s="97"/>
      <c r="C930" s="98"/>
      <c r="F930" s="96"/>
      <c r="G930" s="96"/>
    </row>
    <row r="931" spans="2:7" s="73" customFormat="1" x14ac:dyDescent="0.3">
      <c r="B931" s="97"/>
      <c r="C931" s="98"/>
      <c r="F931" s="96"/>
      <c r="G931" s="96"/>
    </row>
    <row r="932" spans="2:7" s="73" customFormat="1" x14ac:dyDescent="0.3">
      <c r="B932" s="97"/>
      <c r="C932" s="98"/>
      <c r="F932" s="96"/>
      <c r="G932" s="96"/>
    </row>
    <row r="933" spans="2:7" s="73" customFormat="1" x14ac:dyDescent="0.3">
      <c r="B933" s="97"/>
      <c r="C933" s="98"/>
      <c r="F933" s="96"/>
      <c r="G933" s="96"/>
    </row>
    <row r="934" spans="2:7" s="73" customFormat="1" x14ac:dyDescent="0.3">
      <c r="B934" s="97"/>
      <c r="C934" s="98"/>
      <c r="F934" s="96"/>
      <c r="G934" s="96"/>
    </row>
    <row r="935" spans="2:7" s="73" customFormat="1" x14ac:dyDescent="0.3">
      <c r="B935" s="97"/>
      <c r="C935" s="98"/>
      <c r="F935" s="96"/>
      <c r="G935" s="96"/>
    </row>
    <row r="936" spans="2:7" s="73" customFormat="1" x14ac:dyDescent="0.3">
      <c r="B936" s="97"/>
      <c r="C936" s="98"/>
      <c r="F936" s="96"/>
      <c r="G936" s="96"/>
    </row>
    <row r="937" spans="2:7" s="73" customFormat="1" x14ac:dyDescent="0.3">
      <c r="B937" s="97"/>
      <c r="C937" s="98"/>
      <c r="F937" s="96"/>
      <c r="G937" s="96"/>
    </row>
    <row r="938" spans="2:7" s="73" customFormat="1" x14ac:dyDescent="0.3">
      <c r="B938" s="97"/>
      <c r="C938" s="98"/>
      <c r="F938" s="96"/>
      <c r="G938" s="96"/>
    </row>
    <row r="939" spans="2:7" s="73" customFormat="1" x14ac:dyDescent="0.3">
      <c r="B939" s="97"/>
      <c r="C939" s="98"/>
      <c r="F939" s="96"/>
      <c r="G939" s="96"/>
    </row>
    <row r="940" spans="2:7" s="73" customFormat="1" x14ac:dyDescent="0.3">
      <c r="B940" s="97"/>
      <c r="C940" s="98"/>
      <c r="F940" s="96"/>
      <c r="G940" s="96"/>
    </row>
    <row r="941" spans="2:7" s="73" customFormat="1" x14ac:dyDescent="0.3">
      <c r="B941" s="97"/>
      <c r="C941" s="98"/>
      <c r="F941" s="96"/>
      <c r="G941" s="96"/>
    </row>
    <row r="942" spans="2:7" s="73" customFormat="1" x14ac:dyDescent="0.3">
      <c r="B942" s="97"/>
      <c r="C942" s="98"/>
      <c r="F942" s="96"/>
      <c r="G942" s="96"/>
    </row>
    <row r="943" spans="2:7" s="73" customFormat="1" x14ac:dyDescent="0.3">
      <c r="B943" s="97"/>
      <c r="C943" s="98"/>
      <c r="F943" s="96"/>
      <c r="G943" s="96"/>
    </row>
    <row r="944" spans="2:7" s="73" customFormat="1" x14ac:dyDescent="0.3">
      <c r="B944" s="97"/>
      <c r="C944" s="98"/>
      <c r="F944" s="96"/>
      <c r="G944" s="96"/>
    </row>
    <row r="945" spans="2:7" s="73" customFormat="1" x14ac:dyDescent="0.3">
      <c r="B945" s="97"/>
      <c r="C945" s="98"/>
      <c r="F945" s="96"/>
      <c r="G945" s="96"/>
    </row>
    <row r="946" spans="2:7" s="73" customFormat="1" x14ac:dyDescent="0.3">
      <c r="B946" s="97"/>
      <c r="C946" s="98"/>
      <c r="F946" s="96"/>
      <c r="G946" s="96"/>
    </row>
    <row r="947" spans="2:7" s="73" customFormat="1" x14ac:dyDescent="0.3">
      <c r="B947" s="97"/>
      <c r="C947" s="98"/>
      <c r="F947" s="96"/>
      <c r="G947" s="96"/>
    </row>
    <row r="948" spans="2:7" s="73" customFormat="1" x14ac:dyDescent="0.3">
      <c r="B948" s="97"/>
      <c r="C948" s="98"/>
      <c r="F948" s="96"/>
      <c r="G948" s="96"/>
    </row>
    <row r="949" spans="2:7" s="73" customFormat="1" x14ac:dyDescent="0.3">
      <c r="B949" s="97"/>
      <c r="C949" s="98"/>
      <c r="F949" s="96"/>
      <c r="G949" s="96"/>
    </row>
    <row r="950" spans="2:7" s="73" customFormat="1" x14ac:dyDescent="0.3">
      <c r="B950" s="97"/>
      <c r="C950" s="98"/>
      <c r="F950" s="96"/>
      <c r="G950" s="96"/>
    </row>
    <row r="951" spans="2:7" s="73" customFormat="1" x14ac:dyDescent="0.3">
      <c r="B951" s="97"/>
      <c r="C951" s="98"/>
      <c r="F951" s="96"/>
      <c r="G951" s="96"/>
    </row>
    <row r="952" spans="2:7" s="73" customFormat="1" x14ac:dyDescent="0.3">
      <c r="B952" s="97"/>
      <c r="C952" s="98"/>
      <c r="F952" s="96"/>
      <c r="G952" s="96"/>
    </row>
    <row r="953" spans="2:7" s="73" customFormat="1" x14ac:dyDescent="0.3">
      <c r="B953" s="97"/>
      <c r="C953" s="98"/>
      <c r="F953" s="96"/>
      <c r="G953" s="96"/>
    </row>
    <row r="954" spans="2:7" s="73" customFormat="1" x14ac:dyDescent="0.3">
      <c r="B954" s="97"/>
      <c r="C954" s="98"/>
      <c r="F954" s="96"/>
      <c r="G954" s="96"/>
    </row>
    <row r="955" spans="2:7" s="73" customFormat="1" x14ac:dyDescent="0.3">
      <c r="B955" s="97"/>
      <c r="C955" s="98"/>
      <c r="F955" s="96"/>
      <c r="G955" s="96"/>
    </row>
    <row r="956" spans="2:7" s="73" customFormat="1" x14ac:dyDescent="0.3">
      <c r="B956" s="97"/>
      <c r="C956" s="98"/>
      <c r="F956" s="96"/>
      <c r="G956" s="96"/>
    </row>
    <row r="957" spans="2:7" s="73" customFormat="1" x14ac:dyDescent="0.3">
      <c r="B957" s="97"/>
      <c r="C957" s="98"/>
      <c r="F957" s="96"/>
      <c r="G957" s="96"/>
    </row>
    <row r="958" spans="2:7" s="73" customFormat="1" x14ac:dyDescent="0.3">
      <c r="B958" s="97"/>
      <c r="C958" s="98"/>
      <c r="F958" s="96"/>
      <c r="G958" s="96"/>
    </row>
    <row r="959" spans="2:7" s="73" customFormat="1" x14ac:dyDescent="0.3">
      <c r="B959" s="97"/>
      <c r="C959" s="98"/>
      <c r="F959" s="96"/>
      <c r="G959" s="96"/>
    </row>
    <row r="960" spans="2:7" s="73" customFormat="1" x14ac:dyDescent="0.3">
      <c r="B960" s="97"/>
      <c r="C960" s="98"/>
      <c r="F960" s="96"/>
      <c r="G960" s="96"/>
    </row>
    <row r="961" spans="2:7" s="73" customFormat="1" x14ac:dyDescent="0.3">
      <c r="B961" s="97"/>
      <c r="C961" s="98"/>
      <c r="F961" s="96"/>
      <c r="G961" s="96"/>
    </row>
    <row r="962" spans="2:7" s="73" customFormat="1" x14ac:dyDescent="0.3">
      <c r="B962" s="97"/>
      <c r="C962" s="98"/>
      <c r="F962" s="96"/>
      <c r="G962" s="96"/>
    </row>
    <row r="963" spans="2:7" s="73" customFormat="1" x14ac:dyDescent="0.3">
      <c r="B963" s="97"/>
      <c r="C963" s="98"/>
      <c r="F963" s="96"/>
      <c r="G963" s="96"/>
    </row>
    <row r="964" spans="2:7" s="73" customFormat="1" x14ac:dyDescent="0.3">
      <c r="B964" s="97"/>
      <c r="C964" s="98"/>
      <c r="F964" s="96"/>
      <c r="G964" s="96"/>
    </row>
    <row r="965" spans="2:7" s="73" customFormat="1" x14ac:dyDescent="0.3">
      <c r="B965" s="97"/>
      <c r="C965" s="98"/>
      <c r="F965" s="96"/>
      <c r="G965" s="96"/>
    </row>
    <row r="966" spans="2:7" s="73" customFormat="1" x14ac:dyDescent="0.3">
      <c r="B966" s="97"/>
      <c r="C966" s="98"/>
      <c r="F966" s="96"/>
      <c r="G966" s="96"/>
    </row>
    <row r="967" spans="2:7" s="73" customFormat="1" x14ac:dyDescent="0.3">
      <c r="B967" s="97"/>
      <c r="C967" s="98"/>
      <c r="F967" s="96"/>
      <c r="G967" s="96"/>
    </row>
    <row r="968" spans="2:7" s="73" customFormat="1" x14ac:dyDescent="0.3">
      <c r="B968" s="97"/>
      <c r="C968" s="98"/>
      <c r="F968" s="96"/>
      <c r="G968" s="96"/>
    </row>
    <row r="969" spans="2:7" s="73" customFormat="1" x14ac:dyDescent="0.3">
      <c r="B969" s="97"/>
      <c r="C969" s="98"/>
      <c r="F969" s="96"/>
      <c r="G969" s="96"/>
    </row>
    <row r="970" spans="2:7" s="73" customFormat="1" x14ac:dyDescent="0.3">
      <c r="B970" s="97"/>
      <c r="C970" s="98"/>
      <c r="F970" s="96"/>
      <c r="G970" s="96"/>
    </row>
    <row r="971" spans="2:7" s="73" customFormat="1" x14ac:dyDescent="0.3">
      <c r="B971" s="97"/>
      <c r="C971" s="98"/>
      <c r="F971" s="96"/>
      <c r="G971" s="96"/>
    </row>
    <row r="972" spans="2:7" s="73" customFormat="1" x14ac:dyDescent="0.3">
      <c r="B972" s="97"/>
      <c r="C972" s="98"/>
      <c r="F972" s="96"/>
      <c r="G972" s="96"/>
    </row>
    <row r="973" spans="2:7" s="73" customFormat="1" x14ac:dyDescent="0.3">
      <c r="B973" s="97"/>
      <c r="C973" s="98"/>
      <c r="F973" s="96"/>
      <c r="G973" s="96"/>
    </row>
    <row r="974" spans="2:7" s="73" customFormat="1" x14ac:dyDescent="0.3">
      <c r="B974" s="97"/>
      <c r="C974" s="98"/>
      <c r="F974" s="96"/>
      <c r="G974" s="96"/>
    </row>
    <row r="975" spans="2:7" s="73" customFormat="1" x14ac:dyDescent="0.3">
      <c r="B975" s="97"/>
      <c r="C975" s="98"/>
      <c r="F975" s="96"/>
      <c r="G975" s="96"/>
    </row>
    <row r="976" spans="2:7" s="73" customFormat="1" x14ac:dyDescent="0.3">
      <c r="B976" s="97"/>
      <c r="C976" s="98"/>
      <c r="F976" s="96"/>
      <c r="G976" s="96"/>
    </row>
    <row r="977" spans="2:7" s="73" customFormat="1" x14ac:dyDescent="0.3">
      <c r="B977" s="97"/>
      <c r="C977" s="98"/>
      <c r="F977" s="96"/>
      <c r="G977" s="96"/>
    </row>
    <row r="978" spans="2:7" s="73" customFormat="1" x14ac:dyDescent="0.3">
      <c r="B978" s="97"/>
      <c r="C978" s="98"/>
      <c r="F978" s="96"/>
      <c r="G978" s="96"/>
    </row>
    <row r="979" spans="2:7" s="73" customFormat="1" x14ac:dyDescent="0.3">
      <c r="B979" s="97"/>
      <c r="C979" s="98"/>
      <c r="F979" s="96"/>
      <c r="G979" s="96"/>
    </row>
    <row r="980" spans="2:7" s="73" customFormat="1" x14ac:dyDescent="0.3">
      <c r="B980" s="97"/>
      <c r="C980" s="98"/>
      <c r="F980" s="96"/>
      <c r="G980" s="96"/>
    </row>
    <row r="981" spans="2:7" s="73" customFormat="1" x14ac:dyDescent="0.3">
      <c r="B981" s="97"/>
      <c r="C981" s="98"/>
      <c r="F981" s="96"/>
      <c r="G981" s="96"/>
    </row>
    <row r="982" spans="2:7" s="73" customFormat="1" x14ac:dyDescent="0.3">
      <c r="B982" s="97"/>
      <c r="C982" s="98"/>
      <c r="F982" s="96"/>
      <c r="G982" s="96"/>
    </row>
    <row r="983" spans="2:7" s="73" customFormat="1" x14ac:dyDescent="0.3">
      <c r="B983" s="97"/>
      <c r="C983" s="98"/>
      <c r="F983" s="96"/>
      <c r="G983" s="96"/>
    </row>
    <row r="984" spans="2:7" s="73" customFormat="1" x14ac:dyDescent="0.3">
      <c r="B984" s="97"/>
      <c r="C984" s="98"/>
      <c r="F984" s="96"/>
      <c r="G984" s="96"/>
    </row>
    <row r="985" spans="2:7" s="73" customFormat="1" x14ac:dyDescent="0.3">
      <c r="B985" s="97"/>
      <c r="C985" s="98"/>
      <c r="F985" s="96"/>
      <c r="G985" s="96"/>
    </row>
    <row r="986" spans="2:7" s="73" customFormat="1" x14ac:dyDescent="0.3">
      <c r="B986" s="97"/>
      <c r="C986" s="98"/>
      <c r="F986" s="96"/>
      <c r="G986" s="96"/>
    </row>
    <row r="987" spans="2:7" s="73" customFormat="1" x14ac:dyDescent="0.3">
      <c r="B987" s="97"/>
      <c r="C987" s="98"/>
      <c r="F987" s="96"/>
      <c r="G987" s="96"/>
    </row>
    <row r="988" spans="2:7" s="73" customFormat="1" x14ac:dyDescent="0.3">
      <c r="B988" s="97"/>
      <c r="C988" s="98"/>
      <c r="F988" s="96"/>
      <c r="G988" s="96"/>
    </row>
    <row r="989" spans="2:7" s="73" customFormat="1" x14ac:dyDescent="0.3">
      <c r="B989" s="97"/>
      <c r="C989" s="98"/>
      <c r="F989" s="96"/>
      <c r="G989" s="96"/>
    </row>
    <row r="990" spans="2:7" s="73" customFormat="1" x14ac:dyDescent="0.3">
      <c r="B990" s="97"/>
      <c r="C990" s="98"/>
      <c r="F990" s="96"/>
      <c r="G990" s="96"/>
    </row>
    <row r="991" spans="2:7" s="73" customFormat="1" x14ac:dyDescent="0.3">
      <c r="B991" s="97"/>
      <c r="C991" s="98"/>
      <c r="F991" s="96"/>
      <c r="G991" s="96"/>
    </row>
    <row r="992" spans="2:7" s="73" customFormat="1" x14ac:dyDescent="0.3">
      <c r="B992" s="97"/>
      <c r="C992" s="98"/>
      <c r="F992" s="96"/>
      <c r="G992" s="96"/>
    </row>
    <row r="993" spans="2:7" s="73" customFormat="1" x14ac:dyDescent="0.3">
      <c r="B993" s="97"/>
      <c r="C993" s="98"/>
      <c r="F993" s="96"/>
      <c r="G993" s="96"/>
    </row>
    <row r="994" spans="2:7" s="73" customFormat="1" x14ac:dyDescent="0.3">
      <c r="B994" s="97"/>
      <c r="C994" s="98"/>
      <c r="F994" s="96"/>
      <c r="G994" s="96"/>
    </row>
    <row r="995" spans="2:7" s="73" customFormat="1" x14ac:dyDescent="0.3">
      <c r="B995" s="97"/>
      <c r="C995" s="98"/>
      <c r="F995" s="96"/>
      <c r="G995" s="96"/>
    </row>
    <row r="996" spans="2:7" s="73" customFormat="1" x14ac:dyDescent="0.3">
      <c r="B996" s="97"/>
      <c r="C996" s="98"/>
      <c r="F996" s="96"/>
      <c r="G996" s="96"/>
    </row>
    <row r="997" spans="2:7" s="73" customFormat="1" x14ac:dyDescent="0.3">
      <c r="B997" s="97"/>
      <c r="C997" s="98"/>
      <c r="F997" s="96"/>
      <c r="G997" s="96"/>
    </row>
    <row r="998" spans="2:7" s="73" customFormat="1" x14ac:dyDescent="0.3">
      <c r="B998" s="97"/>
      <c r="C998" s="98"/>
      <c r="F998" s="96"/>
      <c r="G998" s="96"/>
    </row>
    <row r="999" spans="2:7" s="73" customFormat="1" x14ac:dyDescent="0.3">
      <c r="B999" s="97"/>
      <c r="C999" s="98"/>
      <c r="F999" s="96"/>
      <c r="G999" s="96"/>
    </row>
    <row r="1000" spans="2:7" s="73" customFormat="1" x14ac:dyDescent="0.3">
      <c r="B1000" s="97"/>
      <c r="C1000" s="98"/>
      <c r="F1000" s="96"/>
      <c r="G1000" s="96"/>
    </row>
    <row r="1001" spans="2:7" s="73" customFormat="1" x14ac:dyDescent="0.3">
      <c r="B1001" s="97"/>
      <c r="C1001" s="98"/>
      <c r="F1001" s="96"/>
      <c r="G1001" s="96"/>
    </row>
    <row r="1002" spans="2:7" s="73" customFormat="1" x14ac:dyDescent="0.3">
      <c r="B1002" s="97"/>
      <c r="C1002" s="98"/>
      <c r="F1002" s="96"/>
      <c r="G1002" s="96"/>
    </row>
    <row r="1003" spans="2:7" s="73" customFormat="1" x14ac:dyDescent="0.3">
      <c r="B1003" s="97"/>
      <c r="C1003" s="98"/>
      <c r="F1003" s="96"/>
      <c r="G1003" s="96"/>
    </row>
    <row r="1004" spans="2:7" s="73" customFormat="1" x14ac:dyDescent="0.3">
      <c r="B1004" s="97"/>
      <c r="C1004" s="98"/>
      <c r="F1004" s="96"/>
      <c r="G1004" s="96"/>
    </row>
    <row r="1005" spans="2:7" s="73" customFormat="1" x14ac:dyDescent="0.3">
      <c r="B1005" s="97"/>
      <c r="C1005" s="98"/>
      <c r="F1005" s="96"/>
      <c r="G1005" s="96"/>
    </row>
    <row r="1006" spans="2:7" s="73" customFormat="1" x14ac:dyDescent="0.3">
      <c r="B1006" s="97"/>
      <c r="C1006" s="98"/>
      <c r="F1006" s="96"/>
      <c r="G1006" s="96"/>
    </row>
    <row r="1007" spans="2:7" s="73" customFormat="1" x14ac:dyDescent="0.3">
      <c r="B1007" s="97"/>
      <c r="C1007" s="98"/>
      <c r="F1007" s="96"/>
      <c r="G1007" s="96"/>
    </row>
    <row r="1008" spans="2:7" s="73" customFormat="1" x14ac:dyDescent="0.3">
      <c r="B1008" s="97"/>
      <c r="C1008" s="98"/>
      <c r="F1008" s="96"/>
      <c r="G1008" s="96"/>
    </row>
    <row r="1009" spans="2:7" s="73" customFormat="1" x14ac:dyDescent="0.3">
      <c r="B1009" s="97"/>
      <c r="C1009" s="98"/>
      <c r="F1009" s="96"/>
      <c r="G1009" s="96"/>
    </row>
    <row r="1010" spans="2:7" s="73" customFormat="1" x14ac:dyDescent="0.3">
      <c r="B1010" s="97"/>
      <c r="C1010" s="98"/>
      <c r="F1010" s="96"/>
      <c r="G1010" s="96"/>
    </row>
    <row r="1011" spans="2:7" s="73" customFormat="1" x14ac:dyDescent="0.3">
      <c r="B1011" s="97"/>
      <c r="C1011" s="98"/>
      <c r="F1011" s="96"/>
      <c r="G1011" s="96"/>
    </row>
    <row r="1012" spans="2:7" s="73" customFormat="1" x14ac:dyDescent="0.3">
      <c r="B1012" s="97"/>
      <c r="C1012" s="98"/>
      <c r="F1012" s="96"/>
      <c r="G1012" s="96"/>
    </row>
    <row r="1013" spans="2:7" s="73" customFormat="1" x14ac:dyDescent="0.3">
      <c r="B1013" s="97"/>
      <c r="C1013" s="98"/>
      <c r="F1013" s="96"/>
      <c r="G1013" s="96"/>
    </row>
    <row r="1014" spans="2:7" s="73" customFormat="1" x14ac:dyDescent="0.3">
      <c r="B1014" s="97"/>
      <c r="C1014" s="98"/>
      <c r="F1014" s="96"/>
      <c r="G1014" s="96"/>
    </row>
    <row r="1015" spans="2:7" s="73" customFormat="1" x14ac:dyDescent="0.3">
      <c r="B1015" s="97"/>
      <c r="C1015" s="98"/>
      <c r="F1015" s="96"/>
      <c r="G1015" s="96"/>
    </row>
    <row r="1016" spans="2:7" s="73" customFormat="1" x14ac:dyDescent="0.3">
      <c r="B1016" s="97"/>
      <c r="C1016" s="98"/>
      <c r="F1016" s="96"/>
      <c r="G1016" s="96"/>
    </row>
    <row r="1017" spans="2:7" s="73" customFormat="1" x14ac:dyDescent="0.3">
      <c r="B1017" s="97"/>
      <c r="C1017" s="98"/>
      <c r="F1017" s="96"/>
      <c r="G1017" s="96"/>
    </row>
    <row r="1018" spans="2:7" s="73" customFormat="1" x14ac:dyDescent="0.3">
      <c r="B1018" s="97"/>
      <c r="C1018" s="98"/>
      <c r="F1018" s="96"/>
      <c r="G1018" s="96"/>
    </row>
    <row r="1019" spans="2:7" s="73" customFormat="1" x14ac:dyDescent="0.3">
      <c r="B1019" s="97"/>
      <c r="C1019" s="98"/>
      <c r="F1019" s="96"/>
      <c r="G1019" s="96"/>
    </row>
    <row r="1020" spans="2:7" s="73" customFormat="1" x14ac:dyDescent="0.3">
      <c r="B1020" s="97"/>
      <c r="C1020" s="98"/>
      <c r="F1020" s="96"/>
      <c r="G1020" s="96"/>
    </row>
    <row r="1021" spans="2:7" s="73" customFormat="1" x14ac:dyDescent="0.3">
      <c r="B1021" s="97"/>
      <c r="C1021" s="98"/>
      <c r="F1021" s="96"/>
      <c r="G1021" s="96"/>
    </row>
    <row r="1022" spans="2:7" s="73" customFormat="1" x14ac:dyDescent="0.3">
      <c r="B1022" s="97"/>
      <c r="C1022" s="98"/>
      <c r="F1022" s="96"/>
      <c r="G1022" s="96"/>
    </row>
    <row r="1023" spans="2:7" s="73" customFormat="1" x14ac:dyDescent="0.3">
      <c r="B1023" s="97"/>
      <c r="C1023" s="98"/>
      <c r="F1023" s="96"/>
      <c r="G1023" s="96"/>
    </row>
    <row r="1024" spans="2:7" s="73" customFormat="1" x14ac:dyDescent="0.3">
      <c r="B1024" s="97"/>
      <c r="C1024" s="98"/>
      <c r="F1024" s="96"/>
      <c r="G1024" s="96"/>
    </row>
    <row r="1025" spans="2:7" s="73" customFormat="1" x14ac:dyDescent="0.3">
      <c r="B1025" s="97"/>
      <c r="C1025" s="98"/>
      <c r="F1025" s="96"/>
      <c r="G1025" s="96"/>
    </row>
    <row r="1026" spans="2:7" s="73" customFormat="1" x14ac:dyDescent="0.3">
      <c r="B1026" s="97"/>
      <c r="C1026" s="98"/>
      <c r="F1026" s="96"/>
      <c r="G1026" s="96"/>
    </row>
    <row r="1027" spans="2:7" s="73" customFormat="1" x14ac:dyDescent="0.3">
      <c r="B1027" s="97"/>
      <c r="C1027" s="98"/>
      <c r="F1027" s="96"/>
      <c r="G1027" s="96"/>
    </row>
    <row r="1028" spans="2:7" s="73" customFormat="1" x14ac:dyDescent="0.3">
      <c r="B1028" s="97"/>
      <c r="C1028" s="98"/>
      <c r="F1028" s="96"/>
      <c r="G1028" s="96"/>
    </row>
    <row r="1029" spans="2:7" s="73" customFormat="1" x14ac:dyDescent="0.3">
      <c r="B1029" s="97"/>
      <c r="C1029" s="98"/>
      <c r="F1029" s="96"/>
      <c r="G1029" s="96"/>
    </row>
    <row r="1030" spans="2:7" s="73" customFormat="1" x14ac:dyDescent="0.3">
      <c r="B1030" s="97"/>
      <c r="C1030" s="98"/>
      <c r="F1030" s="96"/>
      <c r="G1030" s="96"/>
    </row>
    <row r="1031" spans="2:7" s="73" customFormat="1" x14ac:dyDescent="0.3">
      <c r="B1031" s="97"/>
      <c r="C1031" s="98"/>
      <c r="F1031" s="96"/>
      <c r="G1031" s="96"/>
    </row>
    <row r="1032" spans="2:7" s="73" customFormat="1" x14ac:dyDescent="0.3">
      <c r="B1032" s="97"/>
      <c r="C1032" s="98"/>
      <c r="F1032" s="96"/>
      <c r="G1032" s="96"/>
    </row>
    <row r="1033" spans="2:7" s="73" customFormat="1" x14ac:dyDescent="0.3">
      <c r="B1033" s="97"/>
      <c r="C1033" s="98"/>
      <c r="F1033" s="96"/>
      <c r="G1033" s="96"/>
    </row>
    <row r="1034" spans="2:7" s="73" customFormat="1" x14ac:dyDescent="0.3">
      <c r="B1034" s="97"/>
      <c r="C1034" s="98"/>
      <c r="F1034" s="96"/>
      <c r="G1034" s="96"/>
    </row>
    <row r="1035" spans="2:7" s="73" customFormat="1" x14ac:dyDescent="0.3">
      <c r="B1035" s="97"/>
      <c r="C1035" s="98"/>
      <c r="F1035" s="96"/>
      <c r="G1035" s="96"/>
    </row>
    <row r="1036" spans="2:7" s="73" customFormat="1" x14ac:dyDescent="0.3">
      <c r="B1036" s="97"/>
      <c r="C1036" s="98"/>
      <c r="F1036" s="96"/>
      <c r="G1036" s="96"/>
    </row>
    <row r="1037" spans="2:7" s="73" customFormat="1" x14ac:dyDescent="0.3">
      <c r="B1037" s="97"/>
      <c r="C1037" s="98"/>
      <c r="F1037" s="96"/>
      <c r="G1037" s="96"/>
    </row>
    <row r="1038" spans="2:7" s="73" customFormat="1" x14ac:dyDescent="0.3">
      <c r="B1038" s="97"/>
      <c r="C1038" s="98"/>
      <c r="F1038" s="96"/>
      <c r="G1038" s="96"/>
    </row>
    <row r="1039" spans="2:7" s="73" customFormat="1" x14ac:dyDescent="0.3">
      <c r="B1039" s="97"/>
      <c r="C1039" s="98"/>
      <c r="F1039" s="96"/>
      <c r="G1039" s="96"/>
    </row>
    <row r="1040" spans="2:7" s="73" customFormat="1" x14ac:dyDescent="0.3">
      <c r="B1040" s="97"/>
      <c r="C1040" s="98"/>
      <c r="F1040" s="96"/>
      <c r="G1040" s="96"/>
    </row>
    <row r="1041" spans="2:7" s="73" customFormat="1" x14ac:dyDescent="0.3">
      <c r="B1041" s="97"/>
      <c r="C1041" s="98"/>
      <c r="F1041" s="96"/>
      <c r="G1041" s="96"/>
    </row>
    <row r="1042" spans="2:7" s="73" customFormat="1" x14ac:dyDescent="0.3">
      <c r="B1042" s="97"/>
      <c r="C1042" s="98"/>
      <c r="F1042" s="96"/>
      <c r="G1042" s="96"/>
    </row>
    <row r="1043" spans="2:7" s="73" customFormat="1" x14ac:dyDescent="0.3">
      <c r="B1043" s="97"/>
      <c r="C1043" s="98"/>
      <c r="F1043" s="96"/>
      <c r="G1043" s="96"/>
    </row>
    <row r="1044" spans="2:7" s="73" customFormat="1" x14ac:dyDescent="0.3">
      <c r="B1044" s="97"/>
      <c r="C1044" s="98"/>
      <c r="F1044" s="96"/>
      <c r="G1044" s="96"/>
    </row>
    <row r="1045" spans="2:7" s="73" customFormat="1" x14ac:dyDescent="0.3">
      <c r="B1045" s="97"/>
      <c r="C1045" s="98"/>
      <c r="F1045" s="96"/>
      <c r="G1045" s="96"/>
    </row>
    <row r="1046" spans="2:7" s="73" customFormat="1" x14ac:dyDescent="0.3">
      <c r="B1046" s="97"/>
      <c r="C1046" s="98"/>
      <c r="F1046" s="96"/>
      <c r="G1046" s="96"/>
    </row>
    <row r="1047" spans="2:7" s="73" customFormat="1" x14ac:dyDescent="0.3">
      <c r="B1047" s="97"/>
      <c r="C1047" s="98"/>
      <c r="F1047" s="96"/>
      <c r="G1047" s="96"/>
    </row>
    <row r="1048" spans="2:7" s="73" customFormat="1" x14ac:dyDescent="0.3">
      <c r="B1048" s="97"/>
      <c r="C1048" s="98"/>
      <c r="F1048" s="96"/>
      <c r="G1048" s="96"/>
    </row>
    <row r="1049" spans="2:7" s="73" customFormat="1" x14ac:dyDescent="0.3">
      <c r="B1049" s="97"/>
      <c r="C1049" s="98"/>
      <c r="F1049" s="96"/>
      <c r="G1049" s="96"/>
    </row>
    <row r="1050" spans="2:7" s="73" customFormat="1" x14ac:dyDescent="0.3">
      <c r="B1050" s="97"/>
      <c r="C1050" s="98"/>
      <c r="F1050" s="96"/>
      <c r="G1050" s="96"/>
    </row>
    <row r="1051" spans="2:7" s="73" customFormat="1" x14ac:dyDescent="0.3">
      <c r="B1051" s="97"/>
      <c r="C1051" s="98"/>
      <c r="F1051" s="96"/>
      <c r="G1051" s="96"/>
    </row>
    <row r="1052" spans="2:7" s="73" customFormat="1" x14ac:dyDescent="0.3">
      <c r="B1052" s="97"/>
      <c r="C1052" s="98"/>
      <c r="F1052" s="96"/>
      <c r="G1052" s="96"/>
    </row>
    <row r="1053" spans="2:7" s="73" customFormat="1" x14ac:dyDescent="0.3">
      <c r="B1053" s="97"/>
      <c r="C1053" s="98"/>
      <c r="F1053" s="96"/>
      <c r="G1053" s="96"/>
    </row>
    <row r="1054" spans="2:7" s="73" customFormat="1" x14ac:dyDescent="0.3">
      <c r="B1054" s="97"/>
      <c r="C1054" s="98"/>
      <c r="F1054" s="96"/>
      <c r="G1054" s="96"/>
    </row>
    <row r="1055" spans="2:7" s="73" customFormat="1" x14ac:dyDescent="0.3">
      <c r="B1055" s="97"/>
      <c r="C1055" s="98"/>
      <c r="F1055" s="96"/>
      <c r="G1055" s="96"/>
    </row>
    <row r="1056" spans="2:7" s="73" customFormat="1" x14ac:dyDescent="0.3">
      <c r="B1056" s="97"/>
      <c r="C1056" s="98"/>
      <c r="F1056" s="96"/>
      <c r="G1056" s="96"/>
    </row>
    <row r="1057" spans="2:7" s="73" customFormat="1" x14ac:dyDescent="0.3">
      <c r="B1057" s="97"/>
      <c r="C1057" s="98"/>
      <c r="F1057" s="96"/>
      <c r="G1057" s="96"/>
    </row>
    <row r="1058" spans="2:7" s="73" customFormat="1" x14ac:dyDescent="0.3">
      <c r="B1058" s="97"/>
      <c r="C1058" s="98"/>
      <c r="F1058" s="96"/>
      <c r="G1058" s="96"/>
    </row>
    <row r="1059" spans="2:7" s="73" customFormat="1" x14ac:dyDescent="0.3">
      <c r="B1059" s="97"/>
      <c r="C1059" s="98"/>
      <c r="F1059" s="96"/>
      <c r="G1059" s="96"/>
    </row>
    <row r="1060" spans="2:7" s="73" customFormat="1" x14ac:dyDescent="0.3">
      <c r="B1060" s="97"/>
      <c r="C1060" s="98"/>
      <c r="F1060" s="96"/>
      <c r="G1060" s="96"/>
    </row>
    <row r="1061" spans="2:7" s="73" customFormat="1" x14ac:dyDescent="0.3">
      <c r="B1061" s="97"/>
      <c r="C1061" s="98"/>
      <c r="F1061" s="96"/>
      <c r="G1061" s="96"/>
    </row>
    <row r="1062" spans="2:7" s="73" customFormat="1" x14ac:dyDescent="0.3">
      <c r="B1062" s="97"/>
      <c r="C1062" s="98"/>
      <c r="F1062" s="96"/>
      <c r="G1062" s="96"/>
    </row>
    <row r="1063" spans="2:7" s="73" customFormat="1" x14ac:dyDescent="0.3">
      <c r="B1063" s="97"/>
      <c r="C1063" s="98"/>
      <c r="F1063" s="96"/>
      <c r="G1063" s="96"/>
    </row>
    <row r="1064" spans="2:7" s="73" customFormat="1" x14ac:dyDescent="0.3">
      <c r="B1064" s="97"/>
      <c r="C1064" s="98"/>
      <c r="F1064" s="96"/>
      <c r="G1064" s="96"/>
    </row>
    <row r="1065" spans="2:7" s="73" customFormat="1" x14ac:dyDescent="0.3">
      <c r="B1065" s="97"/>
      <c r="C1065" s="98"/>
      <c r="F1065" s="96"/>
      <c r="G1065" s="96"/>
    </row>
    <row r="1066" spans="2:7" s="73" customFormat="1" x14ac:dyDescent="0.3">
      <c r="B1066" s="97"/>
      <c r="C1066" s="98"/>
      <c r="F1066" s="96"/>
      <c r="G1066" s="96"/>
    </row>
    <row r="1067" spans="2:7" s="73" customFormat="1" x14ac:dyDescent="0.3">
      <c r="B1067" s="97"/>
      <c r="C1067" s="98"/>
      <c r="F1067" s="96"/>
      <c r="G1067" s="96"/>
    </row>
    <row r="1068" spans="2:7" s="73" customFormat="1" x14ac:dyDescent="0.3">
      <c r="B1068" s="97"/>
      <c r="C1068" s="98"/>
      <c r="F1068" s="96"/>
      <c r="G1068" s="96"/>
    </row>
    <row r="1069" spans="2:7" s="73" customFormat="1" x14ac:dyDescent="0.3">
      <c r="B1069" s="97"/>
      <c r="C1069" s="98"/>
      <c r="F1069" s="96"/>
      <c r="G1069" s="96"/>
    </row>
    <row r="1070" spans="2:7" s="73" customFormat="1" x14ac:dyDescent="0.3">
      <c r="B1070" s="97"/>
      <c r="C1070" s="98"/>
      <c r="F1070" s="96"/>
      <c r="G1070" s="96"/>
    </row>
    <row r="1071" spans="2:7" s="73" customFormat="1" x14ac:dyDescent="0.3">
      <c r="B1071" s="97"/>
      <c r="C1071" s="98"/>
      <c r="F1071" s="96"/>
      <c r="G1071" s="96"/>
    </row>
    <row r="1072" spans="2:7" s="73" customFormat="1" x14ac:dyDescent="0.3">
      <c r="B1072" s="97"/>
      <c r="C1072" s="98"/>
      <c r="F1072" s="96"/>
      <c r="G1072" s="96"/>
    </row>
    <row r="1073" spans="2:7" s="73" customFormat="1" x14ac:dyDescent="0.3">
      <c r="B1073" s="97"/>
      <c r="C1073" s="98"/>
      <c r="F1073" s="96"/>
      <c r="G1073" s="96"/>
    </row>
    <row r="1074" spans="2:7" s="73" customFormat="1" x14ac:dyDescent="0.3">
      <c r="B1074" s="97"/>
      <c r="C1074" s="98"/>
      <c r="F1074" s="96"/>
      <c r="G1074" s="96"/>
    </row>
    <row r="1075" spans="2:7" s="73" customFormat="1" x14ac:dyDescent="0.3">
      <c r="B1075" s="97"/>
      <c r="C1075" s="98"/>
      <c r="F1075" s="96"/>
      <c r="G1075" s="96"/>
    </row>
    <row r="1076" spans="2:7" s="73" customFormat="1" x14ac:dyDescent="0.3">
      <c r="B1076" s="97"/>
      <c r="C1076" s="98"/>
      <c r="F1076" s="96"/>
      <c r="G1076" s="96"/>
    </row>
    <row r="1077" spans="2:7" s="73" customFormat="1" x14ac:dyDescent="0.3">
      <c r="B1077" s="97"/>
      <c r="C1077" s="98"/>
      <c r="F1077" s="96"/>
      <c r="G1077" s="96"/>
    </row>
    <row r="1078" spans="2:7" s="73" customFormat="1" x14ac:dyDescent="0.3">
      <c r="B1078" s="97"/>
      <c r="C1078" s="98"/>
      <c r="F1078" s="96"/>
      <c r="G1078" s="96"/>
    </row>
    <row r="1079" spans="2:7" s="73" customFormat="1" x14ac:dyDescent="0.3">
      <c r="B1079" s="97"/>
      <c r="C1079" s="98"/>
      <c r="F1079" s="96"/>
      <c r="G1079" s="96"/>
    </row>
    <row r="1080" spans="2:7" s="73" customFormat="1" x14ac:dyDescent="0.3">
      <c r="B1080" s="97"/>
      <c r="C1080" s="98"/>
      <c r="F1080" s="96"/>
      <c r="G1080" s="96"/>
    </row>
    <row r="1081" spans="2:7" s="73" customFormat="1" x14ac:dyDescent="0.3">
      <c r="B1081" s="97"/>
      <c r="C1081" s="98"/>
      <c r="F1081" s="96"/>
      <c r="G1081" s="96"/>
    </row>
    <row r="1082" spans="2:7" s="73" customFormat="1" x14ac:dyDescent="0.3">
      <c r="B1082" s="97"/>
      <c r="C1082" s="98"/>
      <c r="F1082" s="96"/>
      <c r="G1082" s="96"/>
    </row>
    <row r="1083" spans="2:7" s="73" customFormat="1" x14ac:dyDescent="0.3">
      <c r="B1083" s="97"/>
      <c r="C1083" s="98"/>
      <c r="F1083" s="96"/>
      <c r="G1083" s="96"/>
    </row>
    <row r="1084" spans="2:7" s="73" customFormat="1" x14ac:dyDescent="0.3">
      <c r="B1084" s="97"/>
      <c r="C1084" s="98"/>
      <c r="F1084" s="96"/>
      <c r="G1084" s="96"/>
    </row>
    <row r="1085" spans="2:7" s="73" customFormat="1" x14ac:dyDescent="0.3">
      <c r="B1085" s="97"/>
      <c r="C1085" s="98"/>
      <c r="F1085" s="96"/>
      <c r="G1085" s="96"/>
    </row>
    <row r="1086" spans="2:7" s="73" customFormat="1" x14ac:dyDescent="0.3">
      <c r="B1086" s="97"/>
      <c r="C1086" s="98"/>
      <c r="F1086" s="96"/>
      <c r="G1086" s="96"/>
    </row>
    <row r="1087" spans="2:7" s="73" customFormat="1" x14ac:dyDescent="0.3">
      <c r="B1087" s="97"/>
      <c r="C1087" s="98"/>
      <c r="F1087" s="96"/>
      <c r="G1087" s="96"/>
    </row>
    <row r="1088" spans="2:7" s="73" customFormat="1" x14ac:dyDescent="0.3">
      <c r="B1088" s="97"/>
      <c r="C1088" s="98"/>
      <c r="F1088" s="96"/>
      <c r="G1088" s="96"/>
    </row>
    <row r="1089" spans="2:7" s="73" customFormat="1" x14ac:dyDescent="0.3">
      <c r="B1089" s="97"/>
      <c r="C1089" s="98"/>
      <c r="F1089" s="96"/>
      <c r="G1089" s="96"/>
    </row>
    <row r="1090" spans="2:7" s="73" customFormat="1" x14ac:dyDescent="0.3">
      <c r="B1090" s="97"/>
      <c r="C1090" s="98"/>
      <c r="F1090" s="96"/>
      <c r="G1090" s="96"/>
    </row>
    <row r="1091" spans="2:7" s="73" customFormat="1" x14ac:dyDescent="0.3">
      <c r="B1091" s="97"/>
      <c r="C1091" s="98"/>
      <c r="F1091" s="96"/>
      <c r="G1091" s="96"/>
    </row>
    <row r="1092" spans="2:7" s="73" customFormat="1" x14ac:dyDescent="0.3">
      <c r="B1092" s="97"/>
      <c r="C1092" s="98"/>
      <c r="F1092" s="96"/>
      <c r="G1092" s="96"/>
    </row>
    <row r="1093" spans="2:7" s="73" customFormat="1" x14ac:dyDescent="0.3">
      <c r="B1093" s="97"/>
      <c r="C1093" s="98"/>
      <c r="F1093" s="96"/>
      <c r="G1093" s="96"/>
    </row>
    <row r="1094" spans="2:7" s="73" customFormat="1" x14ac:dyDescent="0.3">
      <c r="B1094" s="97"/>
      <c r="C1094" s="98"/>
      <c r="F1094" s="96"/>
      <c r="G1094" s="96"/>
    </row>
    <row r="1095" spans="2:7" s="73" customFormat="1" x14ac:dyDescent="0.3">
      <c r="B1095" s="97"/>
      <c r="C1095" s="98"/>
      <c r="F1095" s="96"/>
      <c r="G1095" s="96"/>
    </row>
    <row r="1096" spans="2:7" s="73" customFormat="1" x14ac:dyDescent="0.3">
      <c r="B1096" s="97"/>
      <c r="C1096" s="98"/>
      <c r="F1096" s="96"/>
      <c r="G1096" s="96"/>
    </row>
    <row r="1097" spans="2:7" s="73" customFormat="1" x14ac:dyDescent="0.3">
      <c r="B1097" s="97"/>
      <c r="C1097" s="98"/>
      <c r="F1097" s="96"/>
      <c r="G1097" s="96"/>
    </row>
    <row r="1098" spans="2:7" s="73" customFormat="1" x14ac:dyDescent="0.3">
      <c r="B1098" s="97"/>
      <c r="C1098" s="98"/>
      <c r="F1098" s="96"/>
      <c r="G1098" s="96"/>
    </row>
    <row r="1099" spans="2:7" s="73" customFormat="1" x14ac:dyDescent="0.3">
      <c r="B1099" s="97"/>
      <c r="C1099" s="98"/>
      <c r="F1099" s="96"/>
      <c r="G1099" s="96"/>
    </row>
    <row r="1100" spans="2:7" s="73" customFormat="1" x14ac:dyDescent="0.3">
      <c r="B1100" s="97"/>
      <c r="C1100" s="98"/>
      <c r="F1100" s="96"/>
      <c r="G1100" s="96"/>
    </row>
    <row r="1101" spans="2:7" s="73" customFormat="1" x14ac:dyDescent="0.3">
      <c r="B1101" s="97"/>
      <c r="C1101" s="98"/>
      <c r="F1101" s="96"/>
      <c r="G1101" s="96"/>
    </row>
    <row r="1102" spans="2:7" s="73" customFormat="1" x14ac:dyDescent="0.3">
      <c r="B1102" s="97"/>
      <c r="C1102" s="98"/>
      <c r="F1102" s="96"/>
      <c r="G1102" s="96"/>
    </row>
    <row r="1103" spans="2:7" s="73" customFormat="1" x14ac:dyDescent="0.3">
      <c r="B1103" s="97"/>
      <c r="C1103" s="98"/>
      <c r="F1103" s="96"/>
      <c r="G1103" s="96"/>
    </row>
    <row r="1104" spans="2:7" s="73" customFormat="1" x14ac:dyDescent="0.3">
      <c r="B1104" s="97"/>
      <c r="C1104" s="98"/>
      <c r="F1104" s="96"/>
      <c r="G1104" s="96"/>
    </row>
    <row r="1105" spans="2:7" s="73" customFormat="1" x14ac:dyDescent="0.3">
      <c r="B1105" s="97"/>
      <c r="C1105" s="98"/>
      <c r="F1105" s="96"/>
      <c r="G1105" s="96"/>
    </row>
    <row r="1106" spans="2:7" s="73" customFormat="1" x14ac:dyDescent="0.3">
      <c r="B1106" s="97"/>
      <c r="C1106" s="98"/>
      <c r="F1106" s="96"/>
      <c r="G1106" s="96"/>
    </row>
    <row r="1107" spans="2:7" s="73" customFormat="1" x14ac:dyDescent="0.3">
      <c r="B1107" s="97"/>
      <c r="C1107" s="98"/>
      <c r="F1107" s="96"/>
      <c r="G1107" s="96"/>
    </row>
    <row r="1108" spans="2:7" s="73" customFormat="1" x14ac:dyDescent="0.3">
      <c r="B1108" s="97"/>
      <c r="C1108" s="98"/>
      <c r="F1108" s="96"/>
      <c r="G1108" s="96"/>
    </row>
    <row r="1109" spans="2:7" s="73" customFormat="1" x14ac:dyDescent="0.3">
      <c r="B1109" s="97"/>
      <c r="C1109" s="98"/>
      <c r="F1109" s="96"/>
      <c r="G1109" s="96"/>
    </row>
    <row r="1110" spans="2:7" s="73" customFormat="1" x14ac:dyDescent="0.3">
      <c r="B1110" s="97"/>
      <c r="C1110" s="98"/>
      <c r="F1110" s="96"/>
      <c r="G1110" s="96"/>
    </row>
    <row r="1111" spans="2:7" s="73" customFormat="1" x14ac:dyDescent="0.3">
      <c r="B1111" s="97"/>
      <c r="C1111" s="98"/>
      <c r="F1111" s="96"/>
      <c r="G1111" s="96"/>
    </row>
    <row r="1112" spans="2:7" s="73" customFormat="1" x14ac:dyDescent="0.3">
      <c r="B1112" s="97"/>
      <c r="C1112" s="98"/>
      <c r="F1112" s="96"/>
      <c r="G1112" s="96"/>
    </row>
    <row r="1113" spans="2:7" s="73" customFormat="1" x14ac:dyDescent="0.3">
      <c r="B1113" s="97"/>
      <c r="C1113" s="98"/>
      <c r="F1113" s="96"/>
      <c r="G1113" s="96"/>
    </row>
    <row r="1114" spans="2:7" s="73" customFormat="1" x14ac:dyDescent="0.3">
      <c r="B1114" s="97"/>
      <c r="C1114" s="98"/>
      <c r="F1114" s="96"/>
      <c r="G1114" s="96"/>
    </row>
    <row r="1115" spans="2:7" s="73" customFormat="1" x14ac:dyDescent="0.3">
      <c r="B1115" s="97"/>
      <c r="C1115" s="98"/>
      <c r="F1115" s="96"/>
      <c r="G1115" s="96"/>
    </row>
    <row r="1116" spans="2:7" s="73" customFormat="1" x14ac:dyDescent="0.3">
      <c r="B1116" s="97"/>
      <c r="C1116" s="98"/>
      <c r="F1116" s="96"/>
      <c r="G1116" s="96"/>
    </row>
    <row r="1117" spans="2:7" s="73" customFormat="1" x14ac:dyDescent="0.3">
      <c r="B1117" s="97"/>
      <c r="C1117" s="98"/>
      <c r="F1117" s="96"/>
      <c r="G1117" s="96"/>
    </row>
    <row r="1118" spans="2:7" s="73" customFormat="1" x14ac:dyDescent="0.3">
      <c r="B1118" s="97"/>
      <c r="C1118" s="98"/>
      <c r="F1118" s="96"/>
      <c r="G1118" s="96"/>
    </row>
    <row r="1119" spans="2:7" s="73" customFormat="1" x14ac:dyDescent="0.3">
      <c r="B1119" s="97"/>
      <c r="C1119" s="98"/>
      <c r="F1119" s="96"/>
      <c r="G1119" s="96"/>
    </row>
    <row r="1120" spans="2:7" s="73" customFormat="1" x14ac:dyDescent="0.3">
      <c r="B1120" s="97"/>
      <c r="C1120" s="98"/>
      <c r="F1120" s="96"/>
      <c r="G1120" s="96"/>
    </row>
    <row r="1121" spans="2:7" s="73" customFormat="1" x14ac:dyDescent="0.3">
      <c r="B1121" s="97"/>
      <c r="C1121" s="98"/>
      <c r="F1121" s="96"/>
      <c r="G1121" s="96"/>
    </row>
    <row r="1122" spans="2:7" s="73" customFormat="1" x14ac:dyDescent="0.3">
      <c r="B1122" s="97"/>
      <c r="C1122" s="98"/>
      <c r="F1122" s="96"/>
      <c r="G1122" s="96"/>
    </row>
    <row r="1123" spans="2:7" s="73" customFormat="1" x14ac:dyDescent="0.3">
      <c r="B1123" s="97"/>
      <c r="C1123" s="98"/>
      <c r="F1123" s="96"/>
      <c r="G1123" s="96"/>
    </row>
    <row r="1124" spans="2:7" s="73" customFormat="1" x14ac:dyDescent="0.3">
      <c r="B1124" s="97"/>
      <c r="C1124" s="98"/>
      <c r="F1124" s="96"/>
      <c r="G1124" s="96"/>
    </row>
    <row r="1125" spans="2:7" s="73" customFormat="1" x14ac:dyDescent="0.3">
      <c r="B1125" s="97"/>
      <c r="C1125" s="98"/>
      <c r="F1125" s="96"/>
      <c r="G1125" s="96"/>
    </row>
    <row r="1126" spans="2:7" s="73" customFormat="1" x14ac:dyDescent="0.3">
      <c r="B1126" s="97"/>
      <c r="C1126" s="98"/>
      <c r="F1126" s="96"/>
      <c r="G1126" s="96"/>
    </row>
    <row r="1127" spans="2:7" s="73" customFormat="1" x14ac:dyDescent="0.3">
      <c r="B1127" s="97"/>
      <c r="C1127" s="98"/>
      <c r="F1127" s="96"/>
      <c r="G1127" s="96"/>
    </row>
    <row r="1128" spans="2:7" s="73" customFormat="1" x14ac:dyDescent="0.3">
      <c r="B1128" s="97"/>
      <c r="C1128" s="98"/>
      <c r="F1128" s="96"/>
      <c r="G1128" s="96"/>
    </row>
    <row r="1129" spans="2:7" s="73" customFormat="1" x14ac:dyDescent="0.3">
      <c r="B1129" s="97"/>
      <c r="C1129" s="98"/>
      <c r="F1129" s="96"/>
      <c r="G1129" s="96"/>
    </row>
    <row r="1130" spans="2:7" x14ac:dyDescent="0.3">
      <c r="B1130" s="97"/>
      <c r="C1130" s="98"/>
      <c r="D1130" s="73"/>
      <c r="E1130" s="73"/>
      <c r="F1130" s="96"/>
      <c r="G1130" s="96"/>
    </row>
    <row r="1131" spans="2:7" x14ac:dyDescent="0.3">
      <c r="B1131" s="97"/>
      <c r="C1131" s="98"/>
      <c r="D1131" s="73"/>
      <c r="E1131" s="73"/>
      <c r="F1131" s="96"/>
      <c r="G1131" s="96"/>
    </row>
  </sheetData>
  <mergeCells count="1">
    <mergeCell ref="B3: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40DB-4410-4F5A-B08A-9F6B2D80626F}">
  <dimension ref="A1:S30"/>
  <sheetViews>
    <sheetView zoomScale="92" workbookViewId="0">
      <selection activeCell="D13" sqref="D13"/>
    </sheetView>
  </sheetViews>
  <sheetFormatPr defaultRowHeight="14.5" x14ac:dyDescent="0.35"/>
  <cols>
    <col min="1" max="1" width="17.54296875" style="178" bestFit="1" customWidth="1"/>
    <col min="2" max="2" width="26.54296875" style="178" customWidth="1"/>
    <col min="3" max="3" width="14.7265625" style="179" bestFit="1" customWidth="1"/>
    <col min="4" max="4" width="55.7265625" style="178" bestFit="1" customWidth="1"/>
    <col min="5" max="5" width="13.453125" style="179" bestFit="1" customWidth="1"/>
    <col min="6" max="6" width="10.81640625" style="178" bestFit="1" customWidth="1"/>
    <col min="7" max="7" width="12.7265625" style="179" bestFit="1" customWidth="1"/>
    <col min="8" max="9" width="12.7265625" style="179" customWidth="1"/>
    <col min="10" max="10" width="10.81640625" style="179" customWidth="1"/>
    <col min="11" max="11" width="11.54296875" style="179" customWidth="1"/>
    <col min="12" max="12" width="10.81640625" style="179" customWidth="1"/>
    <col min="13" max="13" width="22.7265625" style="179" customWidth="1"/>
    <col min="14" max="14" width="10.7265625" style="179" customWidth="1"/>
    <col min="15" max="17" width="8.7265625" style="179"/>
    <col min="18" max="18" width="13.453125" style="179" bestFit="1" customWidth="1"/>
    <col min="19" max="19" width="27.54296875" style="179" bestFit="1" customWidth="1"/>
    <col min="20" max="16384" width="8.7265625" style="178"/>
  </cols>
  <sheetData>
    <row r="1" spans="1:19" x14ac:dyDescent="0.35">
      <c r="A1" s="305" t="s">
        <v>129</v>
      </c>
      <c r="B1" s="306"/>
      <c r="C1" s="306"/>
      <c r="D1" s="306"/>
      <c r="E1" s="306"/>
      <c r="F1" s="306"/>
    </row>
    <row r="2" spans="1:19" x14ac:dyDescent="0.35">
      <c r="A2" s="307" t="s">
        <v>130</v>
      </c>
      <c r="B2" s="306"/>
      <c r="C2" s="306"/>
      <c r="D2" s="306"/>
      <c r="E2" s="306"/>
      <c r="F2" s="306"/>
    </row>
    <row r="5" spans="1:19" ht="29" x14ac:dyDescent="0.35">
      <c r="A5" s="178" t="s">
        <v>131</v>
      </c>
      <c r="B5" s="180" t="s">
        <v>132</v>
      </c>
    </row>
    <row r="6" spans="1:19" x14ac:dyDescent="0.35">
      <c r="A6" s="178" t="s">
        <v>133</v>
      </c>
      <c r="B6" s="178" t="s">
        <v>134</v>
      </c>
    </row>
    <row r="7" spans="1:19" x14ac:dyDescent="0.35">
      <c r="A7" s="178" t="s">
        <v>135</v>
      </c>
      <c r="B7" s="178" t="s">
        <v>136</v>
      </c>
    </row>
    <row r="9" spans="1:19" s="182" customFormat="1" x14ac:dyDescent="0.35">
      <c r="A9" s="181" t="s">
        <v>137</v>
      </c>
      <c r="B9" s="181" t="s">
        <v>138</v>
      </c>
      <c r="C9" s="181" t="s">
        <v>139</v>
      </c>
      <c r="D9" s="181" t="s">
        <v>140</v>
      </c>
      <c r="E9" s="181" t="s">
        <v>141</v>
      </c>
      <c r="F9" s="181" t="s">
        <v>13</v>
      </c>
      <c r="G9" s="312" t="s">
        <v>142</v>
      </c>
      <c r="H9" s="313"/>
      <c r="I9" s="313"/>
      <c r="J9" s="313"/>
      <c r="K9" s="313"/>
      <c r="L9" s="313"/>
      <c r="M9" s="313"/>
      <c r="N9" s="314"/>
      <c r="O9" s="312" t="s">
        <v>143</v>
      </c>
      <c r="P9" s="313"/>
      <c r="Q9" s="313"/>
      <c r="R9" s="313"/>
      <c r="S9" s="314"/>
    </row>
    <row r="10" spans="1:19" s="182" customFormat="1" x14ac:dyDescent="0.35">
      <c r="A10" s="181"/>
      <c r="B10" s="181"/>
      <c r="C10" s="181"/>
      <c r="D10" s="181"/>
      <c r="E10" s="181"/>
      <c r="F10" s="181"/>
      <c r="G10" s="183" t="s">
        <v>144</v>
      </c>
      <c r="H10" s="183" t="s">
        <v>186</v>
      </c>
      <c r="I10" s="183" t="s">
        <v>187</v>
      </c>
      <c r="J10" s="183" t="s">
        <v>145</v>
      </c>
      <c r="K10" s="183" t="s">
        <v>0</v>
      </c>
      <c r="L10" s="183" t="s">
        <v>1</v>
      </c>
      <c r="M10" s="183" t="s">
        <v>146</v>
      </c>
      <c r="N10" s="183" t="s">
        <v>147</v>
      </c>
      <c r="O10" s="183" t="s">
        <v>145</v>
      </c>
      <c r="P10" s="183" t="s">
        <v>0</v>
      </c>
      <c r="Q10" s="183" t="s">
        <v>1</v>
      </c>
      <c r="R10" s="183" t="s">
        <v>148</v>
      </c>
      <c r="S10" s="183" t="s">
        <v>149</v>
      </c>
    </row>
    <row r="11" spans="1:19" x14ac:dyDescent="0.35">
      <c r="A11" s="184" t="s">
        <v>150</v>
      </c>
      <c r="B11" s="184" t="s">
        <v>151</v>
      </c>
      <c r="C11" s="185" t="s">
        <v>152</v>
      </c>
      <c r="D11" s="184" t="s">
        <v>153</v>
      </c>
      <c r="E11" s="185" t="s">
        <v>154</v>
      </c>
      <c r="F11" s="184" t="s">
        <v>155</v>
      </c>
      <c r="G11" s="185">
        <v>18110</v>
      </c>
      <c r="H11" s="185">
        <v>7500</v>
      </c>
      <c r="I11" s="185">
        <v>7632</v>
      </c>
      <c r="J11" s="185">
        <v>6</v>
      </c>
      <c r="K11" s="185">
        <v>32</v>
      </c>
      <c r="L11" s="185">
        <v>1024</v>
      </c>
      <c r="M11" s="185" t="s">
        <v>156</v>
      </c>
      <c r="N11" s="185" t="s">
        <v>157</v>
      </c>
      <c r="O11" s="185">
        <v>6</v>
      </c>
      <c r="P11" s="185">
        <v>32</v>
      </c>
      <c r="Q11" s="185">
        <v>1024</v>
      </c>
      <c r="R11" s="185">
        <v>62455</v>
      </c>
      <c r="S11" s="185"/>
    </row>
    <row r="12" spans="1:19" x14ac:dyDescent="0.35">
      <c r="A12" s="184" t="s">
        <v>150</v>
      </c>
      <c r="B12" s="184"/>
      <c r="C12" s="185"/>
      <c r="D12" s="184" t="s">
        <v>158</v>
      </c>
      <c r="E12" s="185" t="s">
        <v>152</v>
      </c>
      <c r="F12" s="184" t="s">
        <v>155</v>
      </c>
      <c r="G12" s="185">
        <v>18116</v>
      </c>
      <c r="H12" s="185"/>
      <c r="I12" s="185">
        <v>2305</v>
      </c>
      <c r="J12" s="185"/>
      <c r="K12" s="185"/>
      <c r="L12" s="185"/>
      <c r="M12" s="185"/>
      <c r="N12" s="185"/>
      <c r="O12" s="185"/>
      <c r="P12" s="185"/>
      <c r="Q12" s="185"/>
      <c r="R12" s="185">
        <v>21199</v>
      </c>
      <c r="S12" s="185"/>
    </row>
    <row r="13" spans="1:19" x14ac:dyDescent="0.35">
      <c r="A13" s="184" t="s">
        <v>150</v>
      </c>
      <c r="B13" s="184" t="s">
        <v>159</v>
      </c>
      <c r="C13" s="185" t="s">
        <v>152</v>
      </c>
      <c r="D13" s="184" t="s">
        <v>153</v>
      </c>
      <c r="E13" s="185" t="s">
        <v>154</v>
      </c>
      <c r="F13" s="184" t="s">
        <v>155</v>
      </c>
      <c r="G13" s="185">
        <v>18109</v>
      </c>
      <c r="H13" s="185">
        <v>7837</v>
      </c>
      <c r="I13" s="185">
        <v>7632</v>
      </c>
      <c r="J13" s="185">
        <v>6</v>
      </c>
      <c r="K13" s="185">
        <v>32</v>
      </c>
      <c r="L13" s="185">
        <v>1024</v>
      </c>
      <c r="M13" s="185" t="s">
        <v>160</v>
      </c>
      <c r="N13" s="185" t="s">
        <v>161</v>
      </c>
      <c r="O13" s="185">
        <v>6</v>
      </c>
      <c r="P13" s="185">
        <v>32</v>
      </c>
      <c r="Q13" s="185">
        <v>1024</v>
      </c>
      <c r="R13" s="185">
        <v>62454</v>
      </c>
      <c r="S13" s="185"/>
    </row>
    <row r="14" spans="1:19" x14ac:dyDescent="0.35">
      <c r="A14" s="184" t="s">
        <v>150</v>
      </c>
      <c r="B14" s="184"/>
      <c r="C14" s="185"/>
      <c r="D14" s="184" t="s">
        <v>158</v>
      </c>
      <c r="E14" s="185" t="s">
        <v>152</v>
      </c>
      <c r="F14" s="184" t="s">
        <v>155</v>
      </c>
      <c r="G14" s="185">
        <v>18116</v>
      </c>
      <c r="H14" s="185"/>
      <c r="I14" s="185">
        <v>2305</v>
      </c>
      <c r="J14" s="185"/>
      <c r="K14" s="185"/>
      <c r="L14" s="185"/>
      <c r="M14" s="185"/>
      <c r="N14" s="185"/>
      <c r="O14" s="185"/>
      <c r="P14" s="185"/>
      <c r="Q14" s="185"/>
      <c r="R14" s="185">
        <v>21199</v>
      </c>
      <c r="S14" s="185"/>
    </row>
    <row r="15" spans="1:19" x14ac:dyDescent="0.35">
      <c r="A15" s="184" t="s">
        <v>150</v>
      </c>
      <c r="B15" s="184" t="s">
        <v>4</v>
      </c>
      <c r="C15" s="185" t="s">
        <v>152</v>
      </c>
      <c r="D15" s="184" t="s">
        <v>162</v>
      </c>
      <c r="E15" s="185" t="s">
        <v>163</v>
      </c>
      <c r="F15" s="184" t="s">
        <v>19</v>
      </c>
      <c r="G15" s="185">
        <v>21190</v>
      </c>
      <c r="H15" s="185">
        <v>3316</v>
      </c>
      <c r="I15" s="185">
        <v>3316</v>
      </c>
      <c r="J15" s="185"/>
      <c r="K15" s="185"/>
      <c r="L15" s="185"/>
      <c r="M15" s="185"/>
      <c r="N15" s="185"/>
      <c r="O15" s="185"/>
      <c r="P15" s="185"/>
      <c r="Q15" s="185"/>
      <c r="R15" s="185">
        <v>62453</v>
      </c>
      <c r="S15" s="186"/>
    </row>
    <row r="16" spans="1:19" x14ac:dyDescent="0.35">
      <c r="A16" s="184" t="s">
        <v>150</v>
      </c>
      <c r="B16" s="184"/>
      <c r="C16" s="185"/>
      <c r="D16" s="184" t="s">
        <v>164</v>
      </c>
      <c r="E16" s="185" t="s">
        <v>165</v>
      </c>
      <c r="F16" s="184" t="s">
        <v>19</v>
      </c>
      <c r="G16" s="185">
        <v>18119</v>
      </c>
      <c r="H16" s="185">
        <v>4000</v>
      </c>
      <c r="I16" s="185">
        <v>6000</v>
      </c>
      <c r="J16" s="185"/>
      <c r="K16" s="185"/>
      <c r="L16" s="185"/>
      <c r="M16" s="185"/>
      <c r="N16" s="185"/>
      <c r="O16" s="185"/>
      <c r="P16" s="185"/>
      <c r="Q16" s="185"/>
      <c r="R16" s="185">
        <v>62453</v>
      </c>
      <c r="S16" s="185"/>
    </row>
    <row r="17" spans="1:19" x14ac:dyDescent="0.35">
      <c r="A17" s="184" t="s">
        <v>150</v>
      </c>
      <c r="B17" s="184" t="s">
        <v>166</v>
      </c>
      <c r="C17" s="185" t="s">
        <v>152</v>
      </c>
      <c r="D17" s="184" t="s">
        <v>167</v>
      </c>
      <c r="E17" s="185" t="s">
        <v>168</v>
      </c>
      <c r="F17" s="184" t="s">
        <v>169</v>
      </c>
      <c r="G17" s="185">
        <v>18121</v>
      </c>
      <c r="H17" s="185">
        <v>8000</v>
      </c>
      <c r="I17" s="185">
        <v>8000</v>
      </c>
      <c r="J17" s="185"/>
      <c r="K17" s="185"/>
      <c r="L17" s="185"/>
      <c r="M17" s="185"/>
      <c r="N17" s="185"/>
      <c r="O17" s="185"/>
      <c r="P17" s="185"/>
      <c r="Q17" s="185"/>
      <c r="R17" s="185">
        <v>62452</v>
      </c>
      <c r="S17" s="185"/>
    </row>
    <row r="18" spans="1:19" x14ac:dyDescent="0.35">
      <c r="A18" s="184" t="s">
        <v>150</v>
      </c>
      <c r="B18" s="184" t="s">
        <v>29</v>
      </c>
      <c r="C18" s="185" t="s">
        <v>152</v>
      </c>
      <c r="D18" s="184" t="s">
        <v>170</v>
      </c>
      <c r="E18" s="185" t="s">
        <v>171</v>
      </c>
      <c r="F18" s="184" t="s">
        <v>155</v>
      </c>
      <c r="G18" s="185">
        <v>18122</v>
      </c>
      <c r="H18" s="185">
        <v>3000</v>
      </c>
      <c r="I18" s="185">
        <v>3000</v>
      </c>
      <c r="J18" s="185"/>
      <c r="K18" s="185"/>
      <c r="L18" s="185"/>
      <c r="M18" s="185"/>
      <c r="N18" s="185"/>
      <c r="O18" s="185"/>
      <c r="P18" s="185"/>
      <c r="Q18" s="185"/>
      <c r="R18" s="185">
        <v>62451</v>
      </c>
      <c r="S18" s="185"/>
    </row>
    <row r="19" spans="1:19" x14ac:dyDescent="0.35">
      <c r="A19" s="184" t="s">
        <v>150</v>
      </c>
      <c r="B19" s="184" t="s">
        <v>27</v>
      </c>
      <c r="C19" s="185" t="s">
        <v>152</v>
      </c>
      <c r="D19" s="184" t="s">
        <v>172</v>
      </c>
      <c r="E19" s="185" t="s">
        <v>152</v>
      </c>
      <c r="F19" s="184" t="s">
        <v>155</v>
      </c>
      <c r="G19" s="185"/>
      <c r="H19" s="185">
        <v>15000</v>
      </c>
      <c r="I19" s="185">
        <v>15000</v>
      </c>
      <c r="J19" s="185"/>
      <c r="K19" s="185"/>
      <c r="L19" s="185"/>
      <c r="M19" s="185"/>
      <c r="N19" s="185"/>
      <c r="O19" s="185"/>
      <c r="P19" s="185"/>
      <c r="Q19" s="185"/>
      <c r="R19" s="185">
        <v>62450</v>
      </c>
      <c r="S19" s="185"/>
    </row>
    <row r="20" spans="1:19" x14ac:dyDescent="0.35">
      <c r="A20" s="184" t="s">
        <v>150</v>
      </c>
      <c r="B20" s="184" t="s">
        <v>173</v>
      </c>
      <c r="C20" s="185" t="s">
        <v>152</v>
      </c>
      <c r="D20" s="184" t="s">
        <v>174</v>
      </c>
      <c r="E20" s="185" t="s">
        <v>171</v>
      </c>
      <c r="F20" s="184" t="s">
        <v>155</v>
      </c>
      <c r="G20" s="185">
        <v>18123</v>
      </c>
      <c r="H20" s="185">
        <v>3856.8</v>
      </c>
      <c r="I20" s="185">
        <v>3000</v>
      </c>
      <c r="J20" s="194"/>
      <c r="K20" s="185"/>
      <c r="L20" s="185"/>
      <c r="M20" s="185"/>
      <c r="N20" s="185"/>
      <c r="O20" s="185"/>
      <c r="P20" s="185"/>
      <c r="Q20" s="185"/>
      <c r="R20" s="185">
        <v>62449</v>
      </c>
      <c r="S20" s="186"/>
    </row>
    <row r="21" spans="1:19" x14ac:dyDescent="0.35">
      <c r="A21" s="184" t="s">
        <v>150</v>
      </c>
      <c r="B21" s="184"/>
      <c r="C21" s="185"/>
      <c r="D21" s="187" t="s">
        <v>175</v>
      </c>
      <c r="E21" s="188" t="s">
        <v>152</v>
      </c>
      <c r="F21" s="187" t="s">
        <v>155</v>
      </c>
      <c r="G21" s="188">
        <v>18123</v>
      </c>
      <c r="H21" s="188">
        <v>8550</v>
      </c>
      <c r="I21" s="188">
        <v>9500</v>
      </c>
      <c r="J21" s="188"/>
      <c r="K21" s="185"/>
      <c r="L21" s="185"/>
      <c r="M21" s="185"/>
      <c r="N21" s="185"/>
      <c r="O21" s="185"/>
      <c r="P21" s="185"/>
      <c r="Q21" s="185"/>
      <c r="R21" s="185">
        <v>62449</v>
      </c>
      <c r="S21" s="185"/>
    </row>
    <row r="22" spans="1:19" x14ac:dyDescent="0.35">
      <c r="A22" s="184" t="s">
        <v>150</v>
      </c>
      <c r="B22" s="184"/>
      <c r="C22" s="185"/>
      <c r="D22" s="187" t="s">
        <v>176</v>
      </c>
      <c r="E22" s="188" t="s">
        <v>171</v>
      </c>
      <c r="F22" s="187" t="s">
        <v>177</v>
      </c>
      <c r="G22" s="188">
        <v>18123</v>
      </c>
      <c r="H22" s="188">
        <v>3000</v>
      </c>
      <c r="I22" s="188">
        <v>3000</v>
      </c>
      <c r="J22" s="188"/>
      <c r="K22" s="185"/>
      <c r="L22" s="185"/>
      <c r="M22" s="185"/>
      <c r="N22" s="185"/>
      <c r="O22" s="185"/>
      <c r="P22" s="185"/>
      <c r="Q22" s="185"/>
      <c r="R22" s="185">
        <v>62449</v>
      </c>
      <c r="S22" s="185"/>
    </row>
    <row r="23" spans="1:19" x14ac:dyDescent="0.35">
      <c r="A23" s="184" t="s">
        <v>150</v>
      </c>
      <c r="B23" s="184"/>
      <c r="C23" s="185"/>
      <c r="D23" s="187" t="s">
        <v>178</v>
      </c>
      <c r="E23" s="188" t="s">
        <v>152</v>
      </c>
      <c r="F23" s="187" t="s">
        <v>179</v>
      </c>
      <c r="G23" s="188">
        <v>18123</v>
      </c>
      <c r="H23" s="188">
        <v>500</v>
      </c>
      <c r="I23" s="188">
        <v>500</v>
      </c>
      <c r="J23" s="188"/>
      <c r="K23" s="185"/>
      <c r="L23" s="185"/>
      <c r="M23" s="185"/>
      <c r="N23" s="185"/>
      <c r="O23" s="185"/>
      <c r="P23" s="185"/>
      <c r="Q23" s="185"/>
      <c r="R23" s="185">
        <v>62449</v>
      </c>
      <c r="S23" s="185"/>
    </row>
    <row r="24" spans="1:19" x14ac:dyDescent="0.35">
      <c r="A24" s="184" t="s">
        <v>150</v>
      </c>
      <c r="B24" s="184"/>
      <c r="C24" s="185"/>
      <c r="D24" s="187" t="s">
        <v>36</v>
      </c>
      <c r="E24" s="188" t="s">
        <v>180</v>
      </c>
      <c r="F24" s="187" t="s">
        <v>155</v>
      </c>
      <c r="G24" s="188">
        <v>18123</v>
      </c>
      <c r="H24" s="188">
        <v>5000</v>
      </c>
      <c r="I24" s="188">
        <v>5000</v>
      </c>
      <c r="J24" s="188"/>
      <c r="K24" s="185"/>
      <c r="L24" s="185"/>
      <c r="M24" s="185"/>
      <c r="N24" s="185"/>
      <c r="O24" s="185"/>
      <c r="P24" s="185"/>
      <c r="Q24" s="185"/>
      <c r="R24" s="185">
        <v>62449</v>
      </c>
      <c r="S24" s="185"/>
    </row>
    <row r="25" spans="1:19" x14ac:dyDescent="0.35">
      <c r="A25" s="184" t="s">
        <v>150</v>
      </c>
      <c r="B25" s="184" t="s">
        <v>173</v>
      </c>
      <c r="C25" s="185" t="s">
        <v>152</v>
      </c>
      <c r="D25" s="187" t="s">
        <v>181</v>
      </c>
      <c r="E25" s="188" t="s">
        <v>152</v>
      </c>
      <c r="F25" s="187" t="s">
        <v>155</v>
      </c>
      <c r="G25" s="188"/>
      <c r="H25" s="188"/>
      <c r="I25" s="188"/>
      <c r="J25" s="188"/>
      <c r="K25" s="185"/>
      <c r="L25" s="185"/>
      <c r="M25" s="185"/>
      <c r="N25" s="185"/>
      <c r="O25" s="185"/>
      <c r="P25" s="185"/>
      <c r="Q25" s="185"/>
      <c r="R25" s="185"/>
      <c r="S25" s="185"/>
    </row>
    <row r="26" spans="1:19" x14ac:dyDescent="0.35">
      <c r="A26" s="184"/>
      <c r="B26" s="184"/>
      <c r="C26" s="185"/>
      <c r="D26" s="187"/>
      <c r="E26" s="188"/>
      <c r="F26" s="187"/>
      <c r="G26" s="188"/>
      <c r="H26" s="188"/>
      <c r="I26" s="188"/>
      <c r="J26" s="188"/>
      <c r="K26" s="185"/>
      <c r="L26" s="185"/>
      <c r="M26" s="185"/>
      <c r="N26" s="185"/>
      <c r="O26" s="185"/>
      <c r="P26" s="185"/>
      <c r="Q26" s="185"/>
      <c r="R26" s="185"/>
      <c r="S26" s="185"/>
    </row>
    <row r="27" spans="1:19" x14ac:dyDescent="0.35">
      <c r="R27" s="189"/>
      <c r="S27" s="189"/>
    </row>
    <row r="28" spans="1:19" x14ac:dyDescent="0.35">
      <c r="H28" s="179">
        <f>SUM(H11:H26)</f>
        <v>69559.8</v>
      </c>
      <c r="I28" s="179">
        <f>SUM(I11:I26)</f>
        <v>76190</v>
      </c>
    </row>
    <row r="30" spans="1:19" x14ac:dyDescent="0.35">
      <c r="H30" s="179">
        <f>H28*12</f>
        <v>834717.60000000009</v>
      </c>
      <c r="I30" s="179">
        <f>I28*12</f>
        <v>914280</v>
      </c>
    </row>
  </sheetData>
  <mergeCells count="4">
    <mergeCell ref="A1:F1"/>
    <mergeCell ref="A2:F2"/>
    <mergeCell ref="G9:N9"/>
    <mergeCell ref="O9:S9"/>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DC Site</vt:lpstr>
      <vt:lpstr>Primary site</vt:lpstr>
      <vt:lpstr>Sheet2</vt:lpstr>
      <vt:lpstr>Discount Sheet</vt:lpstr>
      <vt:lpstr>Quotation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Nikam</dc:creator>
  <cp:lastModifiedBy>Pooja Kale</cp:lastModifiedBy>
  <dcterms:created xsi:type="dcterms:W3CDTF">2025-03-13T05:50:50Z</dcterms:created>
  <dcterms:modified xsi:type="dcterms:W3CDTF">2025-11-12T09:29:03Z</dcterms:modified>
</cp:coreProperties>
</file>